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ings" sheetId="1" r:id="rId5"/>
    <sheet state="visible" name="Sponsor Trackrecord" sheetId="2" r:id="rId6"/>
    <sheet state="visible" name="Documents" sheetId="3" r:id="rId7"/>
    <sheet state="visible" name="Sponsor Connection" sheetId="4" r:id="rId8"/>
    <sheet state="visible" name="Benchmarks" sheetId="5" r:id="rId9"/>
  </sheets>
  <definedNames/>
  <calcPr/>
</workbook>
</file>

<file path=xl/sharedStrings.xml><?xml version="1.0" encoding="utf-8"?>
<sst xmlns="http://schemas.openxmlformats.org/spreadsheetml/2006/main" count="2817" uniqueCount="1465">
  <si>
    <t>Investment Name</t>
  </si>
  <si>
    <t>Sponsor</t>
  </si>
  <si>
    <t>Structure</t>
  </si>
  <si>
    <t>Status</t>
  </si>
  <si>
    <t>Total Offering</t>
  </si>
  <si>
    <t>Equity</t>
  </si>
  <si>
    <t>Debt</t>
  </si>
  <si>
    <t>In-Place LTV</t>
  </si>
  <si>
    <t>Available Equity</t>
  </si>
  <si>
    <t>Last Updated</t>
  </si>
  <si>
    <t>Available Percentage</t>
  </si>
  <si>
    <t>Property Type</t>
  </si>
  <si>
    <t>Location</t>
  </si>
  <si>
    <t>Location (Use)</t>
  </si>
  <si>
    <t>Total Load</t>
  </si>
  <si>
    <t>Strategy</t>
  </si>
  <si>
    <t>721 Exchange Exit</t>
  </si>
  <si>
    <t>Estimated Hold Period</t>
  </si>
  <si>
    <t>Description</t>
  </si>
  <si>
    <t>Highlight 1</t>
  </si>
  <si>
    <t>Highlight 2</t>
  </si>
  <si>
    <t>Highlight 3</t>
  </si>
  <si>
    <t>Highlight 4</t>
  </si>
  <si>
    <t>Highlight 5</t>
  </si>
  <si>
    <t>Pros</t>
  </si>
  <si>
    <t>Cons</t>
  </si>
  <si>
    <t>Insights</t>
  </si>
  <si>
    <t>Y1</t>
  </si>
  <si>
    <t>Y2</t>
  </si>
  <si>
    <t>Y3</t>
  </si>
  <si>
    <t>Y4</t>
  </si>
  <si>
    <t>Y5</t>
  </si>
  <si>
    <t>Y6</t>
  </si>
  <si>
    <t>Y7</t>
  </si>
  <si>
    <t>Y8</t>
  </si>
  <si>
    <t>Y9</t>
  </si>
  <si>
    <t>Y10</t>
  </si>
  <si>
    <t>Average Yield</t>
  </si>
  <si>
    <t>Tax-Adj. Yield</t>
  </si>
  <si>
    <t>Cap Rate Equivalent</t>
  </si>
  <si>
    <t>Lender</t>
  </si>
  <si>
    <t>Interest Rate</t>
  </si>
  <si>
    <t>Loan Term</t>
  </si>
  <si>
    <t>I/O Period</t>
  </si>
  <si>
    <t>Amortization</t>
  </si>
  <si>
    <t>Y1 DSCR</t>
  </si>
  <si>
    <t>Property Address</t>
  </si>
  <si>
    <t>Property Photo Link</t>
  </si>
  <si>
    <t>DD Folder Link</t>
  </si>
  <si>
    <t>Minimum Investment</t>
  </si>
  <si>
    <t>Photo Link Use</t>
  </si>
  <si>
    <t>Tax Adjusted Yield (Use)</t>
  </si>
  <si>
    <t>Tax Adj Label</t>
  </si>
  <si>
    <t>DD Label</t>
  </si>
  <si>
    <t>URL</t>
  </si>
  <si>
    <t>Sponsor URL</t>
  </si>
  <si>
    <t>Prop Type URL</t>
  </si>
  <si>
    <t>Sponsor Button Text</t>
  </si>
  <si>
    <t>Property Type Button Text</t>
  </si>
  <si>
    <t>Sponsor Founded</t>
  </si>
  <si>
    <t>Sponsor Description</t>
  </si>
  <si>
    <t>Sponsor AUM</t>
  </si>
  <si>
    <t>Full-Cycle Count</t>
  </si>
  <si>
    <t>Sponsor AAR</t>
  </si>
  <si>
    <t>Sponsor AEM</t>
  </si>
  <si>
    <t>Sponsor Hold</t>
  </si>
  <si>
    <t>Sponsor Success</t>
  </si>
  <si>
    <t>Sponsor Image</t>
  </si>
  <si>
    <t>BM: Avg. Income - Deal</t>
  </si>
  <si>
    <t>BM: Avg. Income - MKT</t>
  </si>
  <si>
    <t>BM: Avg. Income - Interpret</t>
  </si>
  <si>
    <t>BM: Growth - Deal</t>
  </si>
  <si>
    <t>BM: Growth- MKT</t>
  </si>
  <si>
    <t>BM: Growth - Interpret</t>
  </si>
  <si>
    <t>BM: Peak - Deal</t>
  </si>
  <si>
    <t>BM: Peak- MKT</t>
  </si>
  <si>
    <t>BM: Peak - Interpret</t>
  </si>
  <si>
    <t>List Description</t>
  </si>
  <si>
    <t>Investment Description Copy/Paste</t>
  </si>
  <si>
    <t>AEI Healthcare Portfolio VII DST</t>
  </si>
  <si>
    <t>AEI Capital Corporation</t>
  </si>
  <si>
    <t>Delaware Statutory Trust (DST)</t>
  </si>
  <si>
    <t>Available</t>
  </si>
  <si>
    <t>0.00% LTV</t>
  </si>
  <si>
    <t>Healthcare</t>
  </si>
  <si>
    <t>AZ, TX, CT</t>
  </si>
  <si>
    <t>9.12%</t>
  </si>
  <si>
    <t>Core</t>
  </si>
  <si>
    <t>Optional</t>
  </si>
  <si>
    <t>10 years</t>
  </si>
  <si>
    <t>Three purpose-built, single-tenant outpatient medical office assets held debt-free in a DST: HonorHealth Complete Care (12,000 SF, Surprise AZ, Phoenix MSA, lease to 2042), Texas Children's Pavilion for Women (12,642 SF, Cedar Park/Austin TX, co-located one block from the tenant's own hospital campus, lease to 2038), and a United Healthcare/ProHealth Physicians clinic (26,547 SF on 6.40 ac, Bristol CT, lease to 2037). Submarkets are infill/Sun Belt growth corridors with strong daytime traffic and household incomes ($78k-$125k) and constrained MOB supply (~6.9% national availability). Thesis is durable, escalating net-lease income from investment-grade-equivalent healthcare credit, underpinned by secular outpatient-care migration and aging demographics. Operating strategy is passive triple-net ownership through an affiliated master tenant, with insurance fully tenant-reimbursed and de minimis trust-level expense; income growth is driven entirely by contractual 2.0%-2.5% escalators.</t>
  </si>
  <si>
    <t>The portfolio exhibits a credit barbell. Texas Children's Hospital (AA-/Fitch) and the UnitedHealth Group parent (AA-/Fitch, A/AM Best) supply investment-grade-equivalent corporate backing, while HonorHealth (A+/Fitch) is a single-state Arizona nonprofit system. Income is disproportionately weighted to Bristol, whose ~$1.15M gross rent is roughly 44% of in-place rent, concentrating cash flow in a single asset and a single tenant whose parent's Fitch outlook was revised to negative in July 2025 - a trajectory the static AA- marketing presentation omits.</t>
  </si>
  <si>
    <t>Weighted average remaining lease term is 13.62 years across staggered expirations (Surprise 2042, Austin 2038, Bristol 2037). Duration is asymmetric: the long-dated HonorHealth lease carries the lowest escalator (2.0%), while the largest asset (Bristol) escalates 2.5% only through year 9 and then steps flat, capping income growth on the portfolio's biggest rent stream precisely as the projected disposition window approaches.</t>
  </si>
  <si>
    <t>Real estate quality is high and recently delivered (2022-2024 vintage), purpose-built for outpatient use. The Austin asset's co-location one block from Texas Children's own hospital campus creates a mission-critical referral linkage that raises renewal probability and tenant switching costs; the Surprise asset is the sole urgent care within a 3.5-mile radius in a high-traffic retail corridor (71,024 VPD). These siting characteristics function as soft barriers to entry that support re-leasing economics.</t>
  </si>
  <si>
    <t>The debt-free capital structure removes refinancing, maturity, rate-cap, and foreclosure risk entirely, and eliminates the equal-or-greater-debt replacement requirement for 1031 investors averse to boot-offsetting leverage. The structural cost is the absence of positive financial leverage, which mechanically caps levered IRR and is the primary reason the 5.00% going-in distribution sits below comparable leveraged net-lease DSTs.</t>
  </si>
  <si>
    <t>The triple-net structure with tenant-reimbursed insurance and ~$1,400/year trust-level property expense insulates distributable cash from operating inflation. The qualifier is capital responsibility: the Trust retains certain capex obligations funded only from a modest reserve that declines from $371,000 to ~$67,764 by 2035, drawn down immediately by a $221,000 Connecticut transfer-tax charge in year 1, leaving limited capacity for unbudgeted tenant improvements and condition-assessment items.</t>
  </si>
  <si>
    <t>The offering pairs institutional-grade healthcare net-lease credit with a defensive, unlevered balance sheet. Tenants are investment-grade-equivalent corporate operators on long-dated NNN leases (13.62-yr WALT) with contractual 2.0%-2.5% escalators, in demographically supported submarkets benefiting from outpatient-care migration, an aging cohort, and tight MOB supply. The debt-free structure removes refinance, maturity, cap-cost, and foreclosure exposure and offers a clean basis for 1031 capital seeking certainty of monthly income. The sponsor carries a ~40-year, 153-program operating history, including 57 full-cycle 1031 offerings averaging 6.37% annual cash-on-cash, and the distribution schedule escalates from 5.00% to 6.14% over the projected hold.</t>
  </si>
  <si>
    <t>Income is concentrated in three single-tenant assets, with Bristol/United Healthcare alone at ~44% of rent, rendering any single vacancy binary to portfolio cash flow. The master tenant is thinly capitalized - funded by a $500,000 demand promissory note (not cash) from an affiliate, with projected Y1 net income of only ~$2,013 - so a subtenant payment interruption would rapidly exhaust the master tenant's cushion and the trust's limited reserves. The Bristol escalator caps at year 9 and steps flat, flattening growth on the largest asset into the disposition window, where that lease (2037 expiry) leaves only ~1.5 years of residual term at a 2035 exit - a material re-leasing/rollover overhang on the highest-rent asset at the point of valuation. The UNH parent's Fitch outlook turned negative in July 2025, and the Bristol lessee is an operating subsidiary rather than the rated parent. Reserve adequacy is thin post the $221,000 CT transfer-tax draw, and a one-month UNH rent abatement (August 2026) dampens Y1 collections.</t>
  </si>
  <si>
    <t>This is a low-beta, income-oriented core net-lease vehicle whose return is almost entirely a function of contractual escalators and terminal value, given the absence of leverage and any value-add component. The 5.00% to 6.14% distribution ramp is mechanically supported by the lease schedule, but the early-year spread between subtenant rent collected and master-lease rent paid is razor-thin, concentrating execution risk in the thinly capitalized master tenant. The debt-free design is genuinely defensive in a higher-for-longer regime, sidestepping the leveraged-net-lease maturity wall and cap-cost repricing, but the same feature suppresses yield - the 5.00% going-in sits below AEI's own operating-program current yield (5.48%) and full-cycle average (6.37%), implying reliance on escalators and exit pricing compression to reach target total return. The dominant underwriting sensitivity is terminal value: with no amortization and a fixed escalator schedule, investor IRR is governed by the year-10 disposition pricing against a portfolio whose largest asset will carry only short residual lease term at exit, while Austin (2038) and Surprise (2042) provide longer-dated support to residual value. Feasibility of the projected distributions is reasonable on a contractual basis; the credible variance is in capital-event timing and exit pricing rather than in-place income.</t>
  </si>
  <si>
    <t>Not disclosed</t>
  </si>
  <si>
    <t>None (debt-free)</t>
  </si>
  <si>
    <t>N/A (no debt)</t>
  </si>
  <si>
    <t>N/A - no debt service</t>
  </si>
  <si>
    <t>https://drive.google.com/file/d/1UpckdXDq8HJjnUzTg9n_WOvsJA0k1qGf/view?usp=sharing</t>
  </si>
  <si>
    <t>aei-healthcare-portfolio-vii-dst</t>
  </si>
  <si>
    <t>sponsors/aei-capital-corporation</t>
  </si>
  <si>
    <t>property-type/healthcare</t>
  </si>
  <si>
    <t>https://img.logo.dev/aeifunds.com?token=pk_FIVsDKgZTvCedVXXtt2rEg&amp;size=200&amp;retina=true</t>
  </si>
  <si>
    <t>Blue Door Property II, DST</t>
  </si>
  <si>
    <t>SmartStop</t>
  </si>
  <si>
    <t>Self-Storage</t>
  </si>
  <si>
    <t>FL, TX</t>
  </si>
  <si>
    <t>13.02%</t>
  </si>
  <si>
    <t>Core-Plus</t>
  </si>
  <si>
    <t>Three stabilized self-storage facilities (~301,000 rentable SF; 2,281 storage units and 98 vehicle/RV spaces) held debt-free in a parent/operating DST structure and operated under the SmartStop Self Storage brand: 6707 Narcoossee Road, Orlando FL (97,300 SF, 677 units, 2003 vintage, in the high-growth Lake Nona/Narcoossee corridor), 3701 FM Road 2181, Corinth TX (97,050 SF, 766 units, 2000-2005 vintage, Denton County/DFW), and 7905 Spencer Highway, Pasadena TX (106,618 SF, 838 units plus 81 vehicle spaces, 2003-2007 vintage, Houston/Bay Area). Portfolio occupancy is ~91.2%. The properties are leased to an affiliated master tenant under a 10-year master lease with a base/additional/bonus-rent waterfall, and managed by a SmartStop-affiliated property manager. Thesis is inflation-responsive operating income from necessity-based self-storage in Sun Belt growth markets, with month-to-month rental structure enabling active revenue management and an optional Section 721 rollover into the sponsor's affiliated operating partnership.</t>
  </si>
  <si>
    <t>The portfolio is operated under the SmartStop Self Storage platform (ultimate parent SmartStop Self Storage REIT, NYSE: SMA), a scaled institutional self-storage owner-operator with established revenue-management systems. Operating control, master-tenant, and property-management functions all sit with SmartStop affiliates, aligning the assets with a national operator's pricing and marketing infrastructure; the same arrangement concentrates execution dependence on a single, vertically affiliated operator rather than diversified third parties.</t>
  </si>
  <si>
    <t>The Orlando asset anchors the portfolio in the Lake Nona/Narcoossee corridor, among the fastest-growing submarkets in the Sun Belt, with heavy 2023-2024 residential delivery (multiple 250-350 unit multifamily projects and a 156-room hotel) generating new household formation that drives storage demand. The same pipeline, however, includes a 100,000 SF self-storage facility delivered in 2024, an explicit competitive-supply signal in a sector where demand is hyper-local to a roughly three-mile trade area.</t>
  </si>
  <si>
    <t>Self-storage's month-to-month rental structure permits near-continuous repricing through revenue management, providing inflation pass-through that fixed long-term net leases cannot replicate; the master-lease waterfall channels this upside to investors via Additional Rent and Bonus Rent (80% of gross income above stated breakpoints), so forecast distributions escalate from 4.41% to 5.06% on operating performance rather than contractual escalators. The offset is structurally higher tenant churn and occupancy volatility than credit-tenant net lease.</t>
  </si>
  <si>
    <t>The portfolio was acquired free and clear with cash, eliminating mortgage, refinancing, maturity, rate-cap, and foreclosure risk, and removing the equal-or-greater-debt replacement requirement for 1031 investors averse to boot-offsetting leverage. The trust agreement nonetheless preserves the ability to incur future financing, so the debt-free position is a current state rather than a permanent covenant.</t>
  </si>
  <si>
    <t>For cash (non-1031) investors the structure delivers substantial depreciation shelter, with roughly 74-77% of forecast cash flow sheltered and a tax-equivalent yield averaging approximately 6.16% against a 40% assumed effective tax rate. Combined with the bonus-rent participation, this positions the offering as an income vehicle with embedded tax efficiency and modest operating upside rather than a fixed-coupon instrument.</t>
  </si>
  <si>
    <t>The offering provides debt-free ownership of a diversified, stabilized self-storage portfolio (three facilities across two high-growth Sun Belt states) operated by a scaled public-REIT platform with institutional revenue-management capability. The month-to-month lease structure permits inflation pass-through, and the master-lease bonus-rent waterfall gives investors direct participation in NOI upside, supporting a distribution ramp from 4.41% to 5.06% over the forecast. Depreciation shelter is meaningful for cash investors (~6.16% average tax-equivalent yield), the capital structure carries no refinancing or maturity exposure, and an optional Section 721 contribution offers a potential tax-deferred exit path into the sponsor's affiliated operating partnership.</t>
  </si>
  <si>
    <t>The going-in distribution is low at 4.41%, below comparable net-lease DSTs, and reaching 5.06% by year 10 depends on revenue-management execution and bonus-rent realization rather than contractual escalators. Self-storage is supply-sensitive and demand is hyper-local; the Lake Nona submarket already absorbed a new 100,000 SF facility in 2024, a direct competitive threat to the Orlando asset. Operating dependence is concentrated in newly formed SmartStop affiliates (the property manager was formed July 2024) acting as master tenant, manager, and asset manager, with a thinly capitalized affiliated master tenant and no third-party operating diversification. The 721 exit would deliver OP units in SSGT III's operating partnership, a private, non-traded REIT, not the NYSE-listed SmartStop, so the rollover liquidity is into an illiquid private vehicle dependent on SSGT III's own future liquidity events. The assets are older vintage (2000-2007) than new-construction net-lease product, with a single $1,854,800 reserve covering three aging facilities, and total load is high at 13.02% with a 2.52% acquisition fee and a 2.0% disposition fee further compressing net proceeds.</t>
  </si>
  <si>
    <t>This is a debt-free, core-plus self-storage vehicle whose return mechanics differ structurally from net-lease DSTs: distributions track operating NOI through a base/additional/bonus-rent waterfall rather than fixed credit-tenant escalators, so the 4.41% to 5.06% ramp is a function of SmartStop's revenue-management execution and submarket fundamentals, not a contractual obligation. The unlevered structure is defensive against the rate environment but caps return, leaving the investment case resting on self-storage's inflation pass-through, the depreciation shelter (~75% of cash flow; ~6.16% average tax-equivalent yield for cash investors), and the optional 721 rollover. Underwriting feasibility hinges on sustaining and growing ~91% occupancy and street rates across three Sun Belt facilities against visible new supply in Lake Nona. The dominant risk-adjusted question is whether revenue-management upside and bonus rent justify a sub-5% going-in yield and a ~13% load over a 10-year horizon, with terminal value and the form and liquidity of any 721 consideration, private SSGT III OP units, as the principal exit sensitivities.</t>
  </si>
  <si>
    <t>7905 Spencer Highway, Pasadena, TX</t>
  </si>
  <si>
    <t>https://drive.google.com/file/d/1-val7swkH1VPNam90f34CrzczJjcQaHO/view?usp=sharing</t>
  </si>
  <si>
    <t>blue-door-property-ii-dst</t>
  </si>
  <si>
    <t>sponsors/smartstop</t>
  </si>
  <si>
    <t>property-type/self-storage</t>
  </si>
  <si>
    <t>Blue Door Property III, DST</t>
  </si>
  <si>
    <t>45.96% LTV</t>
  </si>
  <si>
    <t>AZ, FL, TX</t>
  </si>
  <si>
    <t>15.19%</t>
  </si>
  <si>
    <t>7 years</t>
  </si>
  <si>
    <t>Three self-storage facilities (~1,927 storage units, 24 modular outdoor units, 12 vehicle spaces) held in a parent/operating DST structure, financed at 45.96% LTV and operated under the SmartStop Self Storage brand: 4860 North 83rd Avenue, Phoenix AZ (711 units, ~82,435 SF), 460 Florida Central Parkway, Longwood FL (542 units, 12 vehicle spaces), and 8110 S. Cockrell Hill Road, Dallas TX (674 units plus 24 modular outdoor units). Portfolio occupancy is ~90% (~92% at Phoenix). Each property carries a separate fixed-rate interest-only mortgage from a SmartStop-affiliated lender (aggregate $24,191,359), and each is leased to a state-specific affiliated master tenant under its own master lease with a base/additional/bonus-rent waterfall, managed by a SmartStop-affiliated property manager. Thesis is leveraged, inflation-responsive operating income from necessity-based self-storage across three Sun Belt metros, with active revenue management and an optional Section 721 rollover into the sponsor's affiliated operating partnership ahead of the November 2032 loan maturity.</t>
  </si>
  <si>
    <t>This is a leveraged structure (45.96% LTV) financed with three separate fixed-rate mortgages at 5.00%, interest-only for the full seven-year term from SMST Lender, LLC, a SmartStop affiliate, maturing November 13, 2032. Interest-only with no amortization maximizes current distributions but builds no principal equity, so the entire $24.19M balloons at maturity; the seven-year hold is explicitly structured to dispose of the assets before that date, and the affiliated-lender, related-party terms warrant independent scrutiny.</t>
  </si>
  <si>
    <t>The portfolio is operated under the SmartStop Self Storage platform (ultimate parent SmartStop Self Storage REIT, NYSE: SMA), with state-specific affiliated master tenants and a SmartStop-affiliated property manager. This aligns the assets with a scaled operator's revenue-management and marketing infrastructure, while concentrating master-tenant, management, lending, and 721-counterparty roles within a single sponsor family rather than diversified third parties.</t>
  </si>
  <si>
    <t>Geographic diversification spans three independent Sun Belt storage trade areas, Phoenix, the Orlando/Longwood corridor, and Dallas, at roughly 90% occupancy (about 92% at Phoenix). Spreading income across three metros with distinct supply-demand dynamics reduces the single-market concentration risk inherent to a one-submarket storage deal, though self-storage demand remains hyper-local within each.</t>
  </si>
  <si>
    <t>At a 5.00% fixed borrowing cost against the portfolio's going-in NOI yield, the moderate leverage modestly amplifies investor cash-on-cash relative to an all-equity structure, and the interest-only feature removes amortization drag to support current distributions. The trade-off is that no equity is built through paydown, leaving exit value entirely dependent on NOI growth and the terminal value against a fixed principal balloon.</t>
  </si>
  <si>
    <t>The combination of leverage (interest deductibility) and depreciation produces high tax shelter, roughly 89-92% of cash flow sheltered in the early years, yielding an average tax-equivalent yield near 7.08% for non-1031 cash investors at a 40% assumed effective rate. The after-tax profile is materially stronger than the ~4.28% pre-tax cash-on-cash, positioning the offering as a tax-efficient leveraged income vehicle.</t>
  </si>
  <si>
    <t>The offering provides a geographically diversified self-storage portfolio across three Sun Belt metros operated by the SmartStop public-REIT platform, with institutional revenue-management capability and month-to-month leases that permit inflation pass-through and bonus-rent upside. Financing is fixed-rate (5.00%) and interest-only, locking coupon cost and maximizing current distributions, and Year 1 debt-service coverage is healthy at 1.81x. Depreciation and interest shelter are substantial (~7.08% average tax-equivalent yield for cash investors), and an optional Section 721 contribution offers a potential tax-deferred exit into the sponsor's affiliated operating partnership.</t>
  </si>
  <si>
    <t>The financing is interest-only with a hard seven-year balloon (November 2032) and no amortization, so the full $24.19M principal must be refinanced or repaid at exit; any delay forces extension at floating SOFR plus 1.50%, surrendering the 5.00% fixed coupon precisely at the maturity wall. Financing, master tenants, property management, and the 721 counterparty are all SmartStop affiliates, creating pervasive conflicts with no arm's-length check on loan or lease terms, and each master tenant is capitalized only by a small demand note from the affiliated operating partnership ($441,000 Phoenix, $322,000 Dallas, among them), reducible by retained earnings. Going-in cash yield is low at 4.00%, reaching only 4.52% by year 7 and dependent on revenue-management execution and bonus rent, against a high 15.19% load plus a 2.0% disposition fee. The 721 consideration would be units in SS Growth Operating Partnership III, a private, non-traded REIT, not the listed SmartStop, and the appraised value ($45.3M) sits only marginally above purchase price ($44.24M), leaving thin day-one equity cushion against 45.96% leverage (debt-to-appraised-value roughly 53%) in a supply-sensitive sector.</t>
  </si>
  <si>
    <t>Blue Door III is a moderately leveraged, core-plus self-storage vehicle that contrasts sharply with its debt-free sibling: the 45.96% LTV fixed-rate interest-only financing amplifies both cash-on-cash and tax shelter while imposing a defined seven-year refinancing-or-sale imperative tied to the November 2032 maturity. The investment case rests on SmartStop lifting NOI across three Sun Belt facilities through revenue management, with the interest-only structure front-loading distributions but building no principal equity, so terminal value is wholly a function of NOI growth and exit pricing against a balloon. Pervasive affiliation across lender, master tenants, manager, and 721 counterparty concentrates both operational alignment and conflict risk in one sponsor family, and the thin day-one equity cushion leaves limited margin if storage fundamentals soften. The after-tax profile is the strongest feature, roughly 89-92% early-year shelter and a ~7.08% tax-equivalent yield for cash investors, but the 4.00% pre-tax going-in yield, 15.19% load, and floating-rate extension risk make the offering most coherent for tax-sensitive investors comfortable with leverage and a defined exit window rather than those prioritizing capital preservation.</t>
  </si>
  <si>
    <t>Sold</t>
  </si>
  <si>
    <t>SMST Lender, LLC</t>
  </si>
  <si>
    <t>5.00% (Fixed)</t>
  </si>
  <si>
    <t>N/A (interest-only)</t>
  </si>
  <si>
    <t>1.81x</t>
  </si>
  <si>
    <t>4860 North 83rd Avenue, Phoenix, AZ</t>
  </si>
  <si>
    <t>https://lh3.googleusercontent.com/d/1GCvzEMexmpTgjlyyGJUhAnO2MFsnLqaV</t>
  </si>
  <si>
    <t>blue-door-property-iii-dst</t>
  </si>
  <si>
    <t>Blue Owl Real Estate Exchange V DST</t>
  </si>
  <si>
    <t>Blue Owl</t>
  </si>
  <si>
    <t>Coming Soon / Under Review</t>
  </si>
  <si>
    <t>Industrial</t>
  </si>
  <si>
    <t>KY, OH, MI</t>
  </si>
  <si>
    <t>7.50%</t>
  </si>
  <si>
    <t>Mandatory</t>
  </si>
  <si>
    <t>2 years</t>
  </si>
  <si>
    <t>Three single-tenant net-leased industrial manufacturing properties held debt-free in a parent/operating DST structure: 111 Cosma Drive, Bowling Green KY (~1,351,200 SF on ~134 acres), 100% leased to Bowling Green Metalforming LLC, a wholly-owned subsidiary of Magna International Inc.; and two American Rheinmetall (Loc Performance Products) facilities, 1115 South Wayne Street, Saint Marys OH (~701,000 SF, 1939-1973 vintage) and 13505 North Haggerty Road, Plymouth MI (~289,000 SF, 2002), each leased to a subsidiary of Rheinmetall AG. Both tenant leases carry ~20-year base terms, with escalators of 1.25% per annum (Magna) and 2.0% per annum (American Rheinmetall). The Magna site includes a ground-lease and industrial-revenue-bond structure providing tax abatement. The properties are owned free and clear, with the trust agreements prohibiting permanent financing, and the master lease is guaranteed by Blue Owl's Operating Partnership subject to a net-worth standard. Thesis is durable, long-duration credit-tenant net-lease income with an optional Section 721 rollover into the non-listed, perpetual-life Blue Owl Real Estate Net Lease Trust.</t>
  </si>
  <si>
    <t>The portfolio is leased to subsidiaries of two substantial industrial credits: Bowling Green Metalforming, a wholly-owned unit of Magna International, a publicly traded global Tier-1 automotive supplier, and Loc Performance/American Rheinmetall, a subsidiary of Rheinmetall AG, a German defense and industrial group benefiting from the European defense-spending expansion. The Rheinmetall-linked defense exposure is a differentiated, counter-cyclical demand driver atypical of net-lease portfolios, though both leases sit with operating subsidiaries rather than the rated parents.</t>
  </si>
  <si>
    <t>Both the Magna and American Rheinmetall properties carry approximately 20-year base lease terms, producing an exceptionally long weighted-average lease term that underpins durable contractual income and supports the perpetual-life UPREIT thesis. Escalators differ materially, 2.0% per annum for American Rheinmetall versus a below-market 1.25% per annum for Magna, the latter eroding real income over the multi-decade term.</t>
  </si>
  <si>
    <t>The portfolio is owned free and clear, and the trust agreements affirmatively prohibit the trustee from placing permanent financing, eliminating refinancing, maturity, and interest-rate risk entirely and removing the equal-or-greater-debt replacement requirement for 1031 investors. The structural cost is the absence of positive leverage, which caps levered return and is the primary reason the going-in distribution sits in the high-4% range.</t>
  </si>
  <si>
    <t>The FMV Option permits Blue Owl's Operating Partnership, at its sole discretion, to acquire investor interests for OP units in the non-listed, perpetual-life Blue Owl Real Estate Net Lease Trust after a two-year hold, offering a potential tax-deferred path into a large, diversified net-lease REIT platform. The exchange is into a non-traded, illiquid vehicle whose NAV, redemption terms, and exercise timing are sponsor-controlled, ceding investor control and price transparency.</t>
  </si>
  <si>
    <t>The assets are large, special-purpose manufacturing facilities purpose-built for their incumbents, the Magna plant alone spanning ~1.35M SF on 134 acres, which makes them mission-critical to tenant operations and raises renewal probability, but also concentrates re-leasing and repurposing risk given limited alternative-use demand if a tenant vacates. The AR Ohio asset is of 1939-1973 vintage, and the Magna site carries ground-lease and industrial-revenue-bond complexity tied to its tax abatement.</t>
  </si>
  <si>
    <t>The offering provides a long-duration (~20-year WALT) single-tenant net-lease industrial portfolio leased to subsidiaries of two substantial industrial credits, Magna International and Rheinmetall AG, with the defense-linked Rheinmetall exposure adding a differentiated, counter-cyclical demand tailwind. The structure is debt-free with leverage contractually prohibited, removing all refinancing and maturity risk, and the master lease is guaranteed by Blue Owl's Operating Partnership subject to a net-worth covenant. Distributions begin at 4.77% and step up to 6.01% over the 20-year forecast, and the optional Section 721 FMV Option offers a tax-deferred path into the large, diversified, perpetual-life Blue Owl net-lease REIT.</t>
  </si>
  <si>
    <t>The properties are large, special-purpose manufacturing facilities with limited alternative-use demand and elevated re-leasing cost if a tenant vacates, and the AR Ohio asset is of 1939-1973 vintage. Both leases are with operating subsidiaries (Bowling Green Metalforming, Loc Performance) rather than the rated parents, and the only contractual credit backstop is Blue Owl's own Operating Partnership guaranty subject to a net-worth standard, concentrating credit support within the sponsor family. The Magna escalator is a below-market 1.25% per annum, eroding real income across a 20-year term, and the Magna site's ground-lease/industrial-revenue-bond structure adds title and tax-abatement complexity. The 721 consideration would be units in the non-listed, perpetual-life Blue Owl REIT, an illiquid vehicle with sponsor-controlled NAV and redemption gates, exercisable only at the Operating Partnership's discretion. Going-in cash yield is modest at 4.77% against a 7.50% upfront load plus ongoing servicing and management fees and a disposition fee.</t>
  </si>
  <si>
    <t>Blue Owl V is a debt-free, long-duration credit-tenant net-lease industrial vehicle engineered as a feeder into Blue Owl's perpetual-life net-lease REIT via an optional Section 721 UPREIT. Return is almost entirely contractual and front-loaded by 20-year leases with modest 1.25%-2.0% escalators, so the investment is fundamentally an income-and-tax-deferral play rather than a total-return or appreciation strategy, consistent with its stated capital-preservation objective. The two credits are substantial but exposure runs through operating subsidiaries backed only by the sponsor's Operating Partnership guaranty, and the assets' special-purpose nature concentrates risk in tenant retention over a multi-decade horizon. The defining feature is the perpetual UPREIT optionality: rather than a defined sale, the likely path is conversion into non-listed Blue Owl REIT OP units, moving investors from a discrete, transparent net-lease portfolio into a sponsor-managed, illiquid NAV REIT, attractive for tax-deferral continuity and diversification but ceding control, liquidity, and valuation transparency. The 4.77% going-in distribution is well-supported by in-place contractual rent; the principal sensitivities are long-horizon tenant retention at special-purpose assets and the terms and timing of the eventual 721 conversion.</t>
  </si>
  <si>
    <t>111 Cosma Drive, Bowling Green, KY</t>
  </si>
  <si>
    <t>https://drive.google.com/file/d/1SYLj4lsZa73K392bDZMcdABsto2FWap9/view?usp=sharing</t>
  </si>
  <si>
    <t>blue-owl-real-estate-exchange-v-dst</t>
  </si>
  <si>
    <t>sponsors/blue-owl</t>
  </si>
  <si>
    <t>property-type/industrial</t>
  </si>
  <si>
    <t>BR Churchill Downs, DST</t>
  </si>
  <si>
    <t>Bluerock</t>
  </si>
  <si>
    <t>Closed</t>
  </si>
  <si>
    <t>44.86% LTV</t>
  </si>
  <si>
    <t>Multifamily</t>
  </si>
  <si>
    <t>NC</t>
  </si>
  <si>
    <t>13.15%</t>
  </si>
  <si>
    <t>Value-Add</t>
  </si>
  <si>
    <t>7-10 years</t>
  </si>
  <si>
    <t>A 272-unit Class B, direct-entry townhome and garden-style apartment community at 800 Churchill Downs Drive, Aberdeen NC, in the Pinehurst Metro (Moore County), on ~21.31 acres with 288,480 rentable SF (one-, two-, and three-bedroom units averaging 1,061 SF), completed in 2000 and 2003. The Trust acquired the Property in April 2025 for $56.6M, ~$1.3M below appraised value, financed with a $30,739,000 KeyBank/Fannie Mae DUS first mortgage (44.86% loan-to-capitalization, 5.13% fixed, interest-only, maturing May 2035) and equity. The business plan is value-add: in-unit washer/dryer installation, light interior upgrades to classic finishes, and exterior/landscaping/signage improvements atop $1.5M of prior-owner capex, supported by revenue-management software and third-party management (RPM Living). The Property is leased to an affiliated Master Tenant under a 10-year master lease paying Base Rent (debt service), Additional Rent (monthly distributions), and Supplemental Rent (performance distributions). The Pinehurst Metro sits ~70-90 miles from the high-growth Charlotte and Raleigh-Durham metros, with a golf-tourism-anchored economy and proximity to Fort Liberty. Exit options include an optional Section 721 FMV rollover into a Bluerock-affiliated operating partnership.</t>
  </si>
  <si>
    <t>The investment thesis is operational value creation on a Class B community with below-market rents (income-to-rent ratio ~4.5x on ~$79,000 average household income). The program installs in-unit washers and dryers at a rent premium, applies light interior upgrades to original finishes, and refreshes exteriors, landscaping, and signage, layered on $1.5M of capital already deployed by prior owners, with revenue-management software and a national third-party manager (RPM Living) engaged to drive rate growth.</t>
  </si>
  <si>
    <t>The Property was acquired for $56.6M, approximately $1.3M below appraised value, providing a measure of day-one valuation cushion against the 44.86% leverage. The discount is modest in percentage terms (~2.3% of purchase price), so the equity margin of safety is real but thin.</t>
  </si>
  <si>
    <t>The asset sits in the Pinehurst Metro, ranked the top micropolitan area in North Carolina for seven consecutive years and tenth nationally, positioned roughly equidistant (70-90 miles) between the high-growth Charlotte and Raleigh-Durham metros. The local economy is anchored by golf tourism (Home of American Golf, the USGA's second headquarters, and future U.S. Opens including 2029, with ~$805M in annual golf-tourism impact) and supported by healthcare and Fort Liberty defense employment.</t>
  </si>
  <si>
    <t>Financing is a $30.74M KeyBank loan originated under the Fannie Mae DUS program, fixed at 5.13% and interest-only for the full 10-year term (maturing May 2035), at 44.86% loan-to-capitalization. The agency execution provides institutional terms and the interest-only structure maximizes current distributions and supports a healthy 2.04x Year 1 coverage, but the full principal balloons at maturity and prepayment/defeasance provisions constrain the exit window.</t>
  </si>
  <si>
    <t>The master lease channels return through three layers: Base Rent covering debt service, Additional Rent producing a flat ~4.25% monthly distribution, and Supplemental Rent equal to 90% of revenue above a stated breakpoint. As the value-add program lifts revenue, investor cash-on-cash is forecast to ramp from 4.28% to 6.33%, a performance-linked upside atypical of stabilized DSTs, though the affiliated master tenant retains the Base Rent spread and 10% of the Supplemental Rent.</t>
  </si>
  <si>
    <t>The offering pairs a below-appraised-value entry on a Class B multifamily asset with a defined value-add plan, in a supply-constrained, top-ranked North Carolina micropolitan market between two high-growth metros. Fannie Mae DUS fixed-rate financing at 5.13% delivers a healthy 2.04x Year 1 DSCR with interest-only payments that maximize current distributions, and the master-lease Supplemental Rent gives investors performance-linked upside that ramps cash-on-cash from 4.28% to 6.33%. Depreciation shelter is substantial (roughly 82%-127% of cash flow sheltered; ~8.7% average tax-equivalent yield), and broad demand tailwinds, a national housing shortage, depressed new multifamily supply, and the homeownership affordability gap, support the rental thesis.</t>
  </si>
  <si>
    <t>The going-in distribution is modest at ~4.25%, and reaching the 6.33% forecast depends entirely on executing the value-add and clearing the Supplemental Rent breakpoint, operational and lease-up risk rather than contractual income. The day-one equity cushion is thin (acquired only ~$1.3M, ~2.3%, below appraised value) against 44.86% leverage, and the KeyBank loan is interest-only with the full $30.74M ballooning at the May 2035 maturity, with prepayment and defeasance provisions that constrain the 7-10 year exit window. The master tenant is a thinly capitalized Sponsor affiliate funded by an Operating Partnership demand note, and it retains the Base-Rent-to-breakpoint spread plus 10% of Supplemental Rent, partially misaligning upside. The Property is single-asset, single-market (Aberdeen/Pinehurst), Class B of 2000/2003 vintage with ~$1.2M of identified long-term capital needs, and the local economy concentrates in golf tourism and Fort Liberty defense activity. Insurance-cost inflation is a demonstrated risk: a related Sponsor program cut distributions from 4.25% to 3.00% in 2024 on a 62% year-over-year insurance spike before restoring them.</t>
  </si>
  <si>
    <t>BR Churchill Downs is a leveraged value-add multifamily DST with a bifurcated return profile: a modest ~4.25% contractual Additional Rent floor plus performance-linked Supplemental Rent that, if the business plan executes, lifts cash-on-cash toward ~6.3% and averages ~5.2% over a 7-10 year hold. Unlike stabilized net-lease DSTs, the thesis depends on operational execution, washer/dryer installs, light renovations, and revenue management lifting Class B rents in the supply-constrained Pinehurst micropolitan market. The Fannie Mae DUS fixed-rate interest-only loan provides strong 2.04x coverage and front-loads distributions but builds no equity and balloons in 2035, so terminal value hinges on NOI growth and exit pricing against a thin day-one basis discount. The after-tax profile is a meaningful draw (~8.7% average tax-equivalent yield on high depreciation shelter). The dominant sensitivities are value-add execution and rent growth, insurance-cost inflation (a proven distribution risk in the sponsor's related programs), and refinancing or selling the balloon within the hold window; the optional Section 721 FMV conversion into a Bluerock-affiliated operating partnership offers a tax-deferred alternative exit, but into an illiquid, sponsor-controlled vehicle.</t>
  </si>
  <si>
    <t>KeyBank National Association</t>
  </si>
  <si>
    <t>5.13% (Fixed)</t>
  </si>
  <si>
    <t>2.04x</t>
  </si>
  <si>
    <t>800 Churchill Downs Drive, Aberdeen, NC</t>
  </si>
  <si>
    <t>https://drive.google.com/file/d/1DlAEjC2ku2pfRp6bY4ULgY41HtnLzfVb/view?usp=sharing</t>
  </si>
  <si>
    <t>br-churchill-downs-dst</t>
  </si>
  <si>
    <t>sponsors/bluerock</t>
  </si>
  <si>
    <t>property-type/multifamily</t>
  </si>
  <si>
    <t>BR Diversified Industrial Portfolio 7, DST</t>
  </si>
  <si>
    <t>Limited Availability</t>
  </si>
  <si>
    <t>VA, MO, FL, AL</t>
  </si>
  <si>
    <t>11.67%</t>
  </si>
  <si>
    <t>Five single-tenant industrial properties (~552,438 RSF total) held debt-free in a parent/operating DST under the BIGR Exchange platform, 100% leased on in-place absolute/triple-net leases with a ~11.7-year WALT: Quality Property, Prince George/Richmond VA (141,568 SF, 2007, leased to NVR, Inc. (NYSE: NVR; S&amp;P BBB+) to 2039, manufacturing/distribution with industrial outdoor storage); Corporate Property, Bridgeton/St. Louis MO (238,113 SF, 1996, leased to BlueLinx (NYSE: BXC; S&amp;P B+) to 2037, warehouse/outdoor storage); Saland (41,600 SF, 2021) and Beachwood (45,096 SF, 2017) Properties, Jacksonville FL (both leased to Woodsman Kitchen &amp; Flooring to 2038); and Shields Property, Huntsville AL (86,061 SF, 1997, leased to DESHAZO Automation to 2032). Properties acquired ~$1.35M below appraised value, in Sunbelt and industrial-corridor markets with rents ~25% below submarket and ~13% projected cumulative market rent growth through 2029. The Trust leases all five to an affiliated Master Tenant under a 10-year master lease paying Base, Additional, and Supplemental Rent, distributed up to investors. Exit options include an optional Section 721 FMV rollover into a Bluerock-affiliated operating partnership within ~7-10 years.</t>
  </si>
  <si>
    <t>The portfolio spans five properties and four tenants, mixing NYSE-listed credits with private regional operators: NVR (NYSE: NVR; S&amp;P BBB+, ~$22B market cap, fourth-largest U.S. homebuilder) at Richmond and BlueLinx (NYSE: BXC; S&amp;P B+, national building-products distributor) at St. Louis, plus privately held Woodsman Kitchen &amp; Flooring (Jacksonville, two assets, ~45% of local new-home cabinetry) and DESHAZO Automation (Huntsville, custom robotics and cranes). Leases are absolute/triple-net, though two of the four tenants are unrated private companies and the leases sit with the operating tenants rather than rated parents.</t>
  </si>
  <si>
    <t>The Properties are owned free and clear with no mortgage, eliminating refinancing, maturity, rate-cap, and foreclosure risk and removing the equal-or-greater-debt replacement requirement for 1031 investors averse to boot-offsetting leverage. The structural cost is the absence of positive leverage, which caps levered return and is the primary reason the 4.80% going-in distribution sits in the high-4% range.</t>
  </si>
  <si>
    <t>In-place income is durable and long-dated, with a weighted-average lease term of ~11.7 years across staggered expirations (DESHAZO 2032, BlueLinx 2037, Woodsman 2038, NVR 2039) and contractual annual rent escalations, supporting escalating contractual income across the 7-10 year hold.</t>
  </si>
  <si>
    <t>In-place rents are approximately 25% below current submarket levels on average, with ~13% projected cumulative market rent growth through 2029 and the industrial sector forecast to lead all major CRE sectors in NOI growth (~4.1% annualized 2026-2029). This positions the portfolio for rent capture on rollover and terminal-value appreciation, though the long ~11.7-year WALT means little of that mark-to-market is realized during the hold.</t>
  </si>
  <si>
    <t>The Corporate Property (St. Louis, 5+ acres of paved industrial outdoor storage) and Quality Property (Richmond, 9 acres of paved industrial outdoor storage) carry highly coveted industrial outdoor storage, a supply-constrained use that can command a scarcity-demand premium and support both income and exit value.</t>
  </si>
  <si>
    <t>A debt-free, 100%-leased diversified industrial net-lease portfolio across five Sunbelt and industrial-corridor assets in four states, with a long ~11.7-year WALT on absolute/triple-net leases anchored by two NYSE-listed credits (NVR, S&amp;P BBB+; BlueLinx, S&amp;P B+) plus two private regional operators. The unlevered structure removes all refinancing, maturity, and foreclosure risk and the equal-or-greater-debt 1031 requirement. Embedded upside is meaningful: rents ~25% below market, ~13% projected cumulative market rent growth through 2029, and industrial NOI growth leading all CRE sectors, supported by two scarce industrial-outdoor-storage sites. Distributions ramp from 4.97% to 6.12% via performance-based Supplemental Rent; the portfolio was acquired ~$1.35M below appraised value, with moderate depreciation shelter (~6.9% average tax-equivalent yield).</t>
  </si>
  <si>
    <t>The going-in distribution is modest at 4.80% (Base plus Additional Rent), and reaching 6.12% depends on performance-based Supplemental Rent rather than fully contractual income. Two of the four tenants (Woodsman, DESHAZO) are privately held and unrated, and DESHAZO carries the shortest lease (2032 expiry, ~84-month term), creating earlier rollover exposure on that asset; all leases sit with operating tenants rather than rated parents. The master tenant is a thinly capitalized Sponsor affiliate funded by an Operating Partnership demand note, and the sponsor, master tenant, manager, and 721 counterparty roles are concentrated within the Bluerock family. The ~25%-below-market rent upside is largely unrealized during a 7-10 year hold given the ~11.7-year WALT, making it primarily a terminal-value/appreciation thesis dependent on exit pricing and rent growth materializing. Three properties (Beachwood, Saland, Quality) sit in hurricane-susceptible zones, total load is ~11.67% of equity plus a 3.5% disposition fee, and depreciation shelter is comparatively low (~31%-38% of cash flow) given the debt-free, reserve-heavy capitalization.</t>
  </si>
  <si>
    <t>BR Diversified Industrial Portfolio 7 is a debt-free, income-oriented industrial net-lease DST whose return splits between a flat ~4.80% contractual Base-plus-Additional Rent floor and a performance-linked Supplemental Rent layer that lifts cash-on-cash to ~6.1% and averages ~5.5% over a 7-10 year hold. Like Bluerock's other net-lease offerings, it pairs durable long-WALT (~11.7-year) contractual income from a diversified five-asset, four-tenant pool with an explicit appreciation thesis grounded in ~25%-below-market rents and a favorable industrial supply/demand backdrop. The unlevered structure is genuinely defensive against the rate environment, sidestepping the leveraged-DST maturity wall, but caps yield and leaves terminal value as the dominant return driver, since the long WALT means little of the mark-to-market upside is realized during the hold. The key sensitivities are exit pricing and the pace of industrial rent growth, tenant retention and renewal at lease expiry (notably DESHAZO in 2032), and the credit performance of two unrated private tenants; the optional Section 721 FMV conversion into a Bluerock-affiliated operating partnership offers a tax-deferred alternative exit into an illiquid, sponsor-controlled vehicle. The after-tax profile is a secondary benefit (~6.9% average tax-equivalent yield), though the depreciation shelter (~31%-38%) is lower than leveraged peers given no interest deduction.</t>
  </si>
  <si>
    <t>13860 Corporate Woods Trail, Bridgeton, MO</t>
  </si>
  <si>
    <t>https://lh3.googleusercontent.com/d/1c1Pdo3bRQdhIdMVlnFyaF36rQSG-IO1k</t>
  </si>
  <si>
    <t>br-diversified-industrial-portfolio-7-dst</t>
  </si>
  <si>
    <t>BREX Net Lease Industrial I DST</t>
  </si>
  <si>
    <t>Brookfield</t>
  </si>
  <si>
    <t>51.20% LTV</t>
  </si>
  <si>
    <t>MA</t>
  </si>
  <si>
    <r>
      <rPr/>
      <t xml:space="preserve">A single Class A, single-story industrial warehouse and distribution center, 221,999 SF (plus ~220,000 SF rooftop parking and 515 spaces; ~441,999 SF gross building area), constructed in 2022 at 34 Market Street, Everett MA, in a dense urban-infill submarket less than five miles north of downtown Boston. The Property is 100% triple-net-leased to </t>
    </r>
    <r>
      <rPr>
        <color rgb="FF1155CC"/>
        <u/>
      </rPr>
      <t>Amazon.com</t>
    </r>
    <r>
      <rPr/>
      <t xml:space="preserve"> Services LLC (Amazon; S&amp;P/Moody's AA/A1) with ~12 years of remaining term (Master Lease / Amazon Lease base term to March 23, 2046), 2.5% annual rent increases, and three 5-year renewal options at 98% of fair market value. The Trust acquired the Property in March 2026 for $155.4M (appraised at $158.0M), financed with an $84.0M PNC Bank loan (7-year term, maturing March 2033, variable SOFR+1.45% hedged to an effective fixed 4.837%) at 51.20% loan-to-cost, and leases it to a Brookfield/BF REIT-affiliated Master Tenant. Exit options include an optional Section 721 FMV rollover into the Brookfield REIT (BF REIT) operating partnership for OP units or cash, with a ~7-year base-case hold to loan maturity.</t>
    </r>
  </si>
  <si>
    <r>
      <rPr/>
      <t xml:space="preserve">The Property is 100% leased to Amazon (S&amp;P/Moody's AA/A1), among the strongest corporate credits in net lease, on an absolute-triple-net basis. The lessee is </t>
    </r>
    <r>
      <rPr>
        <color rgb="FF1155CC"/>
        <u/>
      </rPr>
      <t>Amazon.com</t>
    </r>
    <r>
      <rPr/>
      <t xml:space="preserve"> Services LLC, the operating subsidiary, and the building is a purpose-built last-mile distribution facility integral to Amazon's Boston-market logistics, supporting renewal probability; the renewal options reset at 98% of fair market value, a modest below-market mechanic.</t>
    </r>
  </si>
  <si>
    <t>The lease is long-dated, with ~12 years of remaining term (base term to March 2046) and fixed 2.5% annual rent increases, providing durable, contractually escalating income well beyond the 7-year base-case hold and underpinning residual value at exit.</t>
  </si>
  <si>
    <t>The asset occupies an irreplaceable infill location less than five miles north of downtown Boston in a dense, supply-constrained submarket with limited developable industrial land, a high-barrier last-mile position that supports both in-place rent and exit pricing; 2022 Class A construction and expandable loading capacity add functional durability.</t>
  </si>
  <si>
    <t>The $84.0M PNC Bank loan (unaffiliated lender) at an effective fixed 4.837% generates positive leverage over the asset's in-place yield, lifting investor cash-on-cash to a 6.10% going-in and ramping to 7.96% by year 7, a materially higher current yield than unlevered net-lease DSTs. The interest-only structure maximizes distributions, but the full $84.0M balloons at the March 2033 maturity and the interest-rate hedge resets at the fifth anniversary.</t>
  </si>
  <si>
    <t>The offering is sponsored by Brookfield (via Brookfield Real Estate Income Trust and its operating partnership), carries a comparatively low 7.50% total load with no separate acquisition fee, and provides an optional Section 721 UPREIT into BF REIT's operating partnership, a tax-deferred path into a large, diversified institutional REIT platform.</t>
  </si>
  <si>
    <t>A debt-advantaged single-tenant net-lease DST anchored by a AA/A1 Amazon credit on a long-dated (~12-year, to 2046) absolute-triple-net lease with 2.5% annual escalators, in an irreplaceable urban-infill location less than five miles from downtown Boston. The 2022 Class A construction, a $155.4M purchase below the $158.0M appraised value, and effective fixed 4.837% PNC financing produce strong positive leverage, lifting cash-on-cash from 6.10% to 7.96% over the seven-year hold (~7.01% average), well above unlevered net-lease peers. The total load is low at 7.50% with no acquisition fee, the lender is an unaffiliated third party (PNC), Year 1 DSCR is a healthy 2.33x, and the optional Section 721 FMV option offers a tax-deferred rollover into Brookfield's institutional REIT platform.</t>
  </si>
  <si>
    <t>The trust is a single asset with a single tenant, so all cash flow and residual value depend on Amazon's performance and the ultimate renewal of one lease; the lessee is the operating subsidiary (Amazon.com Services LLC) and renewal options reset at 98% of fair market value. The $84.0M loan is interest-only with the full balance ballooning at the March 2033 maturity, and the rate is fixed only via a hedge that must be extended or replaced at the fifth anniversary, introducing hedge-rollover and cost risk plus a refinancing wall at year 7 that the sponsor's own forecast assumes is met by raising additional investor capital. The master tenant is a thinly capitalized Brookfield affiliate funded through the Operating Partnership, and sponsor, master tenant, and 721 counterparty roles are concentrated within the Brookfield family. The site carries identified environmental conditions (an Activity and Use Limitation with sub-slab vapor-mitigation over residual subsurface contamination) and roof and membrane warranties of varying duration (expiring 2032-2042), and the specialized last-mile configuration concentrates re-leasing risk if Amazon vacates. Any 721 consideration would be units in a non-listed Brookfield REIT vehicle, illiquid with sponsor-controlled NAV.</t>
  </si>
  <si>
    <t>BREX Net Lease Industrial I is an institutionally sponsored, leveraged single-tenant net-lease DST whose return is driven by positive financial leverage on a top-tier credit rather than operational upside: an effective fixed 4.837% loan lifts a contractually 2.5%-escalating Amazon income stream to a 6.10%-to-7.96% cash-on-cash ramp (~7.01% average) over a seven-year hold. The investment case rests on the durability of one AA/A1 tenant in an irreplaceable Boston infill location on a lease running to 2046, well beyond the hold, which supports residual value, while the comparatively low 7.50% load and unaffiliated PNC financing distinguish it from higher-fee, affiliated-lender DSTs. The dominant risk-adjusted considerations are single-asset and single-tenant concentration, the interest-only balloon and hedge reset at the 2033 maturity (the base-case exit point, with the forecast assuming additional capital is raised if the loan is extended), and the form and timing of the optional Section 721 conversion into Brookfield's non-listed REIT operating partnership. Underwriting feasibility is high on in-place contractual income given Amazon's credit and the long lease; the credible variance lies in exit pricing, refinancing conditions at year 7, and eventual UPREIT terms rather than in-place cash flow. No tax-equivalent yield is disclosed in the offering materials.</t>
  </si>
  <si>
    <t>PNC Bank, National Association</t>
  </si>
  <si>
    <t>4.84% (Fixed via hedge)</t>
  </si>
  <si>
    <t>2.33x</t>
  </si>
  <si>
    <t>34 Market Street, Everett, MA</t>
  </si>
  <si>
    <t>https://lh3.googleusercontent.com/d/1AgkmSZx56AVVBdJWPqlDqfYNMqSiQ0sq</t>
  </si>
  <si>
    <t>brex-net-lease-industrial-i-dst</t>
  </si>
  <si>
    <t>sponsors/brookfield</t>
  </si>
  <si>
    <t>BR Parkview Multifamily, DST</t>
  </si>
  <si>
    <t>49.45% LTV</t>
  </si>
  <si>
    <t>GA</t>
  </si>
  <si>
    <t>13.67%</t>
  </si>
  <si>
    <t>A newly-built (2023) Class A garden-style apartment community, the District at Parkview, at 5141 Stone Mountain Highway, Stone Mountain GA 30087, in Gwinnett County (Atlanta Metro), on 15.55 acres with 264 units across 10 buildings totaling 255,117 net rentable SF (one-, two-, and three-bedroom plans averaging 966 SF). The Trust acquired the Property for ~$66.6M (~$1.5M below appraised value), financed with a $38,625,000 KeyBank/Fannie Mae DUS first mortgage (49.45% loan-to-capitalization, 5.18% fixed, interest-only, maturing January 2036) and equity. The business plan is a stabilized newly-built hold with rental-rate-growth upside driven by marketing/SEO and revenue-management initiatives, below-market rents (~41% discount to homeownership), and a 2026-2027 tax-assessment freeze, with a nationally recognized third-party manager (sub-manager RPM Living). The Property is leased to an affiliated Master Tenant (BHM Parkview Leaseco, LLC) under a 10-year master lease paying Base Rent (debt service), Additional Rent (monthly distributions, ~4.30% going-in), and Supplemental Rent (annual performance distribution). Gwinnett County leads the Atlanta Metro in population growth with forecast housing demand ~5x the current construction pace through 2040, and the site sits in an A- (Niche) school district. Exit options include an optional Section 721 FMV rollover into a Bluerock-affiliated (Bluerock Homes Trust; NYSE American: BHM) operating partnership.</t>
  </si>
  <si>
    <t>The asset is newly-built 2023-vintage Class A product with top-of-market finishes and amenities (saltwater pool, 24/7 fitness center, club room, EV charging), acquired ~$1.5M below appraised value, providing a modest day-one equity cushion on new construction with minimal near-term capital needs.</t>
  </si>
  <si>
    <t>The Property sits in a supply-constrained, high-growth submarket: Gwinnett County ranks #1 in Atlanta-Metro population growth (27% over the prior decade), with forecast housing demand ~5x the current pace of new construction through 2040 and an A- (Niche) school district, supporting occupancy and rent durability.</t>
  </si>
  <si>
    <t>The rental-growth thesis is operational rather than physical: marketing/SEO and revenue-management initiatives, a ~41% discount to homeownership, and a 2026-2027 tax-assessment freeze are projected to lift cash-on-cash from 4.40% to 6.35% through performance-based Supplemental Rent, with no renovation program on the 2023-vintage asset.</t>
  </si>
  <si>
    <t>Financing is a $38.625M KeyBank loan under the Fannie Mae DUS program, fixed at 5.18% and interest-only for the full 10-year term (maturing January 2036) at 49.45% loan-to-capitalization, delivering a 1.91x Year 1 DSCR. The interest-only structure maximizes current distributions, but the full principal balloons at maturity with prepayment and defeasance provisions that constrain the exit.</t>
  </si>
  <si>
    <t>The master lease channels return through Base Rent (debt service), a flat ~4.30% Additional Rent monthly distribution, and Supplemental Rent (90% of revenue above a stated breakpoint), with an optional Section 721 FMV rollover into a Bluerock-affiliated (Bluerock Homes Trust; NYSE American: BHM) operating partnership as a tax-deferred exit; the affiliated master tenant retains the Base-Rent spread and 10% of Supplemental Rent.</t>
  </si>
  <si>
    <t>A newly-built (2023) Class A multifamily asset in the supply-constrained, fast-growing Gwinnett County submarket of the Atlanta Metro, acquired ~$1.5M below appraised value at the in-place yield with minimal near-term capital needs and an A- school district supporting demand. Fannie Mae DUS fixed-rate financing at 5.18% provides a healthy 1.91x Year 1 DSCR with interest-only payments that maximize current distributions, and the master-lease Supplemental Rent gives investors performance-linked upside that ramps cash-on-cash from 4.40% to 6.35% (~5.04% average). Depreciation shelter is substantial (~86%-153% of cash flow sheltered; ~8.78% average tax-equivalent yield), a 2026-2027 tax-assessment freeze supports early NOI, and broad multifamily tailwinds (a national housing shortage, depressed new supply, and a widening homeownership affordability gap) reinforce the rental thesis. The optional Section 721 FMV option offers a tax-deferred rollover into a Bluerock-affiliated operating partnership.</t>
  </si>
  <si>
    <t>The going-in distribution is modest at 4.30% (Base plus Additional Rent), and reaching the 6.35% forecast depends on revenue-management execution and organic rent growth clearing the Supplemental Rent breakpoint rather than fully contractual income. The day-one equity cushion is thin (acquired only ~$1.5M, ~2.2%, below appraised value) against 49.45% leverage, and the KeyBank loan is interest-only with the full $38.625M ballooning at the January 2036 maturity, with prepayment and defeasance provisions that constrain the 7-10 year exit window. The master tenant (BHM Parkview Leaseco) is a thinly capitalized Sponsor affiliate funded by an Operating Partnership demand note and retains the Base-Rent-to-breakpoint spread plus 10% of Supplemental Rent, partially misaligning upside. The Property is single-asset, single-market (Stone Mountain/Gwinnett), the rent-growth thesis is exposed to Atlanta-Metro multifamily supply and any submarket softening, and the tax-assessment freeze expires after 2027, after which property-tax expense may step up. Total load is high at ~13.67% of equity (including a 4.22% acquisition fee) plus a disposition fee, and the 721 consideration would be units in a Bluerock-affiliated operating partnership, an illiquid, sponsor-controlled vehicle.</t>
  </si>
  <si>
    <t>BR Parkview Multifamily is a leveraged, newly-built Class A multifamily DST whose return profile mirrors Bluerock's other master-lease offerings: a modest ~4.30% contractual Additional Rent floor plus performance-linked Supplemental Rent that, if rent growth materializes, lifts cash-on-cash to ~6.35% and averages ~5.04% over a 7-10 year hold. Unlike a physical value-add play (e.g., the sponsor's Churchill Downs), the thesis here rests on operational and market-driven upside - marketing, SEO, revenue management, below-market rents, and a tax-assessment freeze - applied to a stabilized 2023-vintage asset in supply-constrained Gwinnett County, which is why it reads as core-plus rather than value-add. The Fannie Mae DUS fixed-rate interest-only loan provides solid 1.91x coverage and front-loads distributions but builds no equity and balloons in 2036, so terminal value hinges on NOI growth and exit pricing against a thin day-one basis discount. The after-tax profile is a meaningful draw (~8.78% average tax-equivalent yield on high depreciation shelter, ~86%-153% of cash flow). The dominant sensitivities are submarket rent growth and execution of the revenue-management plan, the post-2027 step-up in property taxes once the freeze expires, Atlanta-Metro multifamily supply, and refinancing or selling the balloon within the hold window; the optional Section 721 FMV conversion into a Bluerock-affiliated (Bluerock Homes Trust, NYSE American: BHM) operating partnership offers a tax-deferred alternative exit into an illiquid, sponsor-controlled vehicle.</t>
  </si>
  <si>
    <t>5.18% (Fixed)</t>
  </si>
  <si>
    <t>1.91x</t>
  </si>
  <si>
    <t>5141 Stone Mountain Highway, Stone Mountain, GA 30087</t>
  </si>
  <si>
    <t>https://lh3.googleusercontent.com/d/1xO96McQnNjSgKdvqpX8IjOJbNwbyVxL1</t>
  </si>
  <si>
    <t>br-parkview-multifamily-dst</t>
  </si>
  <si>
    <t>Colorado Growth 1 - Holly Ridge DST</t>
  </si>
  <si>
    <t>Walton Global Holdings</t>
  </si>
  <si>
    <t>Land</t>
  </si>
  <si>
    <t>CO</t>
  </si>
  <si>
    <t>14.98%</t>
  </si>
  <si>
    <t>Opportunistic</t>
  </si>
  <si>
    <t>None</t>
  </si>
  <si>
    <t>4-5 years</t>
  </si>
  <si>
    <t>A Walton Global Holdings-sponsored land-banking offering to acquire ~70.5 acres of undeveloped agricultural land at the northwest corner of State Highway 7 and Holly Street in unincorporated Adams County, Colorado, in the path of growth toward the City of Thornton in the north Denver metro. The Trust acquires the land all-cash/free-and-clear for ~$4,500,000 within a $6,469,972 all-equity raise (inclusive of syndication costs, a sponsor acquisition fee, a prepaid asset-management fee, trust expenses, and reserves). The Property is not presently zoned or entitled; the business plan is to hold the raw land for appreciation and, after a minimum 12-month hold post-final-closing, market it for sale to a national homebuilder or developer via a single-buyer staged sale (up to two installments) over an anticipated ~4-5 year hold. The Trust generates no rental revenue and makes no distributions to investors until the land is sold - the entire return is appreciation realized on disposition. There is no debt, no master lease, no current income, and no 721/UPREIT exit; the bare legal title is held by the Administrative Trustee (Holly Ridge Keeper, LLC) and the Dealer Manager is ARKap Markets, LLC. Adams County/north Denver is a high-growth corridor, but the investment carries entitlement, zoning, wetlands, and absorption risk, with no assurance the exit is achieved.</t>
  </si>
  <si>
    <t>This is a pure land-banking appreciation play: the Trust acquires raw agricultural land for ~$4.5M with the sole objective of realizing appreciation on a future sale to a homebuilder or developer. There is no current income, so the return is binary on the eventual disposition price and timing rather than on contractual cash flow.</t>
  </si>
  <si>
    <t>The ~70.5-acre parcel sits in a path-of-growth location at SH-7 and Holly Street in unincorporated Adams County, in the growth corridor of the City of Thornton in the north Denver metro, a market with population and housing demand that underpins the land-appreciation thesis.</t>
  </si>
  <si>
    <t>The land is acquired debt-free and all-cash with no mortgage, eliminating refinancing, maturity, and foreclosure risk and removing carry-cost leverage. The offsetting feature is that, with no income, reserves and a prepaid asset-management fee are funded upfront from offering proceeds to cover a multi-year hold.</t>
  </si>
  <si>
    <t>Entitlement and zoning are unresolved: the Property is not presently zoned or entitled for development, future entitlements would follow City of Thornton zoning upon annexation (per the Otten Johnson entitlement memo), and the National Wetlands Inventory flags potential wetlands. Both are gating items to a developer sale and represent the central execution risk.</t>
  </si>
  <si>
    <t>The exit is a staged sale over an anticipated ~4-5 year hold: after a minimum 12-month hold the Trust intends a single-buyer staged sale of up to two installments. If no third-party developer is willing or able to buy on the intended terms, the land may be sold on commercially reasonable terms or to an affiliate of the Administrative Trustee, a conflict-of-interest and pricing risk.</t>
  </si>
  <si>
    <t>A debt-free, all-cash land-banking DST offering exposure to ~70.5 acres of undeveloped land in the high-growth north Denver/Adams County corridor (path of growth toward Thornton), sponsored by Walton Global Holdings, an established land-investment platform. The unlevered structure removes refinancing, maturity, and foreclosure risk, and the comparatively low ~$4.5M land basis against a growing residential market underpins the appreciation thesis. The offering provides 1031-eligible like-kind real property with a defined business plan (hold, then staged sale to a homebuilder/developer over ~4-5 years) and a clean capital structure with reserves funded upfront to carry the hold.</t>
  </si>
  <si>
    <t>The Property is raw, unentitled agricultural land that generates no income and pays no distributions until sale, so the entire return depends on achieving a future disposition at an appreciated price, with no current yield to cushion a delayed or failed exit. Entitlement and zoning are unresolved (the land is not presently zoned; entitlements depend on annexation to the City of Thornton), and the National Wetlands Inventory flags potential wetlands, either of which could impair developability and the sale. The exit is concentrated in a single anticipated buyer type over a staged sale, with a fallback permitting sale to an affiliate of the Administrative Trustee, a conflict and pricing risk. The offering is small ($6.47M) and single-asset, the load is high (~14.98% of equity, before a further 5.56% prepaid asset-management fee and a disposition fee), and only ~69.55% of proceeds funds the land basis. Hold duration is uncertain (anticipated 4-5 years, but the asset-management agreement runs 10 years), exposing investors to absorption timing and Denver land-market cyclicality.</t>
  </si>
  <si>
    <t>Colorado Growth 1 - Holly Ridge is structurally unlike an income-producing net-lease or multifamily DST: it is a speculative, unlevered land-banking vehicle whose return is entirely appreciation realized on a future sale of ~70.5 acres of unentitled Denver-metro land, with no rental income, no distributions during the hold, no master lease, and no 721/UPREIT exit. The thesis rests on north Adams County's growth trajectory and the land's eventual entitlement and absorption by a homebuilder/developer, so the dominant sensitivities are entitlement/zoning success (annexation to Thornton, wetlands resolution), the depth of homebuilder lot demand and pricing at exit, and the timing of the staged sale within the anticipated 4-5 year hold. The debt-free structure removes financing risk but offers no income to offset a delayed exit, and the upfront load (~14.98%) plus a prepaid 5.56% asset-management fee and reserves mean a meaningful portion of equity is consumed by fees and carry rather than land basis. Underwriting feasibility cannot be assessed on contractual cash flow as with the other ledger holdings; it is a binary, appreciation-only, opportunistic bet on Denver-corridor land values and entitlement execution, with an affiliate-sale fallback that warrants scrutiny. This is the first non-income, opportunistic land position in the portfolio and is not comparable to the income-distributing DSTs on the sheet.</t>
  </si>
  <si>
    <t>N/A (no income)</t>
  </si>
  <si>
    <t>NWC State Highway 7 &amp; Holly Street, Adams County, CO</t>
  </si>
  <si>
    <t>https://drive.google.com/file/d/1m482JRkcE8IzqWa604lKtvUl4fTBH45F/view?usp=sharing</t>
  </si>
  <si>
    <t>colorado-growth-1-holly-ridge-dst</t>
  </si>
  <si>
    <t>sponsors/walton-global-holdings</t>
  </si>
  <si>
    <t>property-type/land</t>
  </si>
  <si>
    <t>ExchangeRight Net-Leased All-Cash 19 DST</t>
  </si>
  <si>
    <t>ExchangeRight</t>
  </si>
  <si>
    <t>Net Lease</t>
  </si>
  <si>
    <t>WA, AL, IL</t>
  </si>
  <si>
    <t>9.46%</t>
  </si>
  <si>
    <t>A debt-free portfolio of three single-tenant, necessity-based net-leased retail properties (122,149 SF total; 10.7-year WALT) acquired in early 2026 and held free and clear, sponsored by ExchangeRight Real Estate, LLC. The portfolio comprises a ~68,459 SF Fred Meyer (a wholly-owned Kroger Co. subsidiary; Kroger S&amp;P BBB) on ~11.65 acres in Shelton WA on a double-net (NN) lease (~58% of NOI; grocery plus fuel), a 50,354 SF Hobby Lobby in Scottsboro AL leased through 2040 (~29% of NOI; three 5-year options), and a 3,336 SF Verizon Wireless (Cellular Sales of Illinois, LLC) in Roscoe IL leased through 2035 (~13% of NOI; two 5-year options). Going-in cash flow is 5.15%, escalating to 5.49% by year 10 (~5.26% average) on contractual rent. The all-equity structure removes refinancing and maturity risk. The exit is ExchangeRight's REIT aggregation strategy: the Essential Income REIT is targeted to acquire the DST interests within ~10 years via an optional Section 721 exchange, with cash-out and combination elections available. The $26,950,000 offering is 100 Class 1 interests at $269,500 ($100,000 minimum equity).</t>
  </si>
  <si>
    <t>The three-property portfolio is held free and clear with no mortgage, eliminating refinancing, maturity, rate-cap, and foreclosure risk and the equal-or-greater-debt 1031 requirement. Tenants operate in historically recession-resilient, necessity-based retail (grocery, discount craft retail, wireless), supporting income durability through cycles.</t>
  </si>
  <si>
    <t>Fred Meyer (a wholly-owned Kroger subsidiary; Kroger Co. S&amp;P BBB) anchors ~58% of NOI on a grocery-plus-fuel format, providing an investment-grade credit backbone. The same fact concentrates the majority of income in a single tenant on a double-net (NN, not absolute-NNN) lease that leaves the trust with certain structural and capital responsibilities.</t>
  </si>
  <si>
    <t>A 10.7-year weighted-average lease term with staggered expirations (Verizon 2035, Hobby Lobby 2040) plus renewal options across all three tenants underpins durable contractual income across the targeted hold. Income growth is modest and contractual, lifting cash-on-cash only from 5.15% to 5.49% over ten years.</t>
  </si>
  <si>
    <t>The offering is engineered as a feeder into ExchangeRight's Essential Income REIT, which targets acquiring the DST interests within ~10 years. Investors may elect a tax-deferred Section 721 exchange into the REIT operating partnership, a cash-out, or a combination, providing a defined (if sponsor- and REIT-capital-dependent) exit path.</t>
  </si>
  <si>
    <t>Total upfront load is comparatively low at ~9.46% of equity (7.23% selling/offering plus a 1.98% acquisition fee and a 0.25% reallowance), modest for an all-cash DST, with ~1.48% of proceeds funded into reserves for operations and asset management.</t>
  </si>
  <si>
    <t>A debt-free, three-property single-tenant net-lease portfolio of necessity-based retail (Fred Meyer/Kroger grocery, Hobby Lobby, Verizon) with a 10.7-year WALT and a 5.15% going-in cash flow escalating to 5.49% (~5.26% average), sponsored by ExchangeRight, a scaled net-lease DST/REIT platform (1,400+ properties across 47 states at the platform level). The unlevered structure removes all refinancing, maturity, and foreclosure risk and the equal-or-greater-debt 1031 requirement, and the largest tenant (Fred Meyer) is backed by investment-grade Kroger (S&amp;P BBB) at ~58% of NOI. The total load is comparatively low at ~9.46%, and the offering provides a defined exit through ExchangeRight's REIT aggregation strategy with an optional Section 721 tax-deferred rollover into the Essential Income REIT plus cash-out and combination elections.</t>
  </si>
  <si>
    <t>Income is concentrated in three assets and effectively two credits, with Fred Meyer/Kroger alone at ~58% of NOI, so a single vacancy or non-renewal is materially binary to portfolio cash flow; the Fred Meyer lease is double-net (NN), not absolute-triple-net, leaving the trust with certain structural, roof, and parking-lot capital responsibilities funded only from a modest ~1.48% reserve. The Verizon lease is the shortest (2035 expiry) on the smallest, most specialized 3,336 SF unit, creating earlier rollover exposure, and the lessee is a Verizon dealer (Cellular Sales of Illinois) rather than Verizon Communications itself. Going-in cash flow is modest at 5.15% with only ~0.34% of cumulative escalation over ten years (largely flat, contractual income with no value-add or operational upside), and the absence of leverage caps levered return. The targeted REIT-aggregation/721 exit is not guaranteed and depends on the ExchangeRight Essential Income REIT's capital availability and willingness to acquire the interests; any 721 consideration would be units in a non-traded, sponsor-controlled REIT operating partnership with sponsor-set NAV and limited liquidity. The portfolio is small ($26.95M), and the Sponsor's affiliated equity-financing/bridge arrangement is repaid from offering proceeds.</t>
  </si>
  <si>
    <t>ExchangeRight Net-Leased All-Cash 19 is a debt-free, income-oriented core net-lease vehicle whose return is almost entirely contractual: a 5.15%-to-5.49% cash-on-cash schedule (~5.26% average) sourced from three single-tenant necessity-retail leases with a 10.7-year WALT, with no leverage and no value-add component. The credit profile is anchored by investment-grade Kroger (via Fred Meyer, ~58% of NOI) but is concentrated in two effective credits across three assets, and the Fred Meyer NN lease plus a short-dated, specialized Verizon unit are the principal asset-level vulnerabilities. The defining structural feature is ExchangeRight's REIT aggregation model: the offering is designed as a feeder whose likely terminal path is a Section 721 roll-up into the non-traded Essential Income REIT rather than a third-party sale - attractive for tax-deferral continuity and stable income, but ceding control, liquidity, and valuation transparency to a sponsor-managed NAV REIT and contingent on that REIT's capital. The debt-free design is genuinely defensive in a higher-for-longer environment and the ~9.46% load is comparatively low for an all-cash DST, but the modest, largely flat going-in yield and the absence of leverage cap total return, leaving terminal value and tenant retention at the 2035/2040 expirations as the dominant sensitivities. No tax-equivalent yield is disclosed.</t>
  </si>
  <si>
    <t>301 E Wallace Kneeland Blvd, Shelton, WA</t>
  </si>
  <si>
    <t>https://drive.google.com/file/d/1yzlNMlrLLF0QvOpMI1WRQfL2c1xUiGG2/view?usp=sharing</t>
  </si>
  <si>
    <t>exchangeright-netleased-allcash-19-dst</t>
  </si>
  <si>
    <t>sponsors/exchangeright</t>
  </si>
  <si>
    <t>property-type/net-lease</t>
  </si>
  <si>
    <t>ExchangeRight Net-Leased All-Cash 20 DST</t>
  </si>
  <si>
    <t>TX, SC, AL</t>
  </si>
  <si>
    <t>8.83%</t>
  </si>
  <si>
    <t>A debt-free portfolio of six single-tenant, necessity-based net-leased retail properties (9.9-year WALT) acquired in early 2026 and held free and clear, sponsored by ExchangeRight Real Estate, LLC. The portfolio comprises two Dollar General stores (S&amp;P BBB), a Dollar Tree (Dollar Tree, Inc.; S&amp;P BBB; El Paso TX, to 2036), an O'Reilly Auto Parts (S&amp;P BBB-; Belton TX, to 2033), a Napa Auto Parts (Genuine Parts Co.; investment grade), and a Tractor Supply (Tractor Supply Co.; S&amp;P BBB), located across Texas (Burleson, El Paso, Belton, Converse), South Carolina (Sumter), and Alabama (Pelham). The properties are leased to an affiliated Master Lessee under a triple-net (NNN) master lease (Annual Base Rent $970,217-$1,186,055), with income diversified so the largest tenant is only ~28% of NOI. Going-in cash flow is 5.20%, escalating to 5.70% by year 10 (~5.40% average) on contractual rent. The all-equity structure removes refinancing and maturity risk. The exit is ExchangeRight's REIT aggregation strategy: the Essential Income REIT is targeted to acquire the DST interests within ~10 years via an optional Section 721 exchange, with cash-out and combination elections available. The $17,800,000 offering is 100 Class 1 interests at $178,000 ($100,000 minimum equity).</t>
  </si>
  <si>
    <t>The portfolio is held free and clear with no mortgage and is leased entirely to investment-grade-rated operators (Dollar General BBB, Dollar Tree BBB, O'Reilly BBB-, Tractor Supply BBB, Napa/Genuine Parts investment grade) in necessity-based discount-retail and auto-parts categories. The combination supports income durability through cycles and removes refinancing, maturity, and foreclosure risk and the equal-or-greater-debt 1031 requirement.</t>
  </si>
  <si>
    <t>Income is diversified across six assets and five tenant brands with no dominant tenant: the largest single tenant is only ~28% of NOI (~28/26/20/14/12% split). This is a materially more diversified cash-flow base than a single-anchor net-lease deal and a notable contrast to the sponsor's smaller All-Cash 19 portfolio, where one tenant carried ~58% of NOI.</t>
  </si>
  <si>
    <t>The affiliated Master Lessee bears all operating expenses, taxes, insurance, and non-structural capital improvements under a triple-net (NNN) master lease (Annual Base Rent $970,217-$1,186,055), insulating distributable cash from operating inflation, with a ~1.48% reserve funded for capital items. This is a cleaner structure than a double-net lease that would leave the trust with structural responsibility.</t>
  </si>
  <si>
    <t>A 9.9-year weighted-average lease term with staggered expirations (e.g., O'Reilly 2033, Dollar Tree 2036) underpins durable contractual income across the targeted hold. Income growth is modest and contractual, lifting cash-on-cash from 5.20% to 5.70% over ten years rather than through operational upside.</t>
  </si>
  <si>
    <t>Total upfront load is low at ~8.83% of equity (7.51% selling/offering plus a 1.07% acquisition fee and a 0.25% reallowance) - among the lowest on the ledger - and the offering feeds ExchangeRight's Essential Income REIT, which targets acquiring the DST interests within ~10 years via an optional Section 721 exchange, cash-out, or combination.</t>
  </si>
  <si>
    <t>A debt-free, six-property single-tenant net-lease portfolio of necessity-based discount-retail and auto-parts tenants (Dollar General, Dollar Tree, O'Reilly, Napa, Tractor Supply) - all investment-grade-rated - with a 9.9-year WALT and a 5.20% going-in cash flow escalating to 5.70% (~5.40% average), sponsored by ExchangeRight, a scaled net-lease DST/REIT platform. Income is well diversified across six assets and five brands with no tenant above ~28% of NOI, the master lease is triple-net, and the unlevered structure removes all refinancing, maturity, and foreclosure risk and the equal-or-greater-debt 1031 requirement. The total load is low at ~8.83%, and the offering provides a defined exit through ExchangeRight's REIT aggregation with an optional Section 721 tax-deferred rollover into the Essential Income REIT plus cash-out and combination elections.</t>
  </si>
  <si>
    <t>Going-in cash flow is modest at 5.20% with only ~0.50% of cumulative escalation over ten years (largely flat, contractual income with no value-add or operational upside), and the absence of leverage caps total return. The leases sit with operating subsidiaries/store-level entities rather than rated parents, and the auto-parts and dollar-store formats are smaller, more fungible boxes whose re-leasing economics depend on local trade-area demand at the 2033/2036 expirations. Geographic concentration is heavy in Texas (four of six assets), exposing the portfolio to a single state's retail and economic conditions. The targeted REIT-aggregation/721 exit is not guaranteed and depends on the ExchangeRight Essential Income REIT's capital availability and willingness to acquire the interests; any 721 consideration would be units in a non-traded, sponsor-controlled REIT operating partnership with sponsor-set NAV and limited liquidity. The portfolio is small ($17.8M), the master tenant and manager are sponsor affiliates, and the Sponsor's affiliated equity-financing/bridge arrangement is repaid from offering proceeds.</t>
  </si>
  <si>
    <t>ExchangeRight Net-Leased All-Cash 20 is a debt-free, income-oriented core net-lease vehicle whose return is almost entirely contractual: a 5.20%-to-5.70% cash-on-cash schedule (~5.40% average) from six single-tenant necessity-retail leases with a 9.9-year WALT, no leverage, and no value-add. Relative to the sponsor's smaller All-Cash 19, this portfolio is more diversified (six assets/five brands, largest tenant ~28% of NOI versus a 58% anchor) and carries a uniformly investment-grade tenant roster on a true triple-net master lease - a cleaner credit and structural profile - at a slightly higher 5.20% going-in yield and a lower ~8.83% load. The defining structural feature remains ExchangeRight's REIT aggregation model: the likely terminal path is a Section 721 roll-up into the non-traded Essential Income REIT rather than a third-party sale, attractive for tax-deferral continuity and stable income but ceding control, liquidity, and valuation transparency to a sponsor-managed NAV REIT and contingent on that REIT's capital. The debt-free design is defensive in a higher-for-longer environment, but the modest, largely flat yield and the absence of leverage cap total return, leaving terminal value, Texas concentration, and tenant retention at the 2033/2036 expirations as the dominant sensitivities. No tax-equivalent yield is disclosed.</t>
  </si>
  <si>
    <t>https://drive.google.com/file/d/1d1-4SuX32UpB2w3VvGO2kwoCis6n2sj9/view?usp=sharing</t>
  </si>
  <si>
    <t>exchangeright-netleased-allcash-20-dst</t>
  </si>
  <si>
    <t>ExchangeRight Net-Leased Portfolio 75 DST</t>
  </si>
  <si>
    <t>43.97% LTV</t>
  </si>
  <si>
    <t>TX, MI, OH, AR, NJ, GA</t>
  </si>
  <si>
    <t>9.36%</t>
  </si>
  <si>
    <t>5 years</t>
  </si>
  <si>
    <t>A leveraged, diversified portfolio of six single-tenant net-leased properties (11.8-year WALT) acquired in early 2026 across six states, sponsored by ExchangeRight Real Estate, LLC. The portfolio spans retail, logistics, and healthcare necessity-based tenants: a FedEx distribution facility (303,596 SF, Little Rock AR, ~46% of NOI, to 2036), a Hobby Lobby (54,640 SF, East Hanover NJ, to 2036), a BioLife Plasma Services center (Takeda/Baxalta-guaranteed; Takeda S&amp;P BBB+; Burleson TX, to 2039), two Dollar General stores (S&amp;P BBB; Adrian MI and Strongsville OH, to 2041), and a Tractor Supply (S&amp;P BBB; Villa Rica GA, to 2046). Five of the six tenants are investment-grade-rated. The properties were acquired for an aggregate $74.2M; total capitalization is $84,900,000 ($47,570,000 equity + $37,330,000 non-recourse debt; 43.97% LTV). Financing is a $37.33M Wells Fargo loan, 5.120% fixed, interest-only for a 5-year term (closed April 2026), non-recourse, prepayable without penalty in the final six months. Going-in cash flow is 5.00%, escalating to 5.62% by year 5 (~5.30% average); Year 1 DSCR is 2.32x. The exit is ExchangeRight's REIT aggregation: the Essential Income REIT is targeted to acquire the DST interests (with an optional Section 721 exchange, cash-out, or combination) around the 5-year loan maturity.</t>
  </si>
  <si>
    <t>Six single-tenant assets across six states, five industries, and five tenant brands, with five of six tenants investment-grade-rated (Takeda/BioLife BBB+, FedEx BBB, Dollar General BBB x2, Tractor Supply BBB; Hobby Lobby private), spanning retail, logistics, and healthcare necessity-based uses - a genuinely diversified footprint by geography and sector.</t>
  </si>
  <si>
    <t>The 303,596 SF FedEx distribution facility in Little Rock AR is the largest asset at ~46% of NOI, a long-haul logistics box leased to an investment-grade credit through 2036 - a meaningful credit anchor that simultaneously concentrates nearly half of portfolio income in one tenant and one specialized asset.</t>
  </si>
  <si>
    <t>An 11.8-year weighted-average lease term with staggered expirations (FedEx/Hobby Lobby 2036, BioLife 2039, Dollar General 2041, Tractor Supply 2046) underpins durable contractual income well beyond the 5-year loan/hold. Income growth is modest and contractual, lifting cash-on-cash from 5.00% to 5.62%.</t>
  </si>
  <si>
    <t>A $37.33M Wells Fargo (unaffiliated lender) non-recourse loan at 43.97% LTV, fixed at 5.120% and interest-only for the 5-year term, generates positive leverage and a healthy 2.32x Year 1 DSCR. The full principal balloons at the 2031 maturity (a 5-year refinancing/exit wall), and a 1.40x DSCR cash-trap covenant could suspend distributions if NOI falls.</t>
  </si>
  <si>
    <t>Total upfront load is ~9.36% of equity (7.12% selling/offering plus a 1.24% acquisition fee and a 1.00% reallowance), and the offering feeds ExchangeRight's Essential Income REIT, targeted to acquire the DST interests around the 5-year loan maturity via an optional Section 721 exchange, cash-out, or combination.</t>
  </si>
  <si>
    <t>A leveraged, diversified six-property single-tenant net-lease portfolio across six states and five industries (retail, logistics, healthcare), with an 11.8-year WALT and five of six tenants investment-grade-rated (Takeda/BioLife BBB+, FedEx BBB, Dollar General BBB, Tractor Supply BBB). Wells Fargo non-recourse financing at a conservative 43.97% LTV, fixed at 5.120% and interest-only, generates positive leverage and a healthy 2.32x Year 1 DSCR while lifting cash-on-cash from 5.00% to 5.62% (~5.30% average) over the 5-year forecast. The total load is comparatively low at ~9.36%, the lender is an unaffiliated third party (Wells Fargo), and the offering provides a defined exit through ExchangeRight's REIT aggregation with an optional Section 721 tax-deferred rollover into the Essential Income REIT.</t>
  </si>
  <si>
    <t>Despite the diversified branding, income is concentrated in the FedEx distribution facility at ~46% of NOI on a single specialized logistics asset expiring 2036, so FedEx renewal/credit is materially binary to portfolio cash flow; the top two tenants (FedEx, Hobby Lobby) are ~68% of NOI. The Wells Fargo loan is interest-only with the full $37.33M ballooning at the 5-year (2031) maturity, a near-term refinancing/exit wall in an uncertain rate environment, with a 1.40x DSCR cash-trap covenant. Going-in cash flow is modest at 5.00% with only ~0.62% of cumulative escalation over the five-year forecast, and the leases sit with operating subsidiaries/store entities rather than rated parents (Hobby Lobby is private and unrated). The targeted REIT-aggregation/721 exit is not guaranteed and depends on the ExchangeRight Essential Income REIT's capital availability; any 721 consideration would be units in a non-traded, sponsor-controlled REIT operating partnership with sponsor-set NAV and limited liquidity. The master tenant and manager are sponsor affiliates, and the Sponsor's affiliated short-term equity-financing/bridge arrangement is repaid from offering proceeds.</t>
  </si>
  <si>
    <t>ExchangeRight Net-Leased Portfolio 75 is a moderately leveraged, income-oriented core net-lease vehicle, distinct from the sponsor's debt-free All-Cash series: a $37.33M Wells Fargo non-recourse loan at 43.97% LTV (5.120% fixed, interest-only) generates positive leverage on a diversified, mostly investment-grade tenant pool, lifting cash-on-cash from 5.00% to 5.62% (~5.30% average) with a healthy 2.32x Year 1 DSCR. The portfolio is genuinely diversified by geography (six states) and industry (retail, logistics, healthcare), but income concentration is real: FedEx alone is ~46% of NOI and the top two tenants ~68%, so the diversified label overstates the cash-flow dispersion. The defining structural features are the 5-year interest-only loan (which sets both the forecast horizon and a near-term refinancing/exit wall at 2031, with a 1.40x DSCR cash-trap) and ExchangeRight's REIT aggregation model, under which the likely terminal path is a Section 721 roll-up into the non-traded Essential Income REIT rather than a third-party sale. The 11.8-year WALT supports residual value well beyond the hold and the credit profile is strong, but the dominant sensitivities are FedEx renewal and credit, refinancing conditions at the 5-year maturity, the exit pricing, and the timing/terms of the REIT aggregation. The comparatively low ~9.36% load and unaffiliated Wells Fargo financing are favorable relative to higher-fee, affiliated-lender DSTs. No tax-equivalent yield is disclosed.</t>
  </si>
  <si>
    <t>Wells Fargo Bank, National Association</t>
  </si>
  <si>
    <t>5.12% (Fixed)</t>
  </si>
  <si>
    <t>2.32x</t>
  </si>
  <si>
    <t>https://lh3.googleusercontent.com/d/1D2M3mHX5vm_5EdGcho3-i9Py-KqBqmvv</t>
  </si>
  <si>
    <t>exchangeright-netleased-portfolio-75-dst</t>
  </si>
  <si>
    <t>Florida Growth 2 - Jubilee 1 DST</t>
  </si>
  <si>
    <t>FL</t>
  </si>
  <si>
    <t>17.77%</t>
  </si>
  <si>
    <t>3-5 years</t>
  </si>
  <si>
    <t>Approximately 268 acres of undeveloped forest land north of Berryhill Road and south of Willard Norris Road in Pace, Santa Rosa County, Florida, within the Pensacola-Ferry Pass-Brent MSA. The parcel sits inside the planned Jubilee Master Planned Community along the Florida Panhandle's northerly path of growth, roughly 20 minutes from Naval Air Station Whiting Field and within 10 miles of Interstate 10 and US Highway 90. The thesis is a pre-development land-banking play: acquire entitlable residential land at a basis approximating its February 2024 as-is appraised value ($6,800,000 against a $6,839,610 purchase price), hold it unimproved through an anticipated three-to-five-year hold, and dispose to a single national homebuilder or developer via a staged sale of up to three installments. The vehicle is unleveraged and non-operating, producing no rental income, no depreciation shelter, and no interim distributions, with all investor proceeds back-ended to disposition. Bare legal title is held by the Administrative Trustee (Jubilee Keeper 1, LLC); the Depositor is Jubilee Depositor 1, LLC and the Dealer Manager is Emerson Equity, LLC. Operating strategy is limited to value maintenance, entitlement positioning, and buyer negotiation rather than active asset management or repositioning.</t>
  </si>
  <si>
    <t>The asset's defining attribute is its position within the contiguous Jubilee Master Planned Community footprint along an established northerly growth corridor of the Pensacola MSA, which confers takeout optionality with national homebuilders seeking pre-entitled, scaled residential tracts. Large single-ownership parcels of this size inside a master plan are scarce, and the embedded master-plan framework reduces the entitlement friction a builder would otherwise underwrite, supporting a basis-to-finished-lot spread that anchors the appreciation thesis.</t>
  </si>
  <si>
    <t>Demand fundamentals are anchored by Naval Air Station Whiting Field, which sustains roughly 2,700 active-duty members and 1,200 civilian employees as a durable, non-cyclical regional employment base, layered atop documented MSA in-migration, retiree settlement, and median household income growth projected near 18.3% over five years. The convergence of military-driven baseline demand with discretionary retiree and family migration diversifies the absorption profile across multiple buyer cohorts.</t>
  </si>
  <si>
    <t>The all-cash, unleveraged capital structure eliminates the financing-side fragilities that typically dominate DST risk profiles: there is no loan maturity wall, no interest-rate-cap replacement cost, no DSCR covenant, and no lender foreclosure exposure on an asset that by design produces no debt-service coverage. For a non-cash-flowing land position, the absence of leverage removes the most acute mechanism by which a holding-period extension would otherwise destroy equity value.</t>
  </si>
  <si>
    <t>The exit is architected as a staged sale to a single homebuilder or developer in no more than three installments, a structure that mirrors builder lot-takedown economics and allows the buyer to phase capital deployment against absorption. This alignment can compress marketing risk relative to a fragmented retail land sale and supports price realization at the finished-lot-demand end of the value chain rather than at raw-acreage discounts.</t>
  </si>
  <si>
    <t>The Sponsor's specialization is narrow and long-tenured, with land-based investment strategies dating to 1979 and an institutional underwriting process evidenced by a third-party market study commissioned from John Burns Research and Consulting. This depth in pre-development land sourcing, entitlement navigation, and homebuilder relationships is the principal operational input distinguishing the vehicle, given that the strategy depends almost entirely on buyer-side execution rather than property operations.</t>
  </si>
  <si>
    <t>At the micro level, the offering benefits from a purchase price effectively at appraised value, a scaled and contiguous land position inside a coordinated master plan, and an unleveraged structure that insulates equity from rate and refinancing shocks during the hold. The submarket exhibits favorable demographic momentum, with above-MSA income levels, sustained employment growth since 2021, and a defense-anchored demand floor at Naval Air Station Whiting Field. At the macro level, the Florida Panhandle continues to capture domestic migration and retiree formation, and national homebuilders have maintained appetite for entitled land pipelines in lower-cost, high-growth Sun Belt corridors. The reserve account is pre-funded for operating costs, insurance, and property taxes, mitigating carrying-cost shortfall risk during the early hold.</t>
  </si>
  <si>
    <t>The principal asset-specific vulnerability is the binary, back-ended return profile: because the parcel generates no interim income and is non-depreciable raw land, the entire investor outcome depends on a single disposition event, with no current yield to cushion a delayed or impaired exit. Buyer concentration is acute, as the strategy contemplates a sale to one homebuilder, exposing realization to that counterparty's absorption pace, financing access, and rate sensitivity, with an affiliate of the Administrative Trustee positioned as the fallback buyer should no third party transact, an arrangement that introduces a pricing conflict at the most value-critical moment. Entitlement and horizontal-development assumptions embedded in the homebuilder takeout are unexecuted as of acquisition, and large-tract land appraisals rest on thin, subjective comparable sets. Carrying economics deteriorate on extension: an additional asset-management fee accrues at $11,399 per month from the thirty-seventh month through the earlier of sale or the ten-year agreement term, compounding against an asset producing no offsetting income, while the stated three-to-five-year hold is explicitly subject to extension. The aggregate fee and syndication load is substantial relative to a non-operating asset whose only value driver is appreciation.</t>
  </si>
  <si>
    <t>On a risk-adjusted basis, the vehicle trades the financing and operational risks of a conventional leveraged DST for a concentrated, duration-sensitive bet on Florida Panhandle residential land appreciation and homebuilder takeout demand. The positioning is coherent within the current macro cycle insofar as Sun Belt migration and constrained entitled-lot supply continue to support builder land acquisition, but the underwriting's feasibility hinges on two unhedged variables: the timeline to convert raw acreage into builder-ready inventory, and the resilience of homebuilder demand against a higher-for-longer rate environment that directly compresses lot absorption and land bids. The unleveraged structure materially de-risks the hold itself, yet it cannot offset the fact that return realization is singular and exit-dependent, with carrying costs that escalate precisely when a soft homebuilder market would extend the hold. The basis at appraised value provides a measure of downside anchoring, but the appreciation spread required to clear fees and deliver investor return remains the operative assumption, supported by market-study projection rather than in-place cash flow. This is a non-income, opportunistic land position directly analogous to the ledger's Colorado Growth 1 - Holly Ridge holding and is not comparable to the income-distributing DSTs on the sheet.</t>
  </si>
  <si>
    <t>North of Berryhill Road, Pace, Santa Rosa County, FL</t>
  </si>
  <si>
    <t>https://drive.google.com/file/d/1i91BiYn7XZtKB0-u7yKPmdaWTp0c0rDr/view?usp=sharing</t>
  </si>
  <si>
    <t>florida-growth-2-jubilee-1-dst</t>
  </si>
  <si>
    <t>FSX Industrial 34, DST</t>
  </si>
  <si>
    <t>Four Springs Capital</t>
  </si>
  <si>
    <t>48.63% LTV</t>
  </si>
  <si>
    <t>KY, SC</t>
  </si>
  <si>
    <t>15.32%</t>
  </si>
  <si>
    <t>A two-property, single-tenant absolute-NNN industrial portfolio (995,781 SF total) acquired through a leveraged DST, diversified by geography and tenant. Property 1 is a 680,508 SF build-to-suit distribution hub at 380 Estill Baker Road, Hanson KY (54.8 acres, built 1998 / expanded 2009, up to 70-foot clear heights, 48 dock doors), serving as Carhartt's primary national SKU facility, into which Carhartt has invested over $70 million in robotics, racking, and conveyor automation plus $1 million-plus of annual capex since 2015; the lease has 11.8 years remaining, 2.50% annual escalations, and eight 5-year renewal options. Property 2 is a 315,273 SF warehouse/manufacturing/office facility at 1730 East Main Street, Duncan SC (30.3 acres, built 1980 / expanded 2011, 29-31-foot clear heights), leased to Eaton Corporation (NYSE: ETN) for its Electrical segment and occupied since 1984, in the institutional Greenville-Spartanburg market (Spartanburg West submarket, 2.6% vacancy, inland-port and I-85 access); the lease has 11.9 years remaining, 2.00% escalations, and five 5-year options. The portfolio carries an 11-plus-year WALT and was acquired for $86,400,000 (First Year property-level NOI of $5,447,009), capitalized with $50,200,000 equity and a $47,520,000 Old National Bank first mortgage (7-year term, SOFR+1.95% swapped to a fixed 5.495%, interest-only for 48 months then 30-year amortization, nonrecourse). Distributions are monthly, beginning at a 5.05% annualized cash-on-cash yield. Both tenants' credit is rated 'good' by Alliance Research; Eaton is an investment-grade public company and Carhartt is a privately held, century-old workwear manufacturer. Sponsored by Four Springs TEN31 Xchange (founded 2014); securities offered through Third Seven Capital, LLC and distributed by Four Springs Capital Markets.</t>
  </si>
  <si>
    <t>The portfolio's credit profile is a barbell of one transparent, investment-grade public credit and one strong but opaque private credit. Eaton Corporation (NYSE: ETN) is a globally diversified, century-old power-management company serving customers in over 170 countries, providing rated, publicly reported counterparty strength on the Duncan SC asset. Carhartt is a privately held, 135-year-old workwear manufacturer whose creditworthiness rests on a sponsor-commissioned Alliance Research review rated 'good' rather than a public agency rating, so the larger of the two assets by footprint carries materially less credit transparency, and both leases are with the operating tenants.</t>
  </si>
  <si>
    <t>Both assets are demonstrably mission-critical to their tenants, which raises renewal probability and switching costs well above a generic warehouse. The Hanson KY facility is Carhartt's primary national SKU distribution hub, into which the tenant has sunk over $70 million of fixed automation (robotics, racking, conveyor) plus more than $1 million of annual capital since 2015, embedding the operation in the building. Eaton has occupied Duncan SC continuously since 1984 and funded a roughly $5 million, 127,000 SF expansion, reflecting four decades of operational entrenchment.</t>
  </si>
  <si>
    <t>The lease economics are durable and long-dated: absolute-NNN structure with minimal landlord responsibility, an 11-plus-year weighted-average remaining term (11.8 and 11.9 years), contractual escalators, and unusually deep renewal optionality (eight 5-year options at Carhartt extending up to 40 years, five 5-year options at Eaton extending up to 25 years). The qualifier is that the 2.00% to 2.50% escalators sit at or below long-run inflation expectations, so real income growth is limited and the blended roughly 2.35% step-up modestly lags a higher-for-longer cost environment.</t>
  </si>
  <si>
    <t>Submarket quality is asymmetric across the two assets. The Eaton property sits in the Greenville-Spartanburg industrial market's largest submarket (Spartanburg West), a top-tier institutional logistics corridor with a record-low 2.6% vacancy rate, 5.1% availability, inland-port access at Greer, and I-85 frontage, supporting strong re-leasing economics. The Carhartt property, while logistically well-connected (I-69, CSX rail interchange, Ohio River ports, central to Carhartt's Kentucky manufacturing cluster), is in a rural, tertiary Western Kentucky location where alternative-tenant demand is thin if the incumbent ever vacates.</t>
  </si>
  <si>
    <t>The financing structure generates positive leverage and, atypically for the ledger, builds principal equity. The $47.52 million Old National Bank loan is swapped to a fixed 5.495% against the in-place yield at 48.63% loan-to-capitalization, and amortizes on a 30-year schedule beginning in year 5, so investors accrete modest equity through the back half of the hold rather than facing a full interest-only balloon. The offset is that the interest-rate swap introduces breakage and termination cost if the assets are sold or the loan is prepaid, and scheduled amortization lifts annual debt service from roughly $2.65 million to about $3.27 million in years 5 through 7, compressing coverage.</t>
  </si>
  <si>
    <t>The offering pairs two mission-critical, absolute-NNN industrial distribution assets with an 11-plus-year WALT, contractual escalators, and minimal landlord obligation, diversified across two states, two tenants, and two end-industries (apparel logistics and electrical-equipment distribution). Eaton supplies a rated, investment-grade public credit, and both tenants exhibit deep physical and operational commitment to their facilities through substantial tenant-funded capital investment and multi-decade occupancy. The Eaton asset occupies one of the strongest institutional industrial submarkets in the Southeast, and the broader sector benefits from secular e-commerce and supply-chain demand for distribution space. The capital structure uses moderate, fixed-rate (swapped) leverage at 48.63% loan-to-capitalization that produces positive leverage over the in-place yield, supports a healthy 2.06x Year 1 coverage, amortizes to build equity from year 5, and underpins monthly distributions rising from 5.05% to 5.25% over the hold, with reserves funded at closing.</t>
  </si>
  <si>
    <t>The portfolio is a two-asset, two-tenant pool, so any single vacancy is binary to cash flow, and Carhartt alone represents roughly 68% of square footage, concentrating exposure in the privately held, unrated tenant and its specialized, rural Hanson KY facility where re-leasing or repurposing demand is thin despite the asset's mission-criticality. The two leases expire within roughly one year of each other (approximately years 12 and 12), clustering rollover risk into a narrow window that a buyer at the projected year-7 exit will underwrite with only about five years of residual term remaining. The Eaton building is 1980-vintage with 29-31-foot clear heights, below modern bulk-distribution standards (36-foot-plus), limiting its functional competitiveness for alternative logistics users, and it mixes warehouse, manufacturing, and office space that is more tenant-specific. The financing carries a 7-year balloon and refinancing wall, swap breakage cost on early disposition, and an amortization step-up that raises debt service to roughly $3.27 million in years 5 through 7, causing distributable cash to dip (Year 5 distributable cash of about $2.57 million versus $2.94 million in Year 4) such that distributions are sustained partly through reserve management. Escalators of 2.00% to 2.50% may lag inflation, and the upfront load is high at 15.32% of equity (a 5.16% acquisition fee, 9.69% in offering and selling costs, and a 0.47% finance fee), before a disposition fee at exit, against modest reserves of $864,000.</t>
  </si>
  <si>
    <t>FSX Industrial 34 is a moderately leveraged, core single-tenant industrial net-lease DST whose return is leverage-amplified contractual income: a fixed (swapped) 5.495% loan at 48.63% loan-to-capitalization against the in-place yield lifts cash-on-cash from 5.05% to 5.25% (roughly 5.11% average) over a 7-year hold, with a healthy 2.06x Year 1 coverage. It is closest in profile to the ledger's leveraged net-lease holdings (BREX Net Lease Industrial, ExchangeRight Portfolio 75) rather than the debt-free all-cash series, but is distinguished by being the only entry whose loan amortizes, accreting modest principal equity into the exit. The investment case rests on two mission-critical distribution assets with long WALT and a barbell of one investment-grade public credit (Eaton) and one strong-but-unrated private credit (Carhartt), set against a favorable industrial-demand backdrop and, for Eaton, a premier Spartanburg submarket. The dominant risk-adjusted considerations are the two-asset/two-tenant concentration skewed toward unrated Carhartt in a tertiary market, the older sub-modern Eaton box, two near-simultaneous lease expirations a few years beyond the exit, and a 7-year balloon whose amortization step-up compresses coverage and whose swap imposes breakage cost on early sale. Underwriting feasibility is high on in-place contractual income; the credible variance lies in the exit pricing, refinancing conditions at maturity, re-leasing of two specialized assets at rollover, and the form and timing of the optional Section 721 conversion, which investors may decline in favor of cash. The 15.32% load and below-inflation escalators are the principal economic drags on net return.</t>
  </si>
  <si>
    <t>Old National Bank</t>
  </si>
  <si>
    <t>5.50% (Fixed via swap)</t>
  </si>
  <si>
    <t>4 years</t>
  </si>
  <si>
    <t>30 years</t>
  </si>
  <si>
    <t>2.06x</t>
  </si>
  <si>
    <t>380 Estill Baker Road, Hanson, KY</t>
  </si>
  <si>
    <t>https://drive.google.com/file/d/1KLhX3b8jJT97sJ5o2TvUb0ahiiV-ugjX/view?usp=sharing</t>
  </si>
  <si>
    <t>fsx-industrial-34-dst</t>
  </si>
  <si>
    <t>sponsors/four-springs-capital</t>
  </si>
  <si>
    <t>Government Lease Holdings 2 DST (GLH 2 DST)</t>
  </si>
  <si>
    <t>Net Lease Capital Advisors</t>
  </si>
  <si>
    <t>56.60% LTV</t>
  </si>
  <si>
    <t>GSA</t>
  </si>
  <si>
    <t>NC, MD</t>
  </si>
  <si>
    <t>8.62%</t>
  </si>
  <si>
    <t>11 years</t>
  </si>
  <si>
    <t>A two-property government-leased portfolio held in a Delaware statutory trust (the Master Trust), leased to the U.S. General Services Administration (GSA) and occupied by the U.S. Department of Veterans Affairs and U.S. Citizenship and Immigration Services, backed by U.S. Government credit. Property 1 is a 353,238 SF build-to-suit VA outpatient clinic at 1695 Kernersville Medical Parkway, Kernersville NC (built 2015, 39.26 acres, four floors, 1,914 parking spaces), the VA Kernersville Health Care Center hub clinic with 78 physicians across 34 specialties plus a 2023 urgent-care addition; the GSA/VA lease commenced December 2015 on a 20-year term expiring December 2035, and the property is financed by 2020 tax-exempt bonds (US Bank Trust Company NA trustee, $186,745,000 balance, 2.872%, maturing July 1, 2035, amortizing). Property 2 is a 574,767 SF USCIS national headquarters at 5900 Capital Gateway Drive, Camp Springs MD (built 2020, 10.71 acres, Security Level IV, seven-level 1,770-space garage, conference/press/training infrastructure), into which USCIS consolidated its headquarters from six prior locations; the GSA/USCIS lease commenced January 2020 on a 15-year term expiring January 2035 with one 7-year renewal option, and the trust owns a 50% interest financed by a $41,000,000 share (of $82,000,000) Wells Fargo Trust Company loan at 4.83%, interest-only through March 14, 2035 (extendable to 2042 on renewal). The total offering of $402,397,396 comprises $174,652,396 equity and $227,745,000 assumed debt (56.60% loan-to-value). Both GSA leases are full-service/modified-gross, with the landlord retaining operating-expense and tax responsibility above base-year stops. Distributions are a level cash-on-cash yield of approximately 4.70% over the lease term, with total return weighted heavily toward back-ended residual value at lease expiry (projected VAWS residual approximately $275,990,000 against $34,527,396 equity; USCIS 50% interest approximately $176,500,000 in 2035 or $250,500,000 in 2042). Sponsored by NLCA Real Estate LLC, an affiliate of Net Lease Capital Advisors LLC; managing broker-dealer Clearview.</t>
  </si>
  <si>
    <t>The portfolio's defining strength is U.S. Government credit: both assets are leased to the GSA and occupied by federal agencies (VA and USCIS), among the strongest counterparties available in net lease, with a historically high government renewal rate. The qualifier is that GSA lease performance ultimately depends on congressional appropriations and agency footprint decisions, and the leases run through GSA rather than carrying the literal full faith and credit of the United States, so renewal is a policy and budget decision rather than a contractual certainty.</t>
  </si>
  <si>
    <t>Both buildings are mission-critical to their occupants, which materially raises renewal probability. USCIS consolidated its entire national headquarters into the Camp Springs facility for the first time in the agency's history, from six prior locations, in a purpose-built Security Level IV building with conference, press-briefing, filming, and training infrastructure, making relocation highly disruptive. The Kernersville facility is a purpose-built VA hub clinic anchoring the regional hub-and-spoke outpatient model, with 78 physicians across 34 specialties and a 2023 urgent-care expansion serving a growing regional veteran population.</t>
  </si>
  <si>
    <t>The capital structure embeds a rare financing advantage: the VA property is financed with 2020 tax-exempt bonds fixed at 2.872% for a 20-year term, a well-below-market, long-duration cost of capital that is effectively impossible to replicate in the current rate environment and is the principal engine of the projected equity residual. The USCIS loan is fixed at 4.83% and interest-only to its 2035 maturity. The locked-in, low-cost leverage is a structural asset, though it is heterogeneous across the two properties and concentrates the residual upside in the heavily levered VA bond structure.</t>
  </si>
  <si>
    <t>Location quality is strong and government-anchored on both assets. Camp Springs sits in the National Capital Region, the nation's sixth-largest and among its most affluent and educated MSAs, adjacent to the Branch Avenue Metro Green Line station and minutes from Joint Base Andrews, with demand driven by the federal government. Kernersville sits in the Piedmont Triad at the intersection of five interstate highways, a logistics and healthcare crossroads with a growing and aging regional veteran population that supports sustained outpatient-care demand.</t>
  </si>
  <si>
    <t>The return architecture is residual-driven and leverage-amplified: high leverage (approximately 84% on the VA property via the cheap tax-exempt bonds, with only a roughly 15.6% standalone equity slice) magnifies the equity claim on large projected terminal values, with the VA property's residual projected near $275,990,000 against $34,527,396 of equity and the USCIS 50% interest projected at roughly $176,500,000 in 2035 or $250,500,000 with renewal to 2042. This back-ended structure is the defining source of total return and, equally, the dominant risk, since the modest current yield contributes only a fraction of the projected outcome.</t>
  </si>
  <si>
    <t>The offering pairs U.S. Government-backed GSA leases on two mission-critical, purpose-built federal facilities with long initial terms running to 2035, in strong markets (the affluent, federally driven National Capital Region and the growing Piedmont Triad), supporting durable, government-credit income. The capital structure locks in below-market, long-duration financing, most notably the 2.872% tax-exempt bonds on the VA property, a hard-to-replicate advantage that amplifies projected equity residuals. The deal delivers level monthly distributions of approximately 4.70% cash-on-cash over the lease term and projects substantial back-ended residual value at lease expiry, with an optional Section 721 contribution offering a potential tax-deferred continuation alongside a cash-election right. USCIS consolidated its entire headquarters into Camp Springs, and the VA clinic anchors a regional outpatient hub, both of which elevate renewal probability.</t>
  </si>
  <si>
    <t>The leases are GSA full-service/modified-gross rather than triple-net, so the landlord retains operating-expense, tax (above base-year stops), insurance, and maintenance responsibility, exposing net cash flow to expense inflation that a true-NNN structure would pass through; the approximately 4.70% yield is net of these landlord obligations and sensitive to cost escalation. Total return is overwhelmingly back-ended and residual-dependent: with roughly 84% leverage on the VA property, the equity outcome hinges on realizing an approximately $275,990,000 residual in 2035 against a $34.5 million equity sliver, leaving the investment acutely sensitive to 2035 exit pricing, GSA renewal, and the re-leasing of special-purpose government buildings with thin alternative-use demand. A maturity cliff converges in 2035, as both leases (VA December 2035, USCIS January 2035) and both loans (July 2035, March 2035) come due within months of each other, concentrating renewal, refinancing, and disposition risk into a single window; USCIS carries only one 7-year renewal option (exercisable at least twelve months prior) and a Make-Whole Premium if not renewed. The USCIS asset is a 50% co-ownership interest, adding joint-control dependency, and GSA leases remain subject to congressional appropriations and the federal government's stated footprint-reduction agenda. Upfront costs are very high: third-party and affiliate financing costs total roughly 21.23% of equity on top of an approximately 8.62% syndication load, so nearly 30% of equity funds non-real-estate uses, and the structure (tax-exempt bonds plus a commercial loan, two lenders, base-year expense stops, reserve funds) is complex and operationally demanding. Current income is largely flat with limited contractual escalation.</t>
  </si>
  <si>
    <t>GLH 2 is a leveraged, residual-driven government net-lease DST whose modest approximately 4.70% level cash yield substantially understates a total-return profile dominated by back-ended terminal value, engineered through high leverage on below-market 2.872% tax-exempt bonds. On a risk-adjusted basis the credit is among the strongest available, GSA-backed federal occupancy, and the assets are genuinely mission-critical, but the full-service lease structure leaves the landlord bearing operating-cost inflation, and the investment is fundamentally a leveraged bet on 2035 residual realization rather than a current-income vehicle. The defining structural advantage is the locked-in, long-duration, low-cost financing that is impossible to replicate today and that magnifies the equity's claim on projected residuals; the defining risk is the synchronized 2035 lease-and-loan maturity cliff, with the single USCIS renewal option and 2035 exit pricing as the swing factors on the bulk of investor outcome. Macro fit is favorable insofar as government credit is defensive and cheap fixed-rate debt is a scarce asset in a higher-for-longer environment, but residual feasibility depends on agency renewal decisions amid a federal footprint-reduction agenda and on terminal pricing of special-purpose assets. Current distributions appear well-supported by in-place government rent net of landlord expenses; the credible variance, and the majority of the projected return, lies in the 2035 residual, renewal, and refinancing outcomes, compounded by an unusually high all-in upfront cost load. The structure has no direct analog among the existing ledger holdings.</t>
  </si>
  <si>
    <t>US Bank Trust Company NA; Wells Fargo Trust Company</t>
  </si>
  <si>
    <t>2.872% / 4.83% (Fixed)</t>
  </si>
  <si>
    <t>20 / 15 years</t>
  </si>
  <si>
    <t>USCIS interest-only; VAWS amortizing</t>
  </si>
  <si>
    <t>VAWS amortizing 20-yr; USCIS amortizes post-2035</t>
  </si>
  <si>
    <t>1695 Kernersville Medical Parkway, Kernersville, NC</t>
  </si>
  <si>
    <t>https://drive.google.com/file/d/10HERuChCxkCJSzpyZ5N0PxDwRQvCas7F/view?usp=sharing</t>
  </si>
  <si>
    <t>government-lease-holdings-2-dst-glh-2-dst</t>
  </si>
  <si>
    <t>sponsors/net-lease-capital-advisors</t>
  </si>
  <si>
    <t>property-type/gsa</t>
  </si>
  <si>
    <t>Griffin Capital Tulsa BTR DST</t>
  </si>
  <si>
    <t>Griffin Capital</t>
  </si>
  <si>
    <t>46.51% LTV</t>
  </si>
  <si>
    <t>OK</t>
  </si>
  <si>
    <t>14.07%</t>
  </si>
  <si>
    <t>A 138-home build-to-rent (BTR) single-family rental community on approximately 15.53 acres at 11131 South Kennedy Court, Jenks, Oklahoma (Tulsa MSA), constructed in 2022-2023 and being rebranded Meadow + Main (formerly Trulo Homes Jenks), comprising one-, two-, and three-bedroom detached homes totaling roughly 141,500 net rentable square feet with 317 parking spaces. The Trust acquired the Property in January 2026 from an unaffiliated seller for $37,250,000, approximately $1,050,000 (2.7%) below the $38,300,000 November 2025 appraised value. Capitalization is $23,520,998 of equity plus a $20,455,000 JLL Real Estate Capital loan (10-year term, 5.07% fixed, interest-only for the full term, maturing February 1, 2036), a 46.5% loan-to-value. The Property is leased to an affiliated Master Tenant (Griffin - Tulsa Master Tenant, LLC) under an absolute-net master lease in which Base Rent covers debt service and Additional Rent funds investor distributions, with the Master Tenant subleasing the homes to residents. Monthly distributions are forecast to begin at 4.42% and rise to 5.76% by Year 10 (approximately 4.82% average) driven by Tulsa-market rent growth (projected at 4.6% in 2026 and roughly 3.1% average annually over ten years). Sponsored by Griffin Capital (via affiliate GRPPX; founded 1995, with over $24 billion in sponsored programs and over $300 million of co-investment); the Manager, Master Tenant, and Dealer Manager are Griffin affiliates. The exit is anticipated as a sale before the February 2036 loan maturity, with a minimum hold of approximately two years.</t>
  </si>
  <si>
    <t>The offering provides exposure to the build-to-rent / single-family-rental subsector, which benefits from the homeownership affordability gap and growing demand for detached rental product with private yards and parking that conventional multifamily cannot replicate. The asset is newly built (2022-2023), implying minimal near-term capital expenditure and a modern, amenitized product, and BTR communities historically exhibit lower resident turnover than stacked apartments, supporting income durability.</t>
  </si>
  <si>
    <t>The Property was acquired at $37,250,000, roughly $1,050,000 (2.7%) below its $38,300,000 appraised value, providing a modest day-one equity cushion on a recently completed asset. The discount is small in percentage terms, so the margin of safety is real but thin against the 46.5% leverage.</t>
  </si>
  <si>
    <t>Financing is moderate and rate-locked: a $20,455,000 loan from JLL Real Estate Capital at a fixed 5.07%, interest-only for the full 10-year term, at 46.5% loan-to-value, delivering a healthy 2.04x Year 1 debt-service coverage and maximizing current distributions. The structural cost is that interest-only payments build no principal equity, leaving the full $20,455,000 to balloon at the February 2036 maturity, and prepayment provisions (a minimum 1% fee) constrain early-exit flexibility.</t>
  </si>
  <si>
    <t>The Property sits in Jenks, an affluent suburb within the Tulsa MSA, a growing secondary market where rents are projected to increase 4.6% in 2026 and roughly 3.1% on average annually over ten years. This rent-growth trajectory is the engine of the distribution ramp from 4.42% to 5.76%, channeled to investors through the master lease's Additional Rent, though the upside is operational and market-dependent rather than contractually fixed.</t>
  </si>
  <si>
    <t>The sponsor is an established institutional platform: Griffin Capital, founded in 1995, has owned, managed, sponsored, or co-sponsored investment programs representing over $24 billion in assets, with senior executives and employees co-investing over $300 million across strategies, providing a measure of alignment. The trade-off is that the Manager, Master Tenant, and Dealer Manager are all Griffin affiliates, concentrating operational, leasing, and distribution roles within the sponsor family rather than diversified third parties.</t>
  </si>
  <si>
    <t>The offering delivers debt-advantaged exposure to a newly built (2022-2023) build-to-rent single-family community in the favored SFR/BTR residential subsector, acquired below appraised value at the in-place yield with minimal near-term capital needs. Fixed-rate interest-only financing at 5.07% and 46.5% loan-to-value locks the coupon, produces a healthy 2.04x Year 1 coverage, and maximizes current distributions, which are forecast to ramp from 4.42% to 5.76% (approximately 4.82% average) on Tulsa-market rent growth. The asset benefits from secular demand tailwinds (the homeownership affordability gap and demand for detached rental product), an affluent Jenks suburban location, and an established sponsor with a long track record and meaningful co-investment, and the residential structure offers depreciation-shelter potential for cash investors.</t>
  </si>
  <si>
    <t>The Trust is a single asset in a single market and single product type (138 single-family rental homes in one Jenks community), so all cash flow and residual value depend on this one rebrand in the Tulsa MSA with no diversification. The asset is newly built and being rebranded from Trulo Homes Jenks to Meadow + Main, so the distribution ramp from 4.42% to 5.76% depends on achieving and growing occupancy and rents (operational and lease-up execution) rather than contractual income, and the forecast explicitly assumes minimum occupancy and rental-rate thresholds. The going-in yield is modest at 4.42%, the affiliated and thinly capitalized Master Tenant retains the master-lease structure with Base Rent covering only debt service, and the loan is interest-only for the full term, leaving the entire $20,455,000 to balloon at the February 2036 maturity with prepayment provisions that limit exit flexibility. The day-one equity cushion is thin (roughly 2.7% below appraised value) against 46.5% leverage, single-family rental operating costs (landscaping, turnover, repairs across detached homes) can run higher per unit than stacked multifamily, and approximately $348,971 of future capital repairs has been identified. The upfront load is high at 14.07% of equity (a 9.35% selling and offering block, a 3.96% acquisition fee, and a 0.76% financing fee) plus a disposition fee, and Tulsa is a smaller, less liquid institutional market that could affect exit pricing.</t>
  </si>
  <si>
    <t>Griffin Capital Tulsa BTR is a moderately leveraged, core-plus build-to-rent residential DST whose return blends a modest, rent-growth-driven current yield (4.42% rising to 5.76%, approximately 4.82% average) with terminal value, on a single newly built 138-home single-family rental community in the Tulsa MSA, structured through an affiliated absolute-net master lease. The investment case rests on the secular BTR/SFR demand story and Tulsa rent growth (roughly 3.1% annually forecast) applied to a recently completed asset acquired modestly below appraised value, with fixed 5.07% interest-only financing locking the cost of debt and supporting solid 2.04x coverage. It is closest in profile to the ledger's leveraged multifamily holdings (BR Churchill Downs, BR Parkview) but in the single-family build-to-rent format, a smaller secondary market, and with no 721 exit option, the realization being a straight sale before the 2036 loan maturity. The dominant risk-adjusted considerations are single-asset and single-market concentration, lease-up and rebrand execution risk against a forecast that assumes occupancy and rent thresholds, a thin day-one cushion, higher per-unit SFR operating costs, and a 10-year interest-only balloon with a refinancing or sale wall at maturity in a less-liquid market. Underwriting feasibility hinges on realizing the projected occupancy and rent trajectory; current distributions are supported by in-place operations, but the ramp and the exit pricing carry the bulk of the return, and the 14.07% upfront load is a meaningful drag on net proceeds.</t>
  </si>
  <si>
    <t>JLL Real Estate Capital, LLC</t>
  </si>
  <si>
    <t>5.07% (Fixed)</t>
  </si>
  <si>
    <t>11131 South Kennedy Court, Jenks, OK</t>
  </si>
  <si>
    <t>https://lh3.googleusercontent.com/d/1qaAAF4uCmeZCSGAExcm3tFIsZmOLcUpC</t>
  </si>
  <si>
    <t>griffin-capital-tulsa-btr-dst</t>
  </si>
  <si>
    <t>sponsors/griffin-capital</t>
  </si>
  <si>
    <t>Griffin Capital (Union – Kansas City, MO) DST</t>
  </si>
  <si>
    <t>54.09% LTV</t>
  </si>
  <si>
    <t>MO</t>
  </si>
  <si>
    <t>15.00%</t>
  </si>
  <si>
    <t>A 407-unit Class A multifamily apartment community known as Union Berkley Riverfront at 1000 Berkley Parkway, Kansas City, Missouri, in the Berkley Riverfront district, on approximately 6.25 acres comprising two four-story residential buildings and a three-story, 437-space parking garage, with roughly 380,563 net leasable square feet of residential area, three short-term guest suites, and 14,242 square feet of commercial space across three commercial units, offering Kansas City skyline and riverfront views and full amenities. The Trust holds a leasehold interest under a 99-year ground lease from the Port Authority of Kansas City (nominal term to 2115, prepaid for the first 40 years), a structure engineered to deliver local real-estate-tax abatement while conveying substantially all the benefits and burdens of fee ownership, with the leasehold eligible for Section 1031 treatment per the Tax Opinion. The Trust acquired the Property in 2025 for $113,500,000, approximately $400,000 above the $113,100,000 as-is appraised value (which reflects the abatement). Capitalization is $59,873,419 of equity plus a $70,551,000 KeyBank loan under the Fannie Mae DUS program (10-year term, 4.83% fixed, interest-only for the full term, maturing December 1, 2035), a 54.1% loan-to-value. The Property is leased to an affiliated Master Tenant (Griffin - Union - Kansas City, MO Master Tenant, LLC) under a master lease in which Base Rent covers debt service, Additional Rent funds a level approximately 4.30% distribution, and Supplemental Rent provides performance-based distributions, with the Master Tenant subleasing the apartments to residents. Total cash-on-cash is forecast to rise from 4.30% to 6.34% (approximately 5.24% average) as supplemental rent grows. Sponsored by Griffin Capital (founded 1995, over $24 billion in sponsored programs); the Manager, Master Tenant, and Dealer Manager are Griffin affiliates. The exit is anticipated as a sale before the December 2035 loan maturity, with a minimum hold of approximately two years.</t>
  </si>
  <si>
    <t>The asset is a recently delivered Class A multifamily community in Kansas City's Berkley Riverfront redevelopment district, offering skyline and riverfront views, full amenities, and a modern product profile that implies minimal near-term capital expenditure. The income base is mixed-use, anchored by 407 apartments and supplemented by 14,242 square feet of commercial space and three short-term guest suites, providing modest income diversification beyond conventional residential rent.</t>
  </si>
  <si>
    <t>The defining structural feature is the Port Authority ground-lease / tax-abatement mechanism: a 99-year ground lease (to 2115, prepaid for 40 years) engineered to deliver a local real-estate-tax abatement that materially enhances in-place NOI relative to a fully taxed asset, while conveying substantially all the benefits and burdens of fee ownership and remaining Section 1031-eligible. The qualifier is that the abatement is finite, real-estate taxes step up after the abatement period, and the Trust's interest is a leasehold rather than a fee, both of which a buyer will price at disposition.</t>
  </si>
  <si>
    <t>Financing is institutional and rate-locked: a $70,551,000 KeyBank loan under the Fannie Mae DUS program, fixed at 4.83% and interest-only for the full 10-year term at 54.1% loan-to-value, locking the coupon, maximizing current distributions, and delivering a 1.76x Year 1 coverage. The structural cost is that the interest-only structure builds no principal equity, leaving the full $70,551,000 to balloon at the December 2035 maturity, and the 54.1% leverage produces lower coverage than a more conservatively levered deal.</t>
  </si>
  <si>
    <t>The return structure layers performance upside onto a contractual floor: a flat approximately 4.30% Additional Rent distribution plus a Supplemental Rent component that lifts total cash-on-cash to 6.34% by the final period (approximately 5.24% average), giving investors participation in Kansas City rent growth. The upside is operational and market-dependent rather than contractually fixed, the affiliated Master Tenant retains the master-lease structure, and the cash-on-cash profile dips in the later years before a final-period spike, reflecting reserve-contribution timing.</t>
  </si>
  <si>
    <t>The sponsor is an established institutional platform: Griffin Capital, founded in 1995, has owned, managed, sponsored, or co-sponsored programs representing over $24 billion in assets, with significant employee co-investment, providing alignment and operating depth. The offset is that the Manager, Master Tenant, and Dealer Manager are all Griffin affiliates, concentrating leasing, operational, and distribution roles within the sponsor family rather than across diversified third parties.</t>
  </si>
  <si>
    <t>The offering provides debt-advantaged exposure to a recently built Class A riverfront multifamily community in a growing Kansas City submarket, with NOI enhanced by a Port Authority ground-lease tax-abatement structure that lifts in-place yield relative to a fully taxed asset. Fannie Mae DUS fixed-rate interest-only financing at 4.83% and 54.1% loan-to-value locks the cost of debt, maximizes current distributions, and supports a 1.76x Year 1 coverage, while the master-lease structure layers performance-based Supplemental Rent onto a roughly 4.30% floor, lifting total cash-on-cash to 6.34% (approximately 5.24% average). The asset offers mixed-use income diversification, modern amenitized product with limited near-term capital needs, residential depreciation-shelter potential, and an established sponsor with a long track record and meaningful co-investment.</t>
  </si>
  <si>
    <t>The Trust owns a ground-leasehold interest rather than fee title, leased from the Port Authority of Kansas City through 2115; while economically fee-like and tax-advantaged, leasehold assets can carry valuation and financing discounts and reversion considerations, and the structure's benefits depend on the ground lease and abatement remaining intact. The tax abatement that enhances NOI is finite: when it burns off, real-estate taxes step up materially, pressuring NOI and exit value, and a disposition buyer will underwrite the remaining abatement term. There is no day-one valuation cushion, as the Property was acquired at a full basis against 54.1% leverage and a modest 4.30% going-in distribution. The Trust is a single asset in a single market (one Kansas City community), with a mixed-use commercial component (14,242 square feet across three tenants, with lease expirations in December 2028 and November 2032) that adds non-residential rollover exposure. The master lease runs through an affiliated, thinly capitalized Master Tenant, the total cash-on-cash ramp depends on Supplemental Rent driven by operational rent growth rather than contractual income, and the distribution profile dips in Years 8 and 9 before a final-period spike, reflecting reserve timing. The loan is interest-only for the full term, leaving the entire $70,551,000 to balloon at the December 2035 maturity, leverage (54.1%) is higher and coverage (1.76x) lower than the sponsor's Tulsa build-to-rent offering, and the upfront load is high at 15.00% of equity (a 9.25% selling and offering block, a 4.83% contributor acquisition fee, and a 0.91% financing fee) plus a disposition fee.</t>
  </si>
  <si>
    <t>Griffin Capital Union Kansas City is a moderately-to-highly leveraged, core-plus Class A multifamily DST whose return blends a tax-abatement-enhanced, rent-growth-driven current yield (4.30% rising to 6.34%, approximately 5.24% average including supplemental rent) with terminal value, on a single recently built riverfront apartment community held through a Port Authority ground-leasehold. The defining structural features are the ground-lease tax-abatement mechanism, which boosts in-place NOI but introduces abatement burn-off and leasehold considerations, and Fannie Mae DUS fixed-rate interest-only financing at 54.1% loan-to-value. It is closest in profile to the ledger's leveraged multifamily holdings (BR Parkview, BR Churchill Downs) and the sponsor's own Tulsa build-to-rent deal, but is distinguished by the ground-leasehold/tax-abatement structure, higher leverage with lower coverage, and a mixed-use component. On a risk-adjusted basis the deal pairs modern Class A product and an established sponsor against single-asset and single-market concentration, leasehold and abatement-expiration risk, the absence of a day-one valuation cushion, a master-lease structure whose upside is operational, and a 10-year interest-only balloon. Macro fit is supportive given multifamily fundamentals and agency debt, but the dominant sensitivities are the tax-abatement burn-off, the exit pricing and refinancing conditions at the 2035 maturity, and Kansas City submarket rent growth feeding the supplemental-rent ramp. Underwriting feasibility rests on the forecast occupancy and rent trajectory and the durability of the abatement; current distributions are supported by abated in-place NOI, but the ramp, abatement term, and terminal value carry the bulk of the return, and there is no 721 exit, the realization being a sale before 2035.</t>
  </si>
  <si>
    <t>4.83% (Fixed)</t>
  </si>
  <si>
    <t>1.76x</t>
  </si>
  <si>
    <t>1000 Berkley Parkway, Kansas City, MO</t>
  </si>
  <si>
    <t>https://drive.google.com/file/d/1omOzSnEon3I7S2NdG3ip_OtT2xqBuTPk/view?usp=sharing</t>
  </si>
  <si>
    <t>griffin-capital-union-kansas-city-mo-dst</t>
  </si>
  <si>
    <t>LSC-Latham NY, DST</t>
  </si>
  <si>
    <t>Livingston Street Capital</t>
  </si>
  <si>
    <t>52.97% LTV</t>
  </si>
  <si>
    <t>Senior Living</t>
  </si>
  <si>
    <t>NY</t>
  </si>
  <si>
    <t>A 144-unit age-restricted (55+) active-adult and independent-living multifamily community known as Hearthstone Village at 4000 Florence Drive, Latham (Town of Colonie), New York, in the Albany MSA, built in 2006 on approximately 14.776 acres and comprising three three-story apartment buildings plus a clubhouse and six residential-style parking garages (174 parking spaces). The unit mix is 36 one-bed/one-bath, 72 two-bed/one-bath, and 36 two-bed/two-bath homes averaging 929 square feet and $2,152 in monthly rent, with amenities including a clubhouse (kitchen, lounge, salon, billiards) and a small indoor pool. The Property was 98.6% leased and 90.3% physically occupied at acquisition with a 4.1% loss-to-lease, and prior ownership invested over $300,000 since 2023 (deck installations, boiler replacements, patios). The Trust acquired the Property on August 15, 2025 for $30,125,000. Capitalization is $17,310,000 of equity plus a $19,500,000 Bank of Montreal loan (Chicago Branch) at a fixed 6.175%, interest-only for the full 10-year term, maturing September 6, 2035, representing a 52.97% loan-to-value on total funds (64.7% of purchase price), with defeasance permitted on or after August 15, 2029 and no amortization during the term. The Property is leased to an affiliated Master Tenant (Livingston Street Multi18 LeaseCo, LLC) under a master lease in which Base Rent covers debt service while Additional Rent and Bonus Rent fund investor distributions, and the Master Tenant pays property operating and uncontrollable expenses (real estate taxes, utilities, insurance) up to projected amounts. Distributions are forecast to ramp from 4.70% to 6.30% by Year 9 (Year 10 shows 9.31% inclusive of a reserve release), averaging 5.63%. Sponsored by Livingston Street Capital, a boutique commercial real estate private equity firm in Radnor, Pennsylvania focused on active-adult and senior residential, with a senior leadership team holding over 75 years of collective experience; the Managing Broker-Dealer is Orchard Securities, LLC. The exit is anticipated as a sale before the September 2035 loan maturity, and the Trust terminates by December 31, 2075 if not sold sooner.</t>
  </si>
  <si>
    <t>The asset is positioned in the demographically favored active-adult / senior housing niche: an age-restricted 55+ community serving the fastest-growing US age cohort, with the forecast citing local 55+ population growth within a five-mile radius. Independent-living amenities (clubhouse, salon, billiards, indoor pool) and the active-adult format typically produce longer resident tenure and stickier occupancy than conventional multifamily.</t>
  </si>
  <si>
    <t>The Property entered the offering effectively stabilized, at 98.6% leased and 90.3% physically occupied, with a 4.1% loss-to-lease and recent renewals averaging a 3.4% increase, providing embedded mark-to-market rent upside. This in-place occupancy and rent-growth runway underpin the forecast distribution ramp from 4.70% to 6.30% over the hold, supporting near-term income visibility.</t>
  </si>
  <si>
    <t>The asset is of relatively recent 2006 vintage and has received recent capital: prior ownership invested over $300,000 since 2023 (decks, boilers, patios), and the Trust funded immediate-repair and replacement reserves (including balcony replacements and parking-lot repaving), reducing near-term deferred-capital risk. The offset is that senior / active-adult operations are management- and labor-intensive, with payroll, activities, and contracted services carried in the expense base.</t>
  </si>
  <si>
    <t>Financing is fixed and rate-locked: a $19,500,000 Bank of Montreal loan at 6.175%, interest-only for the full 10-year term, removing near-term rate volatility. The qualifiers are that the coupon is relatively high (reflecting 2025 origination), leverage is meaningful at 52.97% of total capitalization and 64.7% of purchase price, the full-term interest-only structure leaves the entire principal to balloon at the September 2035 maturity, and early payoff requires defeasance (available only after August 2029), a costly and rate-sensitive mechanism.</t>
  </si>
  <si>
    <t>The Property is operated under a master lease by Livingston Street Multi18 LeaseCo, a Sponsor affiliate, with a tiered Base, Additional, and Bonus Rent structure, and the Master Tenant pays property operating and uncontrollable expenses up to projected amounts. This aligns the Sponsor with the asset, but concentrates operational and credit dependency on a newly formed, thinly capitalized affiliate, and the Trust bears the financial burden of any uncontrollable-expense (taxes, utilities, insurance) overages above the projected levels.</t>
  </si>
  <si>
    <t>The offering provides debt-advantaged exposure to a demographically tailwinded active-adult / senior multifamily community that entered the deal effectively stabilized at 98.6% leased with a 4.1% loss-to-lease to capture and recent renewals at 3.4% increases. The 2006-vintage asset has received recent capital investment and funded repair and replacement reserves, and is financed with a fixed 6.175% interest-only loan that locks the cost of debt and supports a 1.71x Year 1 coverage. Distributions are forecast to ramp from 4.70% to 6.30% through Year 9 (5.63% average inclusive of a reserve-enhanced terminal year), and the deal is led by a boutique sponsor specifically focused on active-adult and senior residential with experienced senior leadership.</t>
  </si>
  <si>
    <t>The Trust is a single asset in a single, smaller market (Latham / Albany, New York), and the senior / active-adult operating model is management- and labor-intensive with demand tied to the local 55+ cohort and senior-housing competition. The Property is operated under a master lease through an affiliated, newly formed and thinly capitalized Master Tenant, so investor distributions depend on Master Tenant performance and a tiered rent waterfall, and the Trust bears uncontrollable-expense overages above projected amounts, exposing it to real-estate-tax, utility, and insurance inflation. The coupon is relatively high at 6.175% with meaningful leverage (52.97% of total capitalization, 64.7% of purchase price), the loan is interest-only for the full term so the entire $19,500,000 balloons at the September 2035 maturity, and early exit requires defeasance (available only after August 2029), a costly and rate-sensitive payoff. The distribution ramp from 4.70% to 6.30% depends on operational rent growth and loss-to-lease capture rather than contractual income, and the Year 10 figure of 9.31% is inflated by a Trust Reserve Account release of roughly $282,526 and a partial-period effect, overstating the steady-state yield. The going-in cash yield is modest at 4.70%, well below the going-in basis as debt service and operating expenses absorb cash flow, bridge financing costs of $600,000 and identified capital repairs add upfront cost, and the upfront load is high at 14.98% of equity (an 11.07% selling and offering block plus a 3.92% acquisition fee) before a disposition fee, in a less-liquid secondary market.</t>
  </si>
  <si>
    <t>LSC-Latham is a moderately leveraged, core-plus senior / active-adult multifamily DST whose return blends a rent-growth and loss-to-lease-driven current yield (4.70% rising to 6.30%, approximately 5.63% average including a reserve-inflated terminal year) with terminal value, on a single stabilized 2006-vintage 55+ community in the Albany, New York market operated through an affiliated master lease. The investment case rests on active-adult demographic demand, in-place occupancy near 99% with a 4.1% loss-to-lease to capture, and recent capital investment, financed with a fixed 6.175% full-term interest-only loan at roughly 53% loan-to-value. It is closest in profile to the ledger's leveraged multifamily and build-to-rent holdings (Griffin Tulsa, Griffin Kansas City, BR Parkview) but is distinguished by the senior / active-adult operating model, a higher coupon, and a master-lease structure under which the Trust absorbs uncontrollable-expense overages. On a risk-adjusted basis the deal pairs a defensive, demographically supported niche and a focused boutique sponsor against single-asset and single-market concentration, an operationally intensive business run by a thinly capitalized affiliate, a relatively high cost of debt with a 2035 interest-only balloon and defeasance friction, and a terminal-year distribution flattered by a reserve release. Macro fit is supportive given senior-housing demand and fixed-rate debt, but the dominant sensitivities are rent-growth execution, the 2035 refinancing or sale and defeasance economics, the exit pricing in a secondary market, and uncontrollable-expense inflation. Underwriting feasibility rests on the forecast occupancy and rent trajectory; current distributions near 4.70% are supported by stabilized in-place NOI, but the ramp and terminal value carry the bulk of the return, and there is no 721 exit, the realization being a sale before 2035.</t>
  </si>
  <si>
    <t>Bank of Montreal (Chicago Branch)</t>
  </si>
  <si>
    <t>6.175% (Fixed)</t>
  </si>
  <si>
    <t>1.71x</t>
  </si>
  <si>
    <t>4000 Florence Drive, Latham, NY</t>
  </si>
  <si>
    <t>https://drive.google.com/file/d/1Nx4bKTXSCLsQW_UJjAC_tb8ONN47gYgq/view?usp=sharing</t>
  </si>
  <si>
    <t>lsclatham-ny-dst</t>
  </si>
  <si>
    <t>sponsors/livingston-street-capital</t>
  </si>
  <si>
    <t>property-type/senior-living</t>
  </si>
  <si>
    <t>LSC-Salt Lake UT, DST</t>
  </si>
  <si>
    <t>51.00% LTV</t>
  </si>
  <si>
    <t>UT</t>
  </si>
  <si>
    <t>15.24%</t>
  </si>
  <si>
    <t>A 94-unit senior-living / active-adult multifamily community known as Park Lane Senior Living at 680 East 100 South, Salt Lake City, Utah, built in 1987 on approximately 1.361 acres across seven parcels, comprising a single four-story apartment building with 61 parking spaces (eight ADA) and amenities including a large atrium, cafeteria, lounge, fitness center, and laundry rooms. Prior ownership invested $1.89 million in capital repairs. The Property was 98.9% occupied as of January 1, 2026 (above 95% for nine consecutive months) with a 2.1% loss-to-lease, in an affluent infill submarket (five-mile household income of $122,481 and home value of $693,698, with 4,661 age-qualified 75+ households in the primary market area). The Trust acquired the Property in fee simple on December 2, 2025 for $21,800,000. Capitalization is $12,970,000 of equity plus a $13,500,000 Natixis Real Estate Capital loan at a fixed 6.04%, interest-only for the full 10-year term, maturing December 6, 2035, representing a 51.0% loan-to-value on total funds (61.9% of purchase price), with no amortization during the term and defeasance friction on early payoff. The Property is leased 100% to an affiliated Master Tenant (Livingston Street Multi19 LeaseCo) under a master lease in which Base Rent covers debt service while Additional Rent and Bonus Rent fund investor distributions, and the Master Tenant pays property operating and uncontrollable expenses up to projected amounts. As a service-intensive senior-living operation, the asset generates Effective Gross Income of approximately $4.6 million against NOI of approximately $1.5 million (a roughly 32% margin). Distributions are forecast to ramp from 4.70% to 6.10% by Year 9 (Year 10 shows 7.31% inclusive of a reserve release), averaging 5.30%. Sponsored by Livingston Street Capital, a boutique commercial real estate private equity firm in Radnor, Pennsylvania that has acquired 18 active-adult and senior properties totaling over 2,800 units across 12 states, with a senior leadership team holding over 75 years of collective experience; the Managing Broker-Dealer is Orchard Securities, LLC. The exit is anticipated as a sale before the December 2035 loan maturity.</t>
  </si>
  <si>
    <t>The asset serves the demographically favored senior-living segment, targeting the 75+ cohort (with 4,661 age-qualified households in the primary market area) in an affluent Salt Lake City submarket where five-mile household income is $122,481 and home values average $693,698, supporting private-pay demand and pricing power. The independent-living format with dining and services tends to produce long resident tenure and durable occupancy.</t>
  </si>
  <si>
    <t>The Property entered the offering effectively stabilized, at 98.9% occupied and above 95% for nine consecutive months, demonstrating consistent operations on a 1987-vintage asset that prior ownership supported with $1.89 million of capital repairs. The qualifier is that the loss-to-lease is only 2.1%, so embedded mark-to-market rent upside is modest relative to a deeper below-market rent roll.</t>
  </si>
  <si>
    <t>The Trust owns the Property in fee simple, a cleaner ownership posture than ground-leasehold structures, and financed it with a fixed 6.04% Natixis loan that is interest-only for the full 10-year term, locking the cost of debt and supporting a 1.81x Year 1 coverage. The offsets are a relatively high coupon, meaningful leverage (51.0% of total capitalization, 61.9% of purchase price), a full-term interest-only balloon at the December 2035 maturity, and defeasance friction on early exit.</t>
  </si>
  <si>
    <t>The location is an affluent infill site in Salt Lake City, a growing intermountain metropolitan market with strong demographics and a supportive private-pay senior base. The constraints are physical: a small 1.361-acre, seven-parcel site, a single older (1987) four-story building, and a low parking ratio of roughly 0.65 spaces per unit, which limit expansion and could affect marketability to certain operators or buyers.</t>
  </si>
  <si>
    <t>The sponsor is a focused niche operator: Livingston Street Capital has acquired 18 active-adult and senior residential properties totaling over 2,800 units across 12 states, with senior leadership holding more than 75 years of collective experience, providing relevant operating depth in the segment. The offset is that the Property is operated under a master lease through a newly formed, thinly capitalized Sponsor affiliate, concentrating operational and credit dependency within the sponsor family.</t>
  </si>
  <si>
    <t>The offering provides debt-advantaged exposure to a demographically tailwinded senior-living community in an affluent Salt Lake City submarket with strong private-pay demographics, entered effectively stabilized at 98.9% occupancy following $1.89 million of recent capital investment. The Trust owns the asset in fee simple and financed it with a fixed 6.04% interest-only loan that locks the cost of debt and supports a 1.81x Year 1 coverage. Distributions are forecast to ramp from 4.70% to 6.10% through Year 9 (5.30% average inclusive of a reserve-enhanced terminal year), and the deal is led by a focused boutique sponsor with a multi-property senior-housing track record across 12 states and experienced senior leadership.</t>
  </si>
  <si>
    <t>The asset is a service-intensive senior-living operation rather than passive real estate: Effective Gross Income of roughly $4.6 million produces NOI of only about $1.5 million (a roughly 32% margin), so returns are sensitive to wage, food, and utility inflation, operator execution, and occupancy in a way a net-lease asset is not. The Trust is a single asset in a single, smaller market (Salt Lake City), in a small (94-unit) and older (1987-vintage) building on a constrained 1.361-acre, seven-parcel site with a low 0.65 parking-space-per-unit ratio, and embedded rent upside is limited by a 2.1% loss-to-lease. The Property is operated under a master lease through an affiliated, newly formed and thinly capitalized Master Tenant, so investor distributions depend on operator performance and a tiered rent waterfall, and the Trust bears uncontrollable-expense overages above projected amounts. The coupon is relatively high at 6.04% with meaningful leverage (51.0% of total capitalization, 61.9% of purchase price), the loan is interest-only for the full term so the entire $13,500,000 balloons at the December 2035 maturity, and early exit requires defeasance. The distribution ramp from 4.70% to 6.10% depends on operational rent and occupancy growth rather than contractual income, the Year 10 figure of 7.31% is inflated by a reserve release and partial-period effect, and the going-in cash yield is modest at 4.70% as operating expenses and debt service absorb cash flow. The upfront load is high at 15.24% of equity (an 11.46% selling and offering block plus a 3.78% acquisition fee) before a disposition fee and bridge financing costs, in a less-liquid secondary market.</t>
  </si>
  <si>
    <t>LSC-Salt Lake is a moderately leveraged, core-plus senior / independent-living multifamily DST whose return blends a modest, occupancy- and rent-growth-driven current yield (4.70% rising to 6.10%, approximately 5.30% average including a reserve-inflated terminal year) with terminal value, on a single stabilized 1987-vintage senior-living community in an affluent Salt Lake City submarket operated through an affiliated master lease. Distinct from passive net-lease DSTs, the asset is an operating senior-living business: roughly $4.6 million of Effective Gross Income yields only about $1.5 million of NOI (a roughly 32% margin), so returns are sensitive to wage, food, and utility inflation and to occupancy and operator execution. It is closest in profile to the sponsor's own Latham deal and the ledger's leveraged multifamily holdings, but is distinguished by a more service-intensive independent-living model, a smaller and older asset, fee-simple ownership (versus the ground-leasehold seen in some peers), a slightly lower coupon and average yield, and limited 2.1% loss-to-lease upside. On a risk-adjusted basis the deal pairs a demographically supported niche, affluent private-pay demographics, and a focused sponsor against single-asset and single-market concentration, operating-margin and operator-credit risk through a thinly capitalized affiliate, a 2035 interest-only balloon with defeasance friction, and a terminal-year distribution flattered by a reserve release. Macro fit is supportive given senior-housing demand and fixed-rate debt, but the dominant sensitivities are operating-margin durability, occupancy, the 2035 refinancing or sale and defeasance economics, and the exit pricing in a secondary market. Current distributions near 4.70% are supported by stabilized in-place NOI, but the ramp and terminal value carry the bulk of the return, and there is no 721 exit, the realization being a sale before 2035.</t>
  </si>
  <si>
    <t>Natixis Real Estate Capital LLC</t>
  </si>
  <si>
    <t>6.04% (Fixed)</t>
  </si>
  <si>
    <t>680 East 100 South, Salt Lake City, UT</t>
  </si>
  <si>
    <t>https://drive.google.com/file/d/14TW5JX5X4JShfMJ5Q9ZNuYF-unKL0gGR/view?usp=sharing</t>
  </si>
  <si>
    <t>lscsalt-lake-ut-dst</t>
  </si>
  <si>
    <t>Moody Med Center 2 DST</t>
  </si>
  <si>
    <t>Moody National</t>
  </si>
  <si>
    <t>Hospitality</t>
  </si>
  <si>
    <t>TX</t>
  </si>
  <si>
    <t>9.04%</t>
  </si>
  <si>
    <t>An all-cash, debt-free hospitality DST owning the 182-room Residence Inn by Marriott Houston Medical Center, a 16-story interior-corridor select-service / extended-stay hotel at 7807 Kirby Drive, Houston, Texas, in the Medical Center / NRG Stadium submarket anchored by the Texas Medical Center, the world's largest medical complex. The Trust acquired the Project on February 27, 2026 from an affiliated seller (Moody National Kirby-Houston Holding) for $33,000,000, approximately 6.3% below the $35,200,000 as-is appraised value (and below the $39,400,000 prospective value upon completion of a brand-mandated Property Improvement Plan). The Trust raised $41,905,000 of equity with no financing; proceeds funded the acquisition, $3,620,782 of operating and capital reserves (including roughly $3.2 million reserved for the Marriott PIP), and offering costs. The hotel is operated under a master lease with an affiliated Master Tenant (Moody Med Center 2 MT, LLC), which contracted Moody National Management, L.P. as Property Manager; rent comprises Base Rent plus Percentage Rent equal to 70% of gross revenue above a baseline of $6,200,000 growing 3% annually. Distributions to Holders are projected to begin at 6.0% of invested equity and increase to 6.8% over the approximately 10-year hold. The Med Center submarket posted strong post-pandemic RevPAR growth (21.8% in 2022, 13.6% in 2023, 10.2% in 2024) with only 71 rooms added in 2025 and none currently under construction. Sponsored by Moody National, a Houston-based real estate firm; the Managing Broker-Dealer is a Moody affiliate. Beginning two years after the offering closes, Holders may elect to contribute their interests to an affiliate Exchange Entity for units in an optional Section 721 transaction (receiving cash unless they elect units); the Project is expected to be sold in approximately 10 years.</t>
  </si>
  <si>
    <t>The hotel's demand anchor is the Texas Medical Center, the world's largest medical complex (with the TMC3 research-campus expansion underway), supplemented by NRG Stadium events, producing deep, needs-based, relatively recession-resilient lodging demand from patients, families, medical staff, and researchers. New supply is constrained: the submarket added only 71 rooms in 2025 and has none currently under construction, supporting occupancy and pricing power.</t>
  </si>
  <si>
    <t>The DST is all-cash and debt-free, eliminating refinancing, balloon-maturity, and interest-rate risk and removing the debt-service drag, so the entire 6.0%-to-6.8% distribution is unlevered. The structure also avoids the lender cash-management sweeps and restrictive covenants that burden the leveraged hotel and multifamily DSTs, giving the Trust Manager greater operational flexibility through hospitality cycles.</t>
  </si>
  <si>
    <t>The asset was acquired at $33,000,000, roughly 6.3% below its $35,200,000 as-is appraised value and well below the $39,400,000 prospective value upon completion of the Property Improvement Plan, providing a discounted basis. It operates under the Residence Inn by Marriott extended-stay flag, which draws longer-tenured, higher-margin medical-related stays, and a roughly $3.2 million capital reserve is set aside to fund the brand-mandated PIP.</t>
  </si>
  <si>
    <t>The submarket's operating trajectory is strong: RevPAR grew 21.8% in 2022, 13.6% in 2023, and 10.2% in 2024 on a combination of occupancy and average-daily-rate gains, with continued growth projected through 2029. Extended-stay product such as the Residence Inn typically delivers steadier occupancy and higher operating margins than transient full-service hotels, reinforcing income durability within the volatile lodging sector.</t>
  </si>
  <si>
    <t>The offering includes an optional Section 721 / UPREIT exit: beginning two years after the offering closes, Holders may elect to contribute their interests to an affiliate Exchange Entity in exchange for units (or receive cash), providing a potential tax-deferred continuation path that is uncommon among single-asset hotel DSTs and offers an alternative to a fully taxable disposition.</t>
  </si>
  <si>
    <t>The offering pairs a needs-based, recession-resilient demand anchor (the Texas Medical Center) with constrained new hotel supply, under a strong Residence Inn by Marriott extended-stay flag, acquired at a discount to appraised value. The all-cash, debt-free structure eliminates financing, refinancing, and interest-rate risk and supports a higher unlevered distribution beginning at 6.0% and rising to 6.8% of equity, while the submarket has demonstrated robust post-pandemic RevPAR growth. The deal is led by an experienced Houston-based hospitality sponsor with local operating relationships, includes a funded reserve for the brand-mandated property improvement plan, and offers an optional Section 721 exit providing a tax-deferred continuation alternative.</t>
  </si>
  <si>
    <t>Hotel income is an operating business that reprices daily with no lease term, making cash flow far more volatile than the ledger's net-lease and multifamily holdings and directly exposed to RevPAR, occupancy, and ADR swings, recessions, group and event cancellations, and labor and insurance cost inflation. The Trust is a single asset in a single market under a single brand dependent on a single demand driver, so any disruption to the Texas Medical Center, the Residence Inn franchise, or new supply would hit cash flow immediately. The seller, Master Tenant, Property Manager, and Managing Broker-Dealer are all Moody affiliates, concentrating conflicts of interest, and the affiliated Master Tenant is newly formed with limited capital, so its ability to pay rent depends entirely on hotel operations. A Marriott-mandated property improvement plan must be funded (roughly $3.2 million reserved), introducing renovation-cost, disruption, and brand-compliance risk, and the as-is appraised value reflects pre-PIP condition. The PPM notes the Trust may need to draw on limited reserves to meet the 6.0%-to-6.8% distribution target, so an operating shortfall would reduce distributions or deplete reserves. The Houston Gulf Coast location carries hurricane and wind exposure (Wind Zone III) with no separate wind insurance anticipated, and upfront costs are high, with a 9.04% selling and sponsor load plus 2.76% of affiliate carry costs and 0.52% of franchise expenses, such that only about 78.75% of equity funds the real estate.</t>
  </si>
  <si>
    <t>Moody Med Center 2 is an all-cash, core-plus hospitality DST whose return is an unlevered, operations-driven distribution (6.0% rising to 6.8% of equity) plus terminal value, on a single 182-room Residence Inn by Marriott in the Texas Medical Center submarket, operated through an affiliated master lease and hotel-management agreement. It is the ledger's first hotel and, like the all-cash net-lease holdings, carries no financing risk, but unlike those its cash flow is an operating hotel business with daily-repricing, economically sensitive revenue rather than contractual rent. The investment case rests on deep needs-based medical-center lodging demand, constrained new supply, strong post-pandemic RevPAR growth, a discounted basis to appraised value, and a durable extended-stay brand. On a risk-adjusted basis the absence of leverage materially de-risks the balance sheet and supports a higher unlevered yield, but is offset by hospitality's inherent volatility, single-asset, single-market, and single-flag concentration, dense Moody-affiliate conflicts across the seller, master tenant, manager, and broker-dealer, property-improvement-plan execution risk, and distribution dependence on reserves. Macro fit is favorable in that medical-anchored extended-stay lodging is among the more defensive hospitality niches and a debt-free structure suits a higher-rate environment, but RevPAR is cyclical and the exit in roughly 10 years depends on hotel pricing and Texas Medical Center demand. The optional Section 721 / UPREIT exit adds a tax-deferred continuation option. Underwriting feasibility hinges on sustaining occupancy and ADR through the hold and executing the PIP on budget; the disclosed distribution ramp is the offering's stated guidance, and the realization is a sale or 721 contribution in approximately 10 years.</t>
  </si>
  <si>
    <t>7807 Kirby Drive, Houston, TX</t>
  </si>
  <si>
    <t>https://drive.google.com/file/d/10N4GHnAWC8KnlbWvIyZUmBqbglrQsW8y/view?usp=sharing</t>
  </si>
  <si>
    <t>moody-med-center-2-dst</t>
  </si>
  <si>
    <t>sponsors/moody-national</t>
  </si>
  <si>
    <t>property-type/hospitality</t>
  </si>
  <si>
    <t>Moody Village Towers DST</t>
  </si>
  <si>
    <t>35.35% LTV</t>
  </si>
  <si>
    <t>Office</t>
  </si>
  <si>
    <t>A 325,557 RSF Class A office complex at 9651 and 9655 Katy Freeway, Houston (City of Hedwig Village, Memorial City/Katy Freeway corridor), built 2019 and comprising two six-story towers (Village Tower I, 141,249 RSF; Village Tower II, 141,059 RSF), a single-story plaza (43,249 RSF), and a six-story parking structure. The asset is held under a non-triple-net master lease to affiliate Moody Village Towers MT, LLC, with base rent supplemented by percentage rent equal to 70% of gross revenue over an escalating baseline. The income profile delivered to Holders was materially restructured after issuance: the Fourth Supplement (August 31, 2023) introduced an unsecured sponsor Note issued to every Holder, including those admitted before the supplement, which raised the anticipated all-in annual return above the base PPM proforma on a front-loaded basis that decays to the base rate by Year 10 as the Note matures November 30, 2031. The offering also converted from Rule 506(b) to Rule 506(c) general solicitation, accredited-investor-only (Second Supplement), and its termination horizon was extended in stages to a 45-month anniversary of the Conversion Notice (Eleventh Supplement). The tenant base skews toward energy and financial credit (Prologis, EnCap Investments, SEP Permian, Solaris Oilfield, Solaris Midstream, Veritex Community Bank, Frost Bank, WSP USA); as of October 2025 the Project was 99.64% leased, with 2ND.MD vacating 26,507 SF on December 31, 2025 and Tauber Oil backfilling 16,083 SF at roughly $3.90/SF above the prior tenant's final-year rent. The operating thesis is income-in-place with a single-asset, roughly 10-year hold and a contemplated disposition around the 2032 loan maturity.</t>
  </si>
  <si>
    <t>Going-in leverage is conservative relative to the broader DST office cohort: $74,500,000 of debt against $210,750,000 of total capitalization yields a 35.35% loan-to-cost, and even measured against the lower of two independent as-is appraisals ($184,300,000) the loan-to-value sits near 40%, preserving substantial equity cushion ahead of a disposition into a stressed office market.</t>
  </si>
  <si>
    <t>The full $74,500,000 floating-rate facility (Term SOFR plus 185 bps) is hedged to a synthetic fixed coupon of 5.09% for a tenor co-terminous with the 10-year hold, neutralizing reset risk across the entire ownership period and insulating distributable cash flow from rate volatility in a higher-for-longer environment.</t>
  </si>
  <si>
    <t>Investor income was enhanced post-closing by the Fourth Supplement's unsecured sponsor Note, lifting the anticipated all-in annual return from the base 4.50%–5.88% DST distribution band to 4.88%–6.00%, with the uplift concentrated in Years 2 and 3; because the Note carries a fixed 5.12% coupon and fixed per-Interest principal, the enhancement is dollar-defined rather than performance-linked and reverts to the base distribution in the final year as the Note matures, distinguishing it from genuine property-level income growth.</t>
  </si>
  <si>
    <t>Income is structurally bifurcated between contractual base rent (roughly $7.32M annually, essentially flat) and percentage rent set at 70% of gross revenue above an escalating baseline, channeling revenue outperformance directly to Holders; projected percentage rent grows from $2.73M in Year 1 to $4.61M in Year 10, supplying the base-case ramp in property-level cash-on-cash from 4.50% to 5.88%.</t>
  </si>
  <si>
    <t>The 2019 vintage and a stabilized 99.64% leased rent roll anchored by credit names (Prologis, Frost Bank, Veritex, EnCap, WSP USA) reduce near-term capital intensity and single-tenant concentration relative to suburban-office norms; recent leasing momentum is positive, with Tauber Oil's January 2026 backfill of vacated 2ND.MD space struck at roughly $3.90/SF above the departing tenant's final-year rate.</t>
  </si>
  <si>
    <t>The offering pairs a recently constructed, stabilized Class A asset with conservative 35–40% leverage and debt synthetically fixed at 5.09% for the entire term, removing the rate-reset exposure currently impairing peer office vehicles. Tenant credit quality exceeds the suburban-office norm, aggregate occupancy is effectively full, recent re-leasing has been accretive on a rate basis, and the percentage-rent mechanism affords participation in revenue growth. The post-closing sponsor-Note overlay raises near-term distributable cash to Holders above the base proforma, and new purchasers after December 2025 receive a 15%–20% price discount that further lifts effective cash-on-cash on invested capital. Macro positioning benefits from Houston MSA growth and an established Katy Freeway/Energy Corridor node, while two independent appraisals broadly corroborate acquisition-level valuation and the modest debt quantum limits property-level loss-given-default.</t>
  </si>
  <si>
    <r>
      <rPr/>
      <t xml:space="preserve">The master lease is expressly not triple-net, leaving the Trust exposed to expense inflation—real estate taxes alone are underwritten to climb from $2.15M to $2.80M over the hold—compressing net cash flow if reimbursements lag, and FY2024 unaudited combined property NOI of roughly $8.16M ran well below the comparable proforma year, indicating the base trajectory is not being met at the property level. Master-tenant capitalization is a structural weakness: projected Master Tenant Proceeds are negative in Year 1 (-$492,589), concentrating performance risk in a thinly capitalized related party. The post-closing income uplift is funded by an unsecured general obligation of the sponsor with no security and no trustee; a portion of each payment is return of Note principal rather than yield, the interest component is taxable ordinary income, and the Note allocation constitutes taxable boot for 1031 purchasers, diluting after-tax and tax-deferral efficiency. Tenancy carries energy-sector cyclicality and active rollover, evidenced by </t>
    </r>
    <r>
      <rPr>
        <color rgb="FF1155CC"/>
        <u/>
      </rPr>
      <t>2ND.MD</t>
    </r>
    <r>
      <rPr/>
      <t>'s negotiated reduction and December 2025 vacatur of 26,507 SF. The recourse loan balloons at the same horizon as the planned sale, creating refinance-or-sell convergence risk, and the asset was acquired from a sponsor affiliate at a basis ($210,750,000 total cost; $199,901,945 assumed Project value) exceeding both as-is appraisals (~$184M). The repeated extensions of the offering-termination date to 45 months and the escalating purchase discounts signal a protracted, undersubscribed capital raise.</t>
    </r>
  </si>
  <si>
    <t>The risk-adjusted profile is that of a modestly levered, stabilized Class A Houston office asset underwritten for income, deployed into a secularly challenged sector during a high-rate cycle, with a sponsor-engineered income overlay layered atop softening property-level performance. The financing structure—35–40% leverage termed-out at a synthetic-fixed 5.09%—is genuinely de-risking versus peers facing near-term maturities. The principal fragilities are in the assumptions and the income architecture rather than the capital stack: FY2024 actuals below proforma, an income enhancement dependent on the unsecured creditworthiness of the sponsor rather than the real estate, and a Year-10 exit that must clear a basis already above independent appraisal. The serial termination extensions and deepening 15%–20% new-purchaser discounts indicate weak placement velocity ($56.3M of $136.25M sold by December 2025) and imply that recent entrants transact at a more favorable effective yield than original Holders. Feasibility of the marketed all-in return is supported in the early years by the front-loaded Note but is not corroborated by property cash flow, and the convergence of loan maturity, Note maturity, and planned disposition concentrates outcome risk at the most uncertain point in the office cycle.</t>
  </si>
  <si>
    <t>Not Disclosed</t>
  </si>
  <si>
    <t>Veritex Community Bank and American National Bank of Texas</t>
  </si>
  <si>
    <t>5.09% (Fixed)</t>
  </si>
  <si>
    <t>N/A</t>
  </si>
  <si>
    <t>2.49x</t>
  </si>
  <si>
    <t>9651 &amp; 9655 Katy Freeway, Houston, TX</t>
  </si>
  <si>
    <t>https://drive.google.com/file/d/19iBj6JXIDNgL45jv7TXpEtIPLIzMZmYX/view?usp=sharing</t>
  </si>
  <si>
    <t>moody-village-towers-dst</t>
  </si>
  <si>
    <t>property-type/office</t>
  </si>
  <si>
    <t>NexPoint Life Sciences III DST</t>
  </si>
  <si>
    <t>NexPoint</t>
  </si>
  <si>
    <t>50.52% LTV</t>
  </si>
  <si>
    <t>Life Sciences</t>
  </si>
  <si>
    <t>MN</t>
  </si>
  <si>
    <t>9.35%</t>
  </si>
  <si>
    <t>9 years</t>
  </si>
  <si>
    <t>A 137,811 RSF, 2021-vintage single-tenant life sciences facility on approximately 11.73 acres at 11200 Hudson Road, Woodbury, Minnesota (Minneapolis-St. Paul MSA, an established top-tier U.S. life science cluster), net-leased to Kindeva Drug Delivery L.P., a global pharmaceutical CDMO specializing in drug-device combination products (pulmonary/nasal, injectable, transdermal delivery) and backed by private-equity sponsor Altaris Capital Partners. The Trust holds the asset subject to a Master Lease to 11200 Hudson Leaseco, LLC, an unaffiliated, thinly capitalized newly-formed Master Tenant funded by a $1,900,000 Sponsor-financed Demand Note that subleases to Kindeva under a 15-year Tenant Lease commenced September 17, 2021 and expiring September 30, 2036 with three five-year extension options, structured as a net lease under which the Tenant bears maintenance and services and the Master Tenant passes through taxes, insurance, and utilities. The Property was acquired indirectly by a Sponsor affiliate for a $57,750,000 MIPA price against a $59,000,000 BBG as-is appraisal, capitalized at $61,961,253 comprising $30,661,253 of Class 1 equity and an assumed $31,300,000 Wings Financial Credit Union loan. The income thesis is single-tenant, in-place net-lease cash flow; the nine-year financial forecast aligns with the November 1, 2032 loan maturity and the Sponsor's business plan contemplates disposition within approximately five to nine years. Distributions to Holders are projected to begin at 4.18% and range 4.01%-4.10% thereafter, partially shielded by depreciation. The offering is a best-efforts Regulation D placement whose termination date has been extended serially from January 31, 2025 to January 31, 2026 and then to July 31, 2026.</t>
  </si>
  <si>
    <t>The asset is 100% net-leased to Kindeva Drug Delivery L.P., a global contract development and manufacturing organization focused on drug-device combination products that operates nine facilities across the U.S. and U.K. and is backed by Altaris Capital Partners, under a 15-year lease commenced September 2021 and running to September 30, 2036 with three five-year extension options; the long-dated term extends roughly three years beyond both the November 2032 loan maturity and the planned disposition window, providing a contracted income stream with no rollover exposure during the hold.</t>
  </si>
  <si>
    <t>The 2021-vintage, purpose-built 137,811 RSF facility on 11.73 acres constitutes mission-critical, build-to-suit pharmaceutical manufacturing and R&amp;D real estate in the Minneapolis–St. Paul MSA, one of the highest-ranked U.S. life science clusters; specialized fill-finish, container-closure, and drug-device assembly infrastructure elevates tenant switching costs and supports retention economics that generic office or industrial product cannot replicate.</t>
  </si>
  <si>
    <t>Going-in leverage is moderate at a 50.52% loan-to-capitalization, $31,300,000 against $61,961,253 of total capitalization, and the in-place yield produces positive leverage against the 4.50% fixed coupon during the interest-only window, generating Year 1 net operating income that covers debt service at roughly 2.56x before amortization commences.</t>
  </si>
  <si>
    <t>The assumed Wings Financial Credit Union facility carries a 4.50% fixed coupon with 36 months of interest-only payments, front-loading distributable cash flow and supporting the 4.18% Year 1 distribution before scheduled amortization beginning December 2025 on a 300-month schedule and the November 2029 rate reset compress coverage in the back half of the hold.</t>
  </si>
  <si>
    <t>Distributions are projected to be partially tax-deferred through depreciation and amortization, and the structure embeds an Exchange Right under which the Sponsor's Exchange Entity may, after a one-year hold, call Holders' Interests for operating-partnership units in a transaction intended to qualify under Code Section 721 or 351, offering a potential UPREIT continuation path most single-asset DSTs lack, though the election rests with the Sponsor rather than the investor.</t>
  </si>
  <si>
    <t>The offering presents a stabilized, single-tenant net-leased life sciences asset of recent 2021 construction in a premier life science MSA, leased to a global pharmaceutical CDMO under a long-dated 15-year term that extends beyond both loan maturity and the disposition window, eliminating in-hold rollover exposure. Leverage is moderate at a 50.52% loan-to-capitalization with a 4.50% fixed coupon through 2029 and interest-only payments that front-load coverage near 2.56x in Year 1, while the in-place yield produces positive leverage during the fixed-rate period. The net-lease structure minimizes landlord operating exposure, the specialized build-to-suit improvements raise tenant switching costs, distributions are projected to be partially tax-sheltered by depreciation, the capitalization is broadly corroborated by a third-party BBG as-is appraisal, and the structure preserves an optional Section 721/351 exchange continuation path.</t>
  </si>
  <si>
    <t>The Tenant's contractual rent schedule embeds a pronounced step-down, with forecast net operating income declining approximately 11.67% in Year 4 as Master Lease Base Rent falls from $3,541,236 to $3,127,921 around 2027, pressuring distributable cash flow at the same time coverage is already eroding from the onset of amortization. The Master Tenant is a newly-formed, unaffiliated single-purpose entity with no substantial assets beyond its leasehold, capitalized only by a $1,900,000 Demand Note that was itself financed by the Sponsor, concentrating master-lease performance risk in a thinly capitalized counterparty whose support traces back to the Sponsor. The fixed 4.50% coupon expires in November 2029 and resets to a projected 6.25% at 2.00% over the three-year U.S. Treasury, driving scheduled debt service from roughly $1.41 million to as high as $2.48 million and compressing debt-service coverage toward approximately 1.38x by Year 7 before any adverse rate move. The underlying Tenant, Kindeva, is privately held with no public credit rating, leaving credit assessment dependent on a private-equity-owned CDMO in a cyclical pharmaceutical-services sector. Total capitalization of $61,961,253 exceeds both the $59,000,000 as-is appraisal and the $57,750,000 affiliate-acquisition price, embedding roughly $2.87 million of offering load that disposition pricing must overcome, and the exit is underwritten at a 4.50% terminal value against the entry basis, an approximately 130-basis-point compression assumption.</t>
  </si>
  <si>
    <t>The risk-adjusted profile is that of a single-tenant, net-leased life sciences credit-lease underwritten primarily for in-place income, with the principal variables residing in lease-schedule mechanics, counterparty depth, and refinancing rather than occupancy or the capital stack, which is moderately levered and fixed through 2029. The Minneapolis-St. Paul life science positioning and the mission-critical, build-to-suit nature of the improvements are genuine supports for tenant retention and residual value, and the lease term comfortably exceeds the hold, removing rollover risk from the base case. Against this, the underwriting embeds three coincident pressures - a Year 4 contractual rent decline, the commencement of amortization, and a 2029 reset to a projected 6.25% - that together compress coverage from roughly 2.56x to below 1.5x over the forecast even before the exit, leaving the 4.01%-4.10% distribution band with limited cushion if any assumption underperforms. The thin, Sponsor-financed Master Tenant capitalization and an entry basis above appraised value are the chief structural frictions, while the 4.50% terminal-value exit assumption against the entry basis is the most aggressive single assumption. Serial extension of the offering termination date through July 2026 indicates a measured placement pace for a best-efforts, no-minimum Regulation D offering.</t>
  </si>
  <si>
    <t>Wings Financial Credit Union</t>
  </si>
  <si>
    <t>4.50% (Fixed)</t>
  </si>
  <si>
    <t>3 years</t>
  </si>
  <si>
    <t>25 years</t>
  </si>
  <si>
    <t>2.56x</t>
  </si>
  <si>
    <t>11200 Hudson Road, Woodbury, MN</t>
  </si>
  <si>
    <t>https://drive.google.com/file/d/1pEkFZGQjyKuwlM6n2jKw94ctum63_F7J/view?usp=sharing</t>
  </si>
  <si>
    <t>nexpoint-life-sciences-iii-dst</t>
  </si>
  <si>
    <t>sponsors/nexpoint</t>
  </si>
  <si>
    <t>property-type/life-sciences</t>
  </si>
  <si>
    <t>NexPoint Oasis DST</t>
  </si>
  <si>
    <t>53.05% LTV</t>
  </si>
  <si>
    <t>A 2018-vintage, 356-unit garden-style multifamily community ("Oasis at Shingle Creek") on 27.35 acres at 4350 Osceola Trail Road, Kissimmee, Florida, within the Orlando–Kissimmee–Sanford MSA, comprising 15 residential buildings totaling 347,081 rentable square feet across 172 one-bedroom, 160 two-bedroom, and 24 three-bedroom units with 575 parking spaces and a full amenity package, 94.1% leased as of July 22, 2025. The Trust holds the asset subject to a Master Lease dated September 25, 2025 to NexPoint Oasis Leaseco, LLC, a Sponsor-affiliated Master Tenant capitalized by a Sponsor-funded Demand Note, with a base term expiring approximately three months after the November 1, 2035 loan maturity; the Master Tenant subleases the units to in-place residents. Distributions to Holders are structured as a fixed Additional Rent at a constant 3.77% cash-on-cash plus a performance-contingent Supplemental Rent capturing 90% of cash flow above escalating breakpoints, lifting total cash-on-cash from 4.36% in Year 1 to 5.95% in Year 10. The asset was acquired for an $87,250,000 PSA price against an $89,400,000 third-party as-is appraisal and capitalized at $98,681,389, comprising $46,331,389 of Class 1 equity and a $52,350,000 Freddie Mac Capital Markets Execution loan through Berkeley Point Capital/Newmark. The business plan is a Core-Plus strategy with modest value-add capital improvements, funded in part by a $1,500,000 Supplemental Trust Reserve, to drive rent growth, with a contemplated disposition within approximately five to ten years at the loan-maturity horizon.</t>
  </si>
  <si>
    <t>The $52,350,000 first mortgage is a Freddie Mac Capital Markets Execution loan originated through Berkeley Point Capital/Newmark at a 4.85% fixed coupon with full-term interest-only payments across the entire 10-year term to November 1, 2035, eliminating both amortization drag and interest-rate reset risk for the full hold and locking agency-quality, non-recourse leverage at a 53.05% loan-to-capitalization.</t>
  </si>
  <si>
    <t>The 2018-built, 356-unit garden-style community offers a competitive amenity package—resort pool with cabanas, fitness center, theater, and pet facilities—on 27.35 acres in the Orlando–Kissimmee–Sanford MSA, a high-in-migration Sunbelt market with sustained job and population growth; recent vintage limits near-term capital intensity relative to older value-add multifamily product.</t>
  </si>
  <si>
    <t>Investor cash flow is bifurcated into a contractually fixed Additional Rent yielding a constant 3.77% cash-on-cash and a performance-based Supplemental Rent capturing 90% of property cash flow above escalating breakpoints, providing a defined distribution floor while allowing participation in rent growth and producing a projected total cash-on-cash ramp from 4.36% to 5.95% over the hold.</t>
  </si>
  <si>
    <t>A $1,500,000 Supplemental Trust Reserve funded from loan proceeds underwrites a Core-Plus light-value-add program of interior and structural capital improvements intended to lift achievable rents at an asset still stabilizing at 94.1% leased, providing an organic upside lever beyond the 3.0% baseline rent-growth assumption.</t>
  </si>
  <si>
    <t>Distributions carry the depreciation shelter typical of recent-construction multifamily, and the structure preserves an Exchange Right under which the Sponsor's Exchange Entity may, after the requisite hold, call Holders' Interests for operating-partnership units in a transaction intended to qualify under Code Section 721 or 351, affording a potential UPREIT continuation path exercisable at the Sponsor's rather than the investor's election.</t>
  </si>
  <si>
    <t>The offering pairs a recent-vintage 2018 Sunbelt garden-apartment community in the high-growth Orlando MSA with agency-quality Freddie Mac financing fixed at 4.85% and interest-only for the full 10-year term, removing amortization and rate-reset risk from the hold and producing positive leverage against the in-place yield. The income structure offers a contractual 3.77% Additional Rent floor plus performance-based Supplemental Rent participation, distributions benefit from depreciation shelter, and a $1,500,000 reserve funds a Core-Plus value-add program with organic rent-growth upside. Occupancy at 94.1% leaves stabilization headroom, the unit mix is diversified across one-, two-, and three-bedroom plans, the $89,400,000 third-party as-is appraisal exceeds the $87,250,000 acquisition price, and the structure preserves an optional Section 721/351 exchange continuation path.</t>
  </si>
  <si>
    <t>The Property sits in a designated Hurricane Susceptible Region within coastal Florida, exposing the Trust to elevated property-insurance cost inflation and casualty risk in a state where multifamily premiums have escalated sharply; insurance is underwritten to rise over the hold, and a major storm event could impair both cash flow and residual value. The Master Tenant, NexPoint Oasis Leaseco, LLC, is a Sponsor affiliate with no independent capitalization beyond a Demand Note that is itself funded by the Sponsor, concentrating master-lease performance and conflict-of-interest risk within the Sponsor's own organization rather than an arm's-length counterparty. The projected return ramp depends almost entirely on Supplemental Rent contingent on property cash flow clearing escalating breakpoints; the only contractually fixed component is the 3.77% Additional Rent, so the 4.36%-to-5.95% trajectory is performance-exposed rather than guaranteed. The exit is underwritten at a 4.50% terminal value against the entry basis, a pricing compression assumption in a higher-rate environment, while the disclosed 5.50% downside exit scenario reduces the projected equity multiple materially. Total capitalization of $98,681,389 exceeds both the $89,400,000 appraisal and the $87,250,000 purchase price, embedding roughly $4.33 million of offering load plus a $1,308,750 affiliate Contribution Fee that disposition pricing must overcome, and the asset remains 94.1% leased, leaving lease-up and 3.0% organic rent-growth assumptions to be proven against the Orlando supply pipeline.</t>
  </si>
  <si>
    <t>The risk-adjusted profile is that of a stabilized-to-stabilizing, recent-vintage Sunbelt multifamily asset financed conservatively with full-term, fixed-rate agency debt, where the capital stack is genuinely de-risked - no amortization, no reset, non-recourse - and the principal variables reside in Florida insurance and hurricane exposure, the affiliated and thinly capitalized Master Tenant, and the performance-contingent portion of the distribution. The Orlando MSA's in-migration and employment fundamentals support the demand thesis and the 2018 construction date limits near-term capital needs, but the projected total-return ramp from 4.36% to 5.95% is carried by Supplemental Rent that must materialize from rent growth above escalating breakpoints rather than by contractual escalators, leaving the upper half of the projection performance-exposed. The base distribution floor of 3.77% is modest relative to current fixed-income alternatives, the 4.50% terminal-value exit against the entry basis is an optimistic compression assumption, and the entry basis above appraised value plus the affiliate Contribution Fee raise the disposition hurdle. Net, the financing structure is a clear strength while the income architecture, insurance exposure, and exit-pricing assumption are the chief frictions.</t>
  </si>
  <si>
    <t>Berkeley Point Capital LLC d/b/a Newmark</t>
  </si>
  <si>
    <t>4.85% (Fixed)</t>
  </si>
  <si>
    <t>4350 Osceola Trail Road, Kissimmee, FL</t>
  </si>
  <si>
    <t>https://lh3.googleusercontent.com/d/1i6vBRgzsfRKYr2wFruo6NfXc4vE7Jpvo</t>
  </si>
  <si>
    <t>nexpoint-oasis-dst</t>
  </si>
  <si>
    <t>NexPoint Small Bay III DST</t>
  </si>
  <si>
    <t>44.87% LTV</t>
  </si>
  <si>
    <t>Small Bay Industrial</t>
  </si>
  <si>
    <t>TX, FL</t>
  </si>
  <si>
    <t>A two-property, multi-tenant small-bay industrial portfolio held under a Parent Trust through two Operating Trusts (Arapaho DST and Deerfield DST), aggregating 179 small-bay units and approximately 509,914 net rentable square feet across roughly 39.8 acres. The Arapaho Property in Richardson, Texas (Dallas–Fort Worth MSA) comprises 19 one-story buildings, 136 units, and 407,669 RSF built 1976–1980 and was 92% leased as of August 31, 2025; the Deerfield Property in Deerfield Beach, Florida comprises seven buildings, 43 units, and 102,245 RSF built 1987–1988 (two buildings 2017) with significant 2024–2025 renovations and was 95% leased. Each Property is master leased by its Operating Trust to a Sponsor-affiliated Master Tenant (NREA SB III Arapaho/Deerfield Leaseco, LLC) wholly owned by Holdings and capitalized by a Sponsor-funded Demand Note; the Master Tenants sublease to in-place tenants on short-duration leases. The portfolio was acquired for a $71,700,000 combined price against a $78,000,000 combined as-is appraisal and capitalized at $91,382,493, comprising $50,382,493 of Class 1 equity and a $41,000,000 cross-collateralized, non-recourse Argentic Real Estate Finance loan fixed at 5.708% with full-term interest-only payments to a September 4, 2035 maturity. Distributions to Holders are structured as Base Rent plus stepped Additional Rent and performance-contingent Supplemental Rent, projected to rise from 4.62% in Year 1 to 6.01% in Year 10. The business plan is a value-add strategy exploiting the short-term lease structure for continued mark-to-market rent capture and capital improvements, with a contemplated disposition within approximately five to ten years.</t>
  </si>
  <si>
    <t>The small-bay format—179 units averaging under 3,000 square feet across two properties—carries short-duration, granular tenant leases that allow continued mark-to-market rent capture as rolls occur, a structural feature driving forecast NOI growth from $4.87 million to $7.45 million over the hold and diversifying credit exposure across many small tenants rather than concentrating it in a single net-lease covenant.</t>
  </si>
  <si>
    <t>Going-in leverage is conservative at a 44.87% loan-to-capitalization, $41,000,000 against $91,382,493 of total capitalization and the lowest of the recent NexPoint DST cohort; the cross-collateralized Argentic loan is fixed at 5.708% with full-term interest-only payments, eliminating amortization and reset risk and preserving substantial equity cushion against the $78,000,000 combined as-is appraisal.</t>
  </si>
  <si>
    <t>The portfolio spans two non-correlated Sunbelt industrial submarkets—Richardson within the Dallas–Fort Worth MSA and Deerfield Beach within the South Florida MSA—providing geographic diversification atypical of single-asset DSTs, while the Deerfield Property's 2024–2025 renovation program and partial 2017 construction temper the older 1976–1980 Arapaho vintage.</t>
  </si>
  <si>
    <t>Investor cash flow is structured as a Base Rent component plus a stepped Additional Rent and a performance-based Supplemental Rent capturing 90% of cash flow above escalating breakpoints, producing a rising distribution profile from 4.62% in Year 1 to 6.01% in Year 10 and a 5.36% average—above the recent multifamily and life-sciences DST comparables—reflecting the higher in-place yield of value-add small-bay product.</t>
  </si>
  <si>
    <t>Distributions carry depreciation shelter, and the structure preserves an Exchange Right under which the Sponsor's Exchange Entity may call Holders' Interests for operating-partnership units in a transaction intended to qualify under Code Section 721 or 351, affording a potential UPREIT continuation path exercisable at the Sponsor's rather than the investor's election.</t>
  </si>
  <si>
    <t>The offering combines conservative 44.87% loan-to-capitalization leverage with a cross-collateralized, non-recourse Argentic loan fixed at 5.708% and interest-only for the full 10-year term, removing amortization and reset risk while producing the in-place yield and positive leverage. The multi-tenant small-bay format diversifies credit across 179 granular tenants and, through short-duration leases, supports continued mark-to-market rent capture that drives forecast NOI growth of roughly 53% over the hold. The two-property structure spreads exposure across the Dallas and South Florida industrial markets, the Deerfield asset has been substantially renovated, occupancy at 92%-95% leaves stabilization headroom, the projected 5.36% average cash-on-cash exceeds recent DST comparables, the $78,000,000 combined as-is appraisal exceeds the $71,700,000 acquisition price, and the structure preserves an optional Section 721/351 exchange continuation path.</t>
  </si>
  <si>
    <t>The short-duration small-bay lease structure that enables mark-to-market upside is equally a source of continuous rollover and re-leasing risk, with absorption-and-turnover vacancy, free rent, and leasing-commission and tenant-improvement drawdowns recurring every year of the forecast; the projected NOI ramp depends on rolling many small tenants to higher market rents that must be achieved against local supply and retention dynamics. The Arapaho Property's 1976–1980 vintage implies elevated long-term capital and functional-obsolescence risk relative to modern industrial product, and the Deerfield Property's South Florida location carries hurricane and Florida insurance-cost exposure. Both Master Tenants are Sponsor affiliates wholly owned by Holdings and capitalized solely by Sponsor-funded Demand Notes, concentrating master-lease performance and conflict-of-interest risk within the Sponsor's organization rather than an arm's-length counterparty. The distribution ramp is performance-contingent: only the Base and stepped Additional Rent are contractual, while the Supplemental Rent that lifts later-year returns depends on cash flow clearing escalating breakpoints, and the cross-collateralized loan exposes each property to the other's performance. Total capitalization of $91,382,493 exceeds both the $78,000,000 appraisal and the $71,700,000 purchase price, embedding roughly $4.71 million of offering load plus a $1,434,000 affiliate Facilitation Fee that disposition pricing must overcome, and the September 2035 balloon coincides with the planned exit, creating refinance-or-sell convergence risk.</t>
  </si>
  <si>
    <t>The risk-adjusted profile is that of a low-leverage, diversified value-add small-bay industrial portfolio underwritten for mark-to-market rent growth, where the capital stack is genuinely de-risked—44.87% loan-to-capitalization, fixed-rate, full-term interest-only, non-recourse—and the principal variables reside in the achievability of the lease-rollover rent assumptions, the older Arapaho vintage, and the affiliated Master Tenant structure. The small-bay thesis is sound: granular, short-duration leases historically deliver pricing power and tenant diversification, and the projected 53% NOI growth and 5.36% average cash-on-cash exceed the recent multifamily and life-sciences DST comparables, reflecting genuinely higher in-place yield. Against this, the same short leases impose perpetual re-leasing cost and execution risk, the upper half of the return projection is carried by performance-contingent Supplemental Rent rather than contractual escalators, and the cross-collateralization plus a balloon coincident with the exit concentrate refinancing risk. The entry basis above appraised value, the affiliate Facilitation Fee, and the Sponsor-funded Master Tenant capitalization are the chief structural frictions, while the conservative leverage and fixed-rate, interest-only financing are the clearest strengths.</t>
  </si>
  <si>
    <t>Argentic Real Estate Finance 2 LLC</t>
  </si>
  <si>
    <t>5.708% (Fixed)</t>
  </si>
  <si>
    <t>1202 E Arapaho Road, Richardson, TX 75081</t>
  </si>
  <si>
    <t>https://lh3.googleusercontent.com/d/1qqDLDEfk7CZipiD3L_dpqZlctO2fuco0</t>
  </si>
  <si>
    <t>nexpoint-small-bay-iii-dst</t>
  </si>
  <si>
    <t>property-type/small-bay-industrial</t>
  </si>
  <si>
    <t>NexPoint Waterford DST</t>
  </si>
  <si>
    <t>48.64% LTV</t>
  </si>
  <si>
    <t>A 1997-vintage, 240-unit garden-style multifamily community ("Waterford Place") on 20.64 acres at 101 Shore Lake Drive, Greensboro, North Carolina (Piedmont Triad market), comprising 20 residential buildings totaling 277,296 rentable square feet across 72 one-bedroom, 120 two-bedroom, and 48 three-bedroom units with 425 parking spaces and a clubhouse, pool, and standard garden amenities, 90.0% leased as of March 9, 2026. The Trust holds the asset subject to a Master Lease dated January 16, 2026 to NexPoint Waterford Leaseco, LLC, a Sponsor-affiliated Master Tenant capitalized by a Sponsor-funded Demand Note. Distributions to Holders are structured as Base Rent plus a fixed 4.00% Additional Rent and a performance-contingent Supplemental Rent capturing 90% of cash flow above escalating breakpoints, producing a steep projected total cash-on-cash ramp from 4.51% in Year 1 to 7.64% in Year 10. The asset was acquired for a $49,500,000 PSA price against a $51,000,000 as-is appraisal and capitalized at $61,060,817, comprising $31,360,817 of Class 1 equity and a $29,700,000 Freddie Mac Capital Markets Execution loan through Walker &amp; Dunlop fixed at 4.86% with full-term interest-only payments to a March 1, 2036 maturity. The business plan is a Core-Plus value-add strategy supported by an unusually large $4,552,427 Trust Reserve, equal to 7.46% of capitalization, to fund interior and capital improvements and drive rent growth, with a contemplated disposition within approximately five to ten years.</t>
  </si>
  <si>
    <t>The $29,700,000 first mortgage is a Freddie Mac Capital Markets Execution loan originated through Walker &amp; Dunlop at a 4.86% fixed coupon with full-term interest-only payments across the entire 10-year term to March 1, 2036, eliminating amortization and reset risk while holding leverage to a conservative 48.64% loan-to-capitalization, among the lowest in the recent NexPoint multifamily DST cohort.</t>
  </si>
  <si>
    <t>The Greensboro/Piedmont Triad location supports an entry yield meaningfully wider than coastal-market multifamily DSTs, providing positive leverage against the fixed 4.86% coupon and a higher in-place yield basis from which the value-add plan operates.</t>
  </si>
  <si>
    <t>Investor cash flow is structured as a fixed 4.00% Additional Rent floor plus a performance-based Supplemental Rent capturing 90% of cash flow above escalating breakpoints; the Supplemental component is projected to grow from 0.59% to 3.72%, lifting total cash-on-cash from 4.51% to 7.64% and to a 6.04% average—the highest projected average of the recent NexPoint DST cohort.</t>
  </si>
  <si>
    <t>An unusually large $4,552,427 Trust Reserve, equal to 7.46% of total capitalization, is funded at closing to underwrite interior renovations and capital improvements at a 1997-vintage asset still stabilizing at 90% leased, providing a substantial funded runway for the value-add and lease-up program beyond the roughly 3.0% organic rent-growth assumption.</t>
  </si>
  <si>
    <t>The offering combines conservative 48.64% loan-to-capitalization leverage with agency-quality Freddie Mac financing fixed at 4.86% and interest-only for the full 10-year term, removing amortization and reset risk while producing positive leverage against the in-place yield that is wider than coastal multifamily comparables. The income structure provides a fixed 4.00% Additional Rent floor plus performance-based Supplemental Rent participation, the projected 6.04% average cash-on-cash is the highest of the recent NexPoint DST cohort, and a large $4,552,427 funded Trust Reserve underwrites a value-add capital program with rent-growth upside. Distributions benefit from depreciation shelter, the $51,000,000 as-is appraisal exceeds the $49,500,000 acquisition price, the unit mix is diversified across one-, two-, and three-bedroom plans, and the structure preserves an optional Section 721/351 exchange continuation path.</t>
  </si>
  <si>
    <t>The projected total cash-on-cash ramp from 4.51% to 7.64% is steep and almost entirely performance-contingent: only the 4.00% Additional Rent is contractual, while the Supplemental Rent that nearly doubles the distribution by Year 10 depends on net operating income—forecast to grow roughly 48% over the hold—clearing escalating breakpoints, an aggressive trajectory for a 1997-vintage asset in the tertiary Greensboro market that is only 90% leased at acquisition. The Greensboro/Piedmont Triad submarket is smaller and less liquid than the Sunbelt gateway markets of comparable offerings, raising disposition and exit-cap uncertainty. The Master Tenant, NexPoint Waterford Leaseco, LLC, is a Sponsor affiliate capitalized solely by a Sponsor-funded Demand Note, concentrating master-lease performance and conflict-of-interest risk within the Sponsor's organization. The capitalization carries a heavy reserve and cost load—a $4,552,427 Trust Reserve plus roughly $2.93 million of offering load and a $742,500 affiliate Contribution Fee—such that total capitalization of $61,060,817 substantially exceeds both the $51,000,000 appraisal and the $49,500,000 purchase price, a roughly 20% premium that disposition pricing must overcome. The 1997 vintage implies ongoing capital intensity, and the March 2036 balloon coincides with the planned exit, creating refinance-or-sell convergence risk.</t>
  </si>
  <si>
    <t>The risk-adjusted profile is that of a value-add, 1997-vintage garden-apartment asset in a tertiary North Carolina market, financed conservatively with full-term fixed-rate agency debt, where the capital stack is genuinely de-risked but the distribution projection is the most aggressive of the recent NexPoint DST cohort. The conservative 48.64% leverage, fixed 4.86% interest-only financing, a wider in-place yield, and a large funded reserve are real supports for the business plan, and the depreciation shelter and optional 721 path are structurally favorable. The central tension is the steep 4.51%-to-7.64% return ramp, which rests on a roughly 48% NOI increase and a performance-contingent Supplemental Rent rather than contractual escalators - an outcome dependent on successfully executing interior renovations, lifting a 90%-leased asset to stabilization, and pushing rents in a smaller, less liquid submarket. The entry basis roughly 20% above appraised value, driven by the unusually heavy reserve and fee load, is the chief structural friction and raises the disposition hurdle, while the affiliated and Sponsor-funded Master Tenant and the exit-coincident loan maturity round out the principal risks. Net, conservative financing offsets an income architecture and basis that demand strong execution to realize the marketed returns.</t>
  </si>
  <si>
    <t>Walker &amp; Dunlop, LLC</t>
  </si>
  <si>
    <t>4.86% (Fixed)</t>
  </si>
  <si>
    <t>2.01x</t>
  </si>
  <si>
    <t>101 Shore Lake Drive, Greensboro, NC</t>
  </si>
  <si>
    <t>https://lh3.googleusercontent.com/d/1nJEcVKy6pe-PQwabSzXydcOpYDYrvAPr</t>
  </si>
  <si>
    <t>nexpoint-waterford-dst</t>
  </si>
  <si>
    <t>NLC Financial Service HQ DST</t>
  </si>
  <si>
    <t>82.75% LTV</t>
  </si>
  <si>
    <t>MI</t>
  </si>
  <si>
    <t>8.36%</t>
  </si>
  <si>
    <t>18 years</t>
  </si>
  <si>
    <t>A Zero Cash Flow Delaware Statutory Trust offering 79.30% of the beneficial interests in NLC Financial Service HQ DST, which indirectly owns the Huntington Tower—a 2023-built, 20-story Class A office headquarters and structured parking garage totaling 421,481 gross square feet on 0.51 acres at 2025 Woodward Ave., Detroit, Michigan (downtown Wayne County). The Property is 100% leased to The Huntington National Bank under a 22.5-year absolute triple-net lease commenced January 1, 2022 and expiring June 30, 2044, with 2.00% annual escalations and four seven-year renewal options; the lease is guaranteed by Huntington Bancshares Incorporated (S&amp;P BBB+, Fitch A-, Morningstar A). The structure is zero cash flow: 100% of lease rent is applied to mortgage debt service, so no current distributions are paid to Holders during the term—investor return is generated through mortgage amortization and equity buildup, Section 1031 tax-deferral status, and capital appreciation realized upon eventual disposition. The all-in transaction amount (79.30% share) is $137,692,566, comprising $23,751,968 of equity (17.25%) and $113,940,598 of assumed non-recourse debt (82.75%) across a 4.589% amortizing senior note and two accrual subordinated notes at 7.870% and 10.756%, all maturing June 10, 2044 coterminous with the lease. The Appraisal projects a terminal property value of approximately $240,000,000 at the end of the initial lease term against a total balloon of roughly $67.6 million, framing the equity-buildup thesis. Sponsor: Net Lease Capital Advisors LLC.</t>
  </si>
  <si>
    <t>The Property is 100% leased to The Huntington National Bank under a 22.5-year absolute triple-net lease running to June 2044 and guaranteed by Huntington Bancshares Incorporated, an investment-grade institution (S&amp;P BBB+, Fitch A-, Morningstar A) with $210.2 billion in assets and $2.08 billion of net income; the absolute-NNN structure places all operating, maintenance, and capital obligations on the tenant, and the lease term is coterminous with the debt, eliminating rollover and re-leasing risk during the financing.</t>
  </si>
  <si>
    <t>As a zero cash flow structure, 100% of rent services the mortgage and no current distributions are paid; the investor return is engineered through forced mortgage amortization that builds equity over the hold, with the Appraisal projecting a terminal property value of approximately $240,000,000 at the June 2044 lease expiry against a total balloon of roughly $67.6 million, the spread representing the targeted equity accretion plus appreciation.</t>
  </si>
  <si>
    <t>The offering is designed for Section 1031 exchange investors seeking to replace both equity and a large allocation of debt; the 82.75% non-recourse leverage allows a relatively small equity outlay to satisfy substantial replacement-debt requirements, and the absence of current cash flow paired with depreciation can shelter income, positioning the structure as a debt-replacement and tax-deferral vehicle rather than an income vehicle.</t>
  </si>
  <si>
    <t>The 2023-vintage, build-to-suit headquarters anchors Huntington's regional presence in downtown Detroit on Woodward Avenue, with mission-critical single-tenant occupancy spanning a ground-floor bank branch, structured parking, and office floors that supports tenant commitment; recent construction limits near-term capital needs, which are in any event the tenant's obligation under the absolute-NNN lease.</t>
  </si>
  <si>
    <t>The $131.9 million current-balance senior note carries a 4.589% fixed coupon and amortizes to a modest $7.1 million balloon at June 2044, while the subordinated notes accrue rather than requiring current payment; all debt is non-recourse to Holders, and the matched lease-and-loan maturities align the credit, the amortization schedule, and the disposition at a single 2044 horizon.</t>
  </si>
  <si>
    <t>The offering provides investment-grade single-tenant credit exposure—The Huntington National Bank, guaranteed by Huntington Bancshares (S&amp;P BBB+, Fitch A-)—under a 22.5-year absolute triple-net lease coterminous with the debt to June 2044, eliminating operating, capital, and rollover risk during the hold. The zero cash flow structure offers Section 1031 investors a debt-replacement vehicle that satisfies large mortgage-replacement requirements with a modest 17.25% equity outlay, while forced senior amortization builds equity against a projected $240,000,000 terminal value. The recent 2023 build-to-suit construction, downtown Detroit Woodward Avenue location, fixed 4.589% senior coupon, non-recourse debt, and 2.00% annual rent escalations are structurally favorable, and the matched lease-and-loan maturities concentrate execution at a single, well-defined horizon.</t>
  </si>
  <si>
    <t>The structure pays no current cash flow, so Holders receive no distributions during a roughly 18-year hold and depend entirely on mortgage amortization, tax deferral, and a single disposition or refinancing event in June 2044, an illiquid and back-end-loaded return profile. Leverage is high at 82.75%, and while the senior note amortizes, two subordinated notes at 7.870% and 10.756% accrue to balloon balances of $33,000,000 and $27,500,000 that, with the senior balloon, total $67,575,742 due at the 2044 maturity—a substantial refinance-or-sell obligation whose satisfaction depends on the Property re-leasing or selling at then-prevailing rates and on Huntington renewing. The asset is a single-tenant Class A office tower in downtown Detroit, a market with structural office-demand and liquidity challenges, concentrating value in one credit, one building, and one secondary office market amid secular office weakness. The equity-buildup thesis rests on an Appraisal-projected $240,000,000 terminal value that is not guaranteed and depends on renewal (each extension at 95% of fair market rent) or a market sale. The uses of proceeds embed an unusually large Affiliate Equity Financing Cost of $5,258,239 (22.14% of cash proceeds) plus selling and offering load of $1,985,290 (8.36%), elevating the effective basis, and only 79.30% of the Trust is offered, with 20.70% held by third parties.</t>
  </si>
  <si>
    <t>The risk-adjusted profile is fundamentally different from an income-oriented DST: this is a high-leverage, zero cash flow, investment-grade credit-lease vehicle whose return is engineered through forced amortization and 1031 tax deferral rather than current yield, and it should be evaluated as a debt-replacement and tax-deferral instrument, not a cash-flowing real estate investment. The principal strengths are the investment-grade Huntington and Huntington Bancshares credit, the long absolute-NNN lease coterminous with the debt, the amortizing fixed-rate senior note, and recent build-to-suit construction—collectively a low-default-probability, cash-flow-matched position. The principal risks are concentrated and back-loaded: a single Detroit office asset in a secularly weak office sector, total balloon obligations of $67.6 million converging with the lease expiry in 2044, accrual subordinated notes at 7.870% and 10.756% that compound the back-end obligation, a terminal-value thesis dependent on renewal or sale at uncertain future rates, and an embedded affiliate financing cost that raises the effective basis. The vehicle suits a 1031 exchanger prioritizing debt replacement and tax deferral over current income and able to bear an illiquid, roughly 18-year hold concentrated in a single 2044 outcome event.</t>
  </si>
  <si>
    <t>Wells Fargo Trust Company, N.A.</t>
  </si>
  <si>
    <t>4.589% (Fixed)</t>
  </si>
  <si>
    <t>Senior amortizes; B-notes accrue</t>
  </si>
  <si>
    <t>1.00x</t>
  </si>
  <si>
    <t>2025 Woodward Avenue, Detroit, MI</t>
  </si>
  <si>
    <t>https://drive.google.com/file/d/1rdurO1qY6vAjQAHA6mSQqD7VCN0VgYob/view?usp=sharing</t>
  </si>
  <si>
    <t>nlc-financial-service-hq-dst</t>
  </si>
  <si>
    <t>Passco Preston Ridge DST</t>
  </si>
  <si>
    <t>Passco</t>
  </si>
  <si>
    <t>46.93% LTV</t>
  </si>
  <si>
    <t>7.65%</t>
  </si>
  <si>
    <t>A 2020/2023-vintage, 340-unit garden-style multifamily community ("Preston Ridge") on 24.07 acres at 2001 Startown Road, Hickory, North Carolina, comprising 13 four-story wood-frame buildings totaling 326,381 net rentable square feet across one-, two-, and three-bedroom plans averaging 960 SF with 654 parking spaces, 89.12% occupied per the January 8, 2026 rent roll. The Trust acquired the fee interest on January 8, 2026 from an unaffiliated seller for a gross purchase price of $73,082,500 (net $71,300,000 plus a $1,782,500 advisory fee to affiliate Passco Management Services), against a November 21, 2025 as-is appraisal of $73,300,000. The Project is subject to a Master Lease with Passco Preston Ridge MT, LLC, a thinly capitalized affiliate of the Depositor funded with $50,000 cash plus $310,000 and $500,000 notes guaranteed by Passco Companies, and is professionally managed by Fogelman Properties. Total capitalization is $83,565,000, comprising $44,350,000 of Class A equity and a $39,215,000 KeyBank loan under the Fannie Mae DUS program fixed at 5.01% with a seven-year interest-only period and a 30-year amortization schedule, maturing in 2036. Net distributions to Holders are projected at 4.45% in 2026, rising to roughly 5.19% by 2032 before dipping to 4.72% in 2033 as amortization commences and recovering to 5.02% by 2035, over a 10-year hold. The business plan is a Core-Plus strategy combining a recently built, stabilizing asset with a modest capital-improvement program in the Hickory submarket of western North Carolina.</t>
  </si>
  <si>
    <t>The 2020/2023-vintage, 340-unit garden community is among the newest assets of the recent DST cohort, with only six years of effective age, wood-frame construction, and a 1.92-per-unit parking ratio; the recent build materially limits near-term capital expenditure relative to older value-add multifamily and supports a lower-risk operating profile.</t>
  </si>
  <si>
    <t>The $39,215,000 KeyBank loan under the Fannie Mae DUS program is fixed at 5.01% with seven years of interest-only payments, holding leverage to a conservative 46.93% loan-to-capitalization and roughly 53.5% of the $73,300,000 appraised value; agency execution, a green-spread reduction, and a rate buydown lower the coupon, and the structure defers amortization drag through 2032.</t>
  </si>
  <si>
    <t>The asset was acquired at $209,706 per unit against a $73,300,000 as-is appraisal that exceeds the $73,082,500 gross purchase price, providing a basis modestly below appraised value and positive leverage over the 5.01% fixed coupon during the interest-only period.</t>
  </si>
  <si>
    <t>Net distributions to Holders are projected to rise from 4.45% to approximately 5.19% by 2032 on rent growth, with a temporary dip to 4.72% in 2033 when the seven-year interest-only period ends and 30-year amortization begins, before recovering to 5.02%; the 4.81% ten-year average reflects a stabilizing rather than fully stabilized rent roll at 89.12% occupancy.</t>
  </si>
  <si>
    <t>Day-to-day operations are handled by Fogelman Properties, an experienced third-party multifamily operator, under a Passco-affiliated master lease; the Hickory submarket showed competing-property occupancy of 88.9% to 96.0% and average asking rents near $1,583 per unit, framing the lease-up and rent-growth opportunity against a limited local supply pipeline.</t>
  </si>
  <si>
    <t>The offering pairs a recently built 2020/2023 340-unit garden-apartment community with conservative 46.93% loan-to-capitalization leverage and an agency Fannie Mae DUS loan fixed at 5.01% with seven years interest-only, removing reset risk and deferring amortization while producing positive leverage against the in-place yield. The acquisition basis sits modestly below the $73,300,000 as-is appraisal, recent construction limits near-term capital needs, distributions benefit from depreciation shelter, and the asset is professionally managed by Fogelman under a Passco-affiliated master lease. The diversified one-, two-, and three-bedroom unit mix, the 1.92-per-unit parking ratio, and a stabilizing 89.12% occupancy with assumed Year-1 lease-up to 91.28% provide a credible path to the projected 4.45%-to-5.02% net distribution range over the hold.</t>
  </si>
  <si>
    <t>The Master Tenant is a newly formed Passco affiliate with minimal capital—$50,000 in cash plus $310,000 and $500,000 notes guaranteed by Passco Companies—concentrating master-lease performance and conflict-of-interest risk in a thinly capitalized related party. The net distribution profile is modest and non-linear, dipping from 5.19% in 2032 to 4.72% in 2033 when the interest-only period expires and 30-year amortization begins, so the back half of the hold delivers lower current cash even as gross rents rise. The Project is a single asset in Hickory, a tertiary western North Carolina market with limited liquidity and a smaller demand base than gateway Sunbelt metros, and it is only 89.12% occupied at acquisition, leaving lease-up and the assumed 91.28% Year-1 occupancy and rent-growth assumptions to be proven against five directly competing communities. The purchase price was grossed up by a $1,782,500 advisory fee to an affiliate, and the offering carries a 7.65% selling load, elevating the effective basis above the underlying real estate cost, while the loan balloons in 2036 coincident with the planned disposition, creating refinance-or-sell convergence risk.</t>
  </si>
  <si>
    <t>The risk-adjusted profile is that of a recently constructed, stabilizing garden-apartment asset financed conservatively with fixed-rate agency debt, where the capital stack is genuinely low-risk - 46.93% leverage, fixed 5.01%, seven-year interest-only - and the principal variables reside in lease-up execution, the tertiary Hickory submarket, and the affiliated master-tenant structure. The recent vintage and below-appraisal basis are real supports, and the in-place yield provides positive leverage and a reasonable entry yield, but the projected 4.81% ten-year average net distribution is modest, and the amortization-driven dip in 2033 underscores that current cash flow weakens in the back half before any disposition. The thin, Passco-guaranteed master-tenant capitalization, the affiliate advisory-fee gross-up, and a single-asset concentration in a smaller western North Carolina market are the chief frictions, while the conservative leverage and recent construction are the clearest strengths. The investment suits an income-oriented 1031 exchanger comfortable with tertiary-market lease-up risk and a back-loaded, amortization-affected cash-flow profile.</t>
  </si>
  <si>
    <t>KeyBank, N.A.</t>
  </si>
  <si>
    <t>5.01% (Fixed)</t>
  </si>
  <si>
    <t>2001 Startown Road, Hickory, NC</t>
  </si>
  <si>
    <t>https://lh3.googleusercontent.com/d/1JkqhF99raEFNfMXb_nl2AaP7PG0Lmh19</t>
  </si>
  <si>
    <t>passco-preston-ridge-dst</t>
  </si>
  <si>
    <t>sponsors/passco</t>
  </si>
  <si>
    <t>Passco Riverside DST</t>
  </si>
  <si>
    <t>45.49% LTV</t>
  </si>
  <si>
    <t>KY</t>
  </si>
  <si>
    <t>15.31%</t>
  </si>
  <si>
    <t>A 265-unit, 11.68-acre Class A apartment community (Velo Riverside, 1181 Manhattan Blvd.) completed in 2024, sited on the Northern Kentucky riverfront in Dayton, KY (Campbell County) directly across the Ohio River from downtown Cincinnati within the Cincinnati OH-KY-IN MSA. The mix is weighted to one-bedroom (~39% of units) and two-bedroom (~46%) product at a 1,042 SF blended average across four residential buildings with structured/garage parking. The thesis monetizes cross-river cost arbitrage—CBD employer access (Procter &amp; Gamble 4.1 mi, Kroger 4.4 mi) and the CVG/DHL/Amazon Air logistics cluster 17 mi south—against a lower Kentucky tax basis, layered onto a forecast 2026 contraction in submarket deliveries. The asset-specific operating plan targets occupancy normalization from the 91.69% in-place rent roll toward a modeled 94.24%, executed through revenue-management pricing (YieldStar / Passco Pricing Model), an ancillary-income ramp (valet trash, utility reimbursement, parking, pet revenue), and light amenity capex under an affiliate master lease with Arlington Properties as third-party manager. Capitalized at 45.49% loan-to-cost on fixed-rate Fannie Mae DUS debt across a 10-year hold.</t>
  </si>
  <si>
    <t>The submarket is transitioning through a supply-absorption inflection that underpins the rent thesis. Trailing deliveries ran hot—roughly 3,200 units, up ~44% versus the recent average—and supply outpaced demand over the prior twelve months, but Kentucky alone captured more than one-third of market-wide net absorption, and deliveries are slated for a notable pullback in 2026 that supports vacancy stabilization. The asset enters this window already constructed and amenitized, positioning it to absorb residual demand without competing against a fresh wave of lease-up concessions from later-cycle starts.</t>
  </si>
  <si>
    <t>The location exploits a structural cross-river labor and cost arbitrage. The Kentucky riverfront delivers downtown-Cincinnati employment access while sitting on a lower Kentucky tax basis, and the property manager reports a median resident household income near $97,656 with approximately 53.30% of units occupied by households earning above $90,000. That income profile implies a meaningful rent-to-income cushion relative to in-place rents, supporting renewal pricing power and reducing collection-loss sensitivity through a softening labor cycle.</t>
  </si>
  <si>
    <t>Demand drivers are diversified across non-correlated employment verticals within the commute shed rather than concentrated in a single industry. The CVG aviation/logistics hub (DHL's primary U.S. international gateway undergoing a $292M expansion; Amazon Air's 800,000 SF facility), aerospace via GE Aerospace, and a deep healthcare/education base (the sector is the MSA's largest employment concentration at 15.8%) are reinforced by announced expansions including Medpace's $327M tower (~1,500 jobs) and Resilience's biomanufacturing build-out. This breadth dampens idiosyncratic tenant-demand risk across the hold.</t>
  </si>
  <si>
    <t>The capital structure is conservatively levered and rate-insulated. The Fannie Mae DUS facility carries a fixed 4.85% coupon bought down for $816,020, with a 7-year interest-only runway before 30-year amortization, on a nonrecourse basis at 45.49% loan-to-cost. The resulting 2.16x Year 1 DSCR and an ascending coverage profile through the I/O window provide substantial debt-service headroom, while loan assumability (subject to lender approval and a 1% fee) furnishes financing optionality that can widen the buyer pool at disposition in a higher-rate exit environment.</t>
  </si>
  <si>
    <t>The asset benefits from a property-tax abatement structure in which fee title is held by the City of Dayton under Taxable Industrial Building Revenue Bonds (Series 2022), with PILOT-style payments calibrated to what the taxing jurisdictions would otherwise receive. This vehicle supports interim net operating income during the early hold and is a structural enhancement not present in comparably situated unabated assets, even as the projections conservatively model a reassessment to 100% of purchase price beginning in 2027.</t>
  </si>
  <si>
    <t>The offering pairs a 2024-vintage, fully amenitized institutional asset—minimizing near-term deferred maintenance and functional-obsolescence exposure—with a conservatively structured balance sheet. Fixed-rate DUS leverage at 45.49% loan-to-cost insulates cash flow from rate volatility through a 7-year interest-only window, producing a 2.16x Year 1 DSCR that ascends to the low-2.30x range before amortization commences. Demand fundamentals are supported by a diversified MSA employment base spanning logistics, aerospace, and healthcare/education, a high-income in-place resident profile, a forecast 2026 contraction in competing deliveries, and identifiable operational upside through revenue-management pricing and ancillary-income capture. The PILOT abatement supports interim NOI, and the assumable nonrecourse loan enhances exit flexibility.</t>
  </si>
  <si>
    <t>The diligence record discloses a roof-truss / snow-load design deficiency: the Curtainwall Design &amp; Consulting report (Oct. 8, 2025) documents trusses deflecting beyond design and bearing on walls not intended to carry those loads, addressed through ad hoc bracing, gusset plates, and Simpson truss screws, with no confirmed comprehensive truss-by-truss remediation plan—latent structural-capital exposure atypical for a 2024 build. Going-in basis is unfavorable: the October 6, 2025 as-is appraised value of $77,100,000 sits below the $78,566,250 real-estate allocation and well under the $89,701,000 total capitalization, embedding a negative basis versus appraisal and an implied loan-to-appraised-value of ~52.9% against the stated 45.49% loan-to-cost. Year 1 underwriting assumes 94.24% occupancy above the 91.69% in-place rent roll, into a submarket where deliveries recently outpaced absorption (3,200 units, +44%; 7.5% metro vacancy) and five comparable communities within 5.3 miles report occupancy spanning 89.5%-97.1%. The master tenant (Passco Riverside MT, LLC) is newly formed with limited capital and net worth, carries thin modeled net income (~$112,062 in Year 1), and depends on a percentage-rent mechanism (80% of EGR growth over an escalating base, re-adjusted in Year 8) to fund distributions—a master-tenant capitalization weakness. A 2027 reassessment to full purchase price drives a ~48.3% real-estate-tax step-up in Year 3 that suppresses NOI growth, and amortization onset in Year 8 cuts the net investor distribution to 4.30%.</t>
  </si>
  <si>
    <t>On a risk-adjusted basis the offering reads as an income-oriented core-plus DST whose return is bond-like through the interest-only window and increasingly amortization-driven thereafter, with a mid-4% going-in cash yield on moderate fixed-rate leverage. Feasibility of the underwriting rests on three contingencies: occupancy normalizing above the current rent roll despite recent submarket oversupply; percentage-rent escalation actually materializing through revenue-management execution; and the truss remediation plus 2027 reassessment not impairing modeled NOI. The negative basis to appraisal and the ~15.31% equity load mean realized appreciation must first absorb the syndication load before investor equity is preserved at a Code Section 1031-qualifying exit - placing weight on the forecast 2026 supply pullback and the diversified employment base that anchor the demand thesis. The distribution path (4.35% rising to 4.89%, then resetting to 4.30% as principal amortization begins) is most sensitive to the thinly capitalized master tenant's coverage, which is the structural fulcrum of the cash-flow projection.</t>
  </si>
  <si>
    <t>KeyBank, National Association</t>
  </si>
  <si>
    <t>2.16x</t>
  </si>
  <si>
    <t>1181 Manhattan Blvd., Dayton, KY</t>
  </si>
  <si>
    <t>https://drive.google.com/file/d/1TdvSzDrJzQMgl-Pz1Qx4geNikr2Lud4L/view?usp=sharing</t>
  </si>
  <si>
    <t>passco-riverside-dst</t>
  </si>
  <si>
    <t>PG Savannah Industrial DST</t>
  </si>
  <si>
    <t>Peachtree Group</t>
  </si>
  <si>
    <t>13.31%</t>
  </si>
  <si>
    <t>A 594,552 SF Class A bulk industrial distribution warehouse (122 Dorchester Village Rd., Midway, Liberty County, GA) on 41.40 acres within the Hinesville MSA, positioned in the Port of Savannah / I-95 Eastern Seaboard logistics corridor. The building offers 40-foot clear heights, ~5,849 SF of office, four drive-in doors, 58 dock-high loading doors and 66 dock knockouts. The asset is 100% net-leased to Hasbro, Inc. (NASDAQ: HAS; S&amp;P BBB / Moody's Baa2) under a new ~10-year NNN lease commencing April 2026 and expiring May 31, 2036, carrying 3.25% fixed annual escalations ($7.75 to $10.34 PSF over the initial term) and two five-year fair-market renewal options; real estate taxes, insurance, and management are tenant-reimbursed, leaving the Trust's landlord obligations limited largely to structure. The Property is held debt-free through a leasehold/bond-lease arrangement with the Liberty County Industrial Authority that delivers a full ad valorem abatement (Years 1-8, partial Year 9). The thesis is durable, contractually escalating investment-grade net-lease income from a modern port-logistics distribution box over a 10-year hold.</t>
  </si>
  <si>
    <t>The asset is anchored by investment-grade single-tenant credit. Hasbro, Inc. carries S&amp;P BBB and Moody's Baa2 ratings and uses the facility for national distribution behind an iconic brand portfolio (Monopoly, Nerf, Play-Doh). The corporate-backed lease supplies predictable, ratings-supported income with minimal operational burden on the Trust, anchoring the rent roll in rated corporate credit rather than operating cash flow.</t>
  </si>
  <si>
    <t>The site sits in one of the most strategically relevant logistics submarkets in the Southeast. Proximity to the Port of Savannah—among the fastest-growing U.S. container ports—and direct I-95 Eastern Seaboard access support tenant demand for modern bulk distribution. The building's functional specifications (40-foot clear height, 58 dock doors plus 66 knockouts, deep truck courts) align with current big-box logistics requirements and underpin re-leasing economics in a port-driven absorption market.</t>
  </si>
  <si>
    <t>Contractual income growth is above the net-lease norm. The lease embeds 3.25% fixed annual escalators—exceeding the 2.0%-2.5% typical of comparable single-tenant NNN structures—compounding base rent from $7.75 to $10.34 PSF across the initial term. Because taxes, insurance, and management are reimbursed by the tenant, the escalator flows to the Trust with limited expense leakage, providing a measure of inflation defense over the hold.</t>
  </si>
  <si>
    <t>The debt-free capital structure removes financing risk in its entirety. With no mortgage encumbering the Property, the offering carries no refinance, maturity, rate-cap, or foreclosure exposure, and it eliminates the equal-or-greater-debt replacement requirement for 1031 investors seeking to avoid boot. The structural trade-off is the absence of positive financial leverage, which mechanically caps levered return and is the primary reason the going-in distribution sits in the 5% range.</t>
  </si>
  <si>
    <t>A bond-lease abatement enhances near-term net economics. Legal title is held by the Liberty County Industrial Authority, with the Trust owning a leasehold and a taxable revenue bond; the structure delivers a full real estate tax exemption through Year 8 (partial in Year 9), and the Trust holds an option—becoming an obligation at bond maturity (March 1, 2034)—to acquire the fee for a nominal amount. The abatement improves the tenant's total occupancy cost and supports leasing competitiveness during the primary term.</t>
  </si>
  <si>
    <t>The offering combines investment-grade net-lease credit with a defensive, unlevered balance sheet. Hasbro (BBB/Baa2) occupies a modern, functionally competitive bulk-distribution asset on a long-dated NNN lease with above-market 3.25% annual escalators and tenant-reimbursed taxes, insurance, and management, limiting the Trust's responsibilities largely to structure. Positioning within the Port of Savannah logistics corridor supports re-leasing fundamentals, the bond-lease abatement enhances interim economics, and the debt-free structure removes refinance, maturity, and rate-cap exposure while offering a clean basis for 1031 capital. The Sponsor operates a sizeable platform (~$4.7B net asset value, $15B+ cost basis), and the escalating rent schedule produces a rising distribution from 5.00% to 5.86% over the projected hold.</t>
  </si>
  <si>
    <t>Income is fully concentrated in a single tenant: a going-dark or default by Hasbro eliminates cash flow entirely, with no diversification cushion. The lease grants a one-time early termination option effective at the end of Lease Year 8 (~2034) for a fee projected at $7,689,759 (six months of base rent plus unamortized leasing commissions and tenant improvements), truncating the income stream roughly two years before the projected 10-year disposition and forcing a potential re-lease or sale into a short-WALT posture—the marketed schedule assumes the option is not exercised. The Trust owns a leasehold subject to the Liberty County Industrial Authority bond maturing March 1, 2034, and the ad valorem abatement phases out (partial Year 9, full taxes Year 10), with conversion to fee carrying transfer-tax and execution complexity. The two renewal options reset to fair market rental value rather than fixed escalators, introducing mark-to-market risk if Hasbro extends at a soft point in the cycle. The Sponsor is a hospitality-focused manager for which single-tenant industrial net lease is adjacent rather than core, and principal/corporate guaranties run to the bridge capital provider rather than to investors. Finally, the Hinesville MSA is among the most defense-dependent metros nationally (Fort Stewart), so backfill demand depends on regional Savannah-port logistics absorption rather than a deep local industrial tenant base.</t>
  </si>
  <si>
    <t>The offering reads as a defensive, income-oriented net-lease DST with bond-like, contractually escalating cash flow and a debt-free balance sheet that strips out financing risk. The risk-adjusted profile is strong on credit (BBB/Baa2) and structure but concentrated on a single tenant whose Year-8 break option is the dominant underwriting variable: feasibility of the 5.00% to 5.86% schedule hinges on Hasbro not exercising early termination and on residual pricing at a 2034-2036 exit, when the lease will be short-dated and the abatement will have rolled off. The Savannah port-logistics tailwind and modern building specifications support re-leasing economics, while the hospitality-centric sponsor and leasehold/bond-lease mechanics add execution nuance not present in a fee-simple, fixed-escalator structure. The unlevered 5.35% average yield reflects both the absence of positive leverage and the ~14.5% premium of offering size to the $78,250,000 property purchase price.</t>
  </si>
  <si>
    <t>122 Dorchester Village Road, Midway, GA</t>
  </si>
  <si>
    <t>https://lh3.googleusercontent.com/d/1VRR4CuSy4Ugk4MD0g8dZsdmPGMot8Dcw</t>
  </si>
  <si>
    <t>pg-savannah-industrial-dst</t>
  </si>
  <si>
    <t>sponsors/peachtree-group</t>
  </si>
  <si>
    <t>Sealy Industrial I, DST</t>
  </si>
  <si>
    <t>Sealy &amp; Company</t>
  </si>
  <si>
    <t>IN</t>
  </si>
  <si>
    <t>16.64%</t>
  </si>
  <si>
    <t>A 300,000 SF Class A, climate-controlled bulk distribution warehouse ("Scannell Pioneer," 4210 West 67th Street, Indianapolis, IN) on 30 acres, completed in 2024 and 100% net-leased to Pioneer Hi-Bred International, Inc., a wholly-owned subsidiary of EIDP, Inc. (the Guarantor) under parent Corteva, Inc. (NYSE: CTVA; S&amp;P A-). The NNN lease has ~10.5 years remaining on its initial term plus two five-year renewal options, with 5.5% rent escalations every three years (January 2028, 2031, 2034). The asset sits 36 miles from Corteva's headquarters in the Indianapolis logistics crossroads (I-65/I-69/I-70 convergence; ~49% of the U.S. population within a one-day drive; four Class I railroads), and is used to store more than $1 billion of seed inventory proximate to the tenant's HQ. Held debt-free. The thesis is durable, escalating, investment-grade-guaranteed net-lease income from a mission-critical, build-to-suit-quality distribution facility, sponsored by Sealy &amp; Company, an ~80-year industrial specialist (~$3.16B AUM, 35.2M SF). 10-year hold.</t>
  </si>
  <si>
    <t>The income stream is anchored by investment-grade-equivalent guaranteed credit. The operating tenant, Pioneer Hi-Bred, is backed by a lease guaranty from EIDP, Inc., a subsidiary of Corteva (NYSE: CTVA; S&amp;P A-), a global agricultural-science leader with roughly $17.2 billion in sales. The defensive, non-cyclical nature of seed and crop-input demand provides a resilient revenue base relative to discretionary-demand industrial users.</t>
  </si>
  <si>
    <t>The asset is operationally entrenched rather than a generic box. Located 36 miles from Corteva's corporate headquarters and purpose-configured as a climate-controlled facility storing over $1 billion of seed inventory, the property carries elevated tenant switching costs and a mission-critical logistics function within the tenant's network—characteristics that materially raise renewal probability and underpin re-leasing economics.</t>
  </si>
  <si>
    <t>The submarket is a premier Midwest distribution crossroads. Indianapolis offers the convergence of Interstates 65, 69, and 70, four major freight railroads, six airports, and one-day-drive access to roughly half the U.S. population, making it a structurally advantaged logistics hub with a deep industrial tenant base that supports backfill demand in a re-leasing scenario.</t>
  </si>
  <si>
    <t>Contractual rent growth is above the net-lease norm in step terms. The lease embeds 5.5% escalations every three years—an effective ~1.8% annual rate—compounding base rent across the term on a triple-net structure in which the tenant bears operating expenses, leaving the Trust's obligations limited and distributable cash insulated from operating-cost inflation.</t>
  </si>
  <si>
    <t>The debt-free capital structure eliminates financing risk in full. With no mortgage on the Property, the offering carries no refinance, maturity, rate-cap, or foreclosure exposure and provides a clean basis for 1031 capital that does not require replacement leverage to offset boot. The structural trade-off is the absence of positive leverage, which caps levered return and positions the going-in distribution in the ~5% range.</t>
  </si>
  <si>
    <t>The offering combines investment-grade-guaranteed net-lease credit with a defensive, unlevered balance sheet. Pioneer Hi-Bred—guaranteed by EIDP/Corteva (S&amp;P A-)—occupies a modern (2024) Class A, climate-controlled distribution asset sited near the tenant's headquarters on a triple-net lease with ~10.5 years of initial term remaining, two renewal options, and 5.5% triennial escalators that pass operating costs to the tenant. The debt-free structure removes refinance, maturity, and rate-cap exposure; Indianapolis offers favorable logistics fundamentals (national industrial vacancy stabilizing near 7.1% with positive rent growth); and the Sponsor is a long-tenured industrial specialist (~80 years, ~$3.16B AUM, 35.2M SF owned/managed) with a fully integrated operating platform. The forecast produces an escalating distribution stepping with the lease's triennial rent increases.</t>
  </si>
  <si>
    <t>Income is fully concentrated in a single tenant, and the climate-controlled facility is configured for the tenant's seed-distribution use, so a vacancy or default could entail substantial re-leasing or retrofit costs and a lower sale price. The tenant holds a Right of First Offer to purchase the Property during the lease term, which can delay a third-party sale or suppress competitive-bid pricing at disposition. Escalations occur only every three years (5.5% steps in 2028, 2031, and 2034) rather than annually, so real income is flat between steps and lags annual-bump structures during inflationary stretches. The direct lessee is a subsidiary, with credit support resting on the EIDP/Corteva guaranty—one step removed and exposed to the parent's cyclical agricultural-science earnings. Finally, while Sealy is a seasoned direct industrial owner-operator, it is comparatively new to the 1031/DST syndication channel, with limited full-cycle DST offerings against which to assess disposition execution, and the renewal decision at the ~10.5-year initial-term mark concentrates rollover and re-leasing risk near the projected exit.</t>
  </si>
  <si>
    <t>The offering reads as a defensive, income-oriented single-tenant industrial net-lease DST with investment-grade-guaranteed cash flow, above-market triennial escalators, and a debt-free balance sheet that removes financing risk. The risk-adjusted profile is conservative on credit and structure but concentrated on one tenant whose renewal at the ~10.5-year mark and Right of First Offer are the dominant exit variables. The Indianapolis logistics market - stabilizing vacancy near 7.1% with continued rent growth - supports re-leasing, and the mission-critical proximity to Corteva's HQ raises renewal probability and switching costs. Feasibility of the ~5% cash-on-cash schedule rests on continued tenant occupancy and a 2035-2036 exit pricing; the unlevered structure caps return at the asset's in-place yield, and the $40.47M raise capitalizing a $33.40M property embeds a ~17.5% premium (including a 4.00% bridge-carry cost) that disposition pricing must overcome to preserve equity. Sealy's deep direct-industrial pedigree is a meaningful positive, tempered by its limited DST full-cycle history.</t>
  </si>
  <si>
    <t>4210 West 67th Street, Indianapolis, IN</t>
  </si>
  <si>
    <t>https://lh3.googleusercontent.com/d/1hVy0pJGp1NBQ7plv-HE83aCQna55A9OR</t>
  </si>
  <si>
    <t>sealy-industrial-i-dst</t>
  </si>
  <si>
    <t>sponsors/sealy-&amp;-company</t>
  </si>
  <si>
    <t>Starboard Bradley DST</t>
  </si>
  <si>
    <t>Starboard Realty Advisors</t>
  </si>
  <si>
    <t>46.09% LTV</t>
  </si>
  <si>
    <t>WA</t>
  </si>
  <si>
    <t>20.77%</t>
  </si>
  <si>
    <t>A 144-unit, newly constructed low-rise / garden-style multifamily community ("The Banks on Bradley," 355 Bradley Blvd., Richland, WA) with a mix of studio, one-, and two-bedroom units, located in the Benton-Franklin (Tri-Cities) market of southeastern Washington. The Property is leased to an affiliate Master Tenant under a master lease that subleases units to residents, with the Trust holding the asset on a Freddie Mac Conventional fixed-rate loan (originated by KeyBank) at 46.09% loan-to-cost—5.11% fixed, seven-year interest-only, 30-year amortization, 10-year term maturing December 2035. The investment thesis is to stabilize a recently delivered asset from a Year-1 economic occupancy of ~80.5% (heavy initial concessions) toward ~90% as concessions burn off, capturing Tri-Cities rent growth (CIVAS forecasts Richland submarket vacancy near 4.2% and rent growth ~2%). Acquired at a positive going-in basis—the ~$34.7M-$35.3M purchase sits below the $36.7M as-is appraisal. Sponsored by Starboard Realty Advisors; 10-year hold.</t>
  </si>
  <si>
    <t>The offering enters at a positive going-in basis, an uncommon equity cushion. The purchase value (~$34.7M contribution / $35.3M in the use-of-proceeds) sits below the appraised "as-is" market value of $36,700,000 (September 2025), corroborated by a second appraisal of $36,740,000 (November 2025), meaning investors acquire below independently assessed value rather than at a premium to it.</t>
  </si>
  <si>
    <t>The asset is newly constructed, minimizing near-term capital exposure. As a recently delivered community, it carries limited deferred maintenance and low functional-obsolescence risk over the hold, with the capital plan oriented toward stabilization rather than remediation—reducing the likelihood of unbudgeted capital calls that can erode DST distributions.</t>
  </si>
  <si>
    <t>The submarket exhibits supply-constrained fundamentals. CIVAS forecasts the Richland submarket vacancy at roughly 4.2% over the coming year with rent growth near 2%, and demand is projected to outpace supply in the Benton-Franklin market—characteristics of a smaller, less-overbuilt Pacific Northwest market that support the lease-up and rent thesis.</t>
  </si>
  <si>
    <t>The capital structure is moderately levered with fixed-rate agency debt. The Freddie Mac loan is fixed at 5.11% with a seven-year interest-only runway at 46.09% loan-to-cost, producing a 2.00x Year-1 debt-service coverage ratio that rises to 2.25x by Year 7 before amortization—substantial coverage headroom and insulation from rate volatility through the I/O window.</t>
  </si>
  <si>
    <t>Concession burn-off provides a defined stabilization runway. Year-1 economic occupancy of 80.5%, depressed by ~9% concessions on a lease-up asset, is modeled to normalize toward ~90% as concessions fall to ~1%, driving the projected distribution from 4.43% to a 5.54% peak—an identifiable, execution-driven income ramp rather than reliance on speculative market appreciation.</t>
  </si>
  <si>
    <t>The offering pairs a newly delivered 144-unit multifamily asset with a positive going-in basis to appraisal and moderate fixed-rate agency leverage. The Freddie Mac loan (5.11% fixed, seven-year interest-only, 46.09% loan-to-cost) insulates cash flow from rate volatility and produces a 2.00x ascending-to-2.25x DSCR through the I/O period. The Tri-Cities submarket offers forecast low vacancy (~4.2%) and positive rent growth, and the business plan rests on a concrete concession-burn-off stabilization path from ~80.5% to ~90% economic occupancy. New construction limits near-term capital risk, the purchase below appraised value provides an equity cushion, and the distribution schedule rises from 4.43% to a 5.54% peak over the hold.</t>
  </si>
  <si>
    <t>The entire return thesis depends on lease-up execution: Year-1 economic occupancy of just 80.5% (with ~9% concessions) must climb to ~90% as concessions fall to ~1%, and a slower-than-modeled absorption of this newly delivered asset would directly compress distributions. Revenue flows through a newly formed, thinly capitalized affiliate Master Tenant, so the Trust's cash flow depends on the Master Tenant performing under the master lease while bearing the residential lease-up risk. The investment is a single 144-unit asset in the secondary Tri-Cities market, economically anchored to Hanford-site / PNNL government and agricultural employment—a narrower, single-employer-sensitive demand base than primary multifamily markets. Amortization onset in 2033 (Year 8) lifts total debt service from ~$1.00M to ~$1.26M, cutting cash-on-cash from 5.54% (Year 7) to 4.67% (Year 8) and DSCR from 2.25x to 1.84x. Finally, the loan matures December 1, 2035 with yield-maintenance prepayment penalties through mid-2035, so the 10-year hold must thread a sale or refinancing around the maturity and prepayment window, and the loan-to-appraised-value (~52.6%) exceeds the 46.09% loan-to-cost basis.</t>
  </si>
  <si>
    <t>The offering reads as a core-plus multifamily DST structured as a lease-up/stabilization play on a newly delivered asset, levered moderately with fixed-rate agency debt. The risk-adjusted profile is distinguished by a rare positive going-in basis (purchase below appraisal) and a supply-constrained Tri-Cities submarket, balanced against genuine execution risk on absorbing Year-1 economic occupancy of ~80.5% toward ~90% and reliance on a thinly capitalized affiliate master tenant. Feasibility of the 4.43% to 5.54% distribution schedule hinges on concession burn-off and Richland rent growth materializing as forecast; the Year-8 amortization step-down (to 4.67% cash-on-cash and 1.84x DSCR) and the December 2035 loan maturity define the exit window. The 4.92% average cash-on-cash reflects moderate leverage and the early-year lease-up drag, while the seven-year interest-only period and the appraisal cushion provide downside support relative to a stabilized, full-priced acquisition.</t>
  </si>
  <si>
    <t>5.11% (Fixed)</t>
  </si>
  <si>
    <t>2.00x</t>
  </si>
  <si>
    <t>355 Bradley Blvd., Richland, WA</t>
  </si>
  <si>
    <t>https://lh3.googleusercontent.com/d/1WBZ_e81HmNfZ67lsbHDmQY-7RoDfgTBA</t>
  </si>
  <si>
    <t>starboard-bradley-dst</t>
  </si>
  <si>
    <t>sponsors/starboard-realty-advisors</t>
  </si>
  <si>
    <t>Starboard Makley DST</t>
  </si>
  <si>
    <t>52.64% LTV</t>
  </si>
  <si>
    <t>OH</t>
  </si>
  <si>
    <t>11.25%</t>
  </si>
  <si>
    <t>Makley Place is a recently delivered, six-story Class A mixed-use asset at 210 West 5th Avenue in Columbus, Ohio (43201), comprising 140 studio/one-/two-bedroom residential units across ~102,768 NRSF, three ground-floor commercial suites totaling ~6,128 NRSF, and 111 parking spaces on a 1.178-acre infill parcel; the amenity package (clubhouse, fitness center, business center, secured bicycle storage) targets the OSU-adjacent renter cohort. Sited ~2.5 miles north of the Columbus CBD and proximate to The Ohio State University (Franklin County's largest employer, with a ~$6.8B endowment), alongside the State of Ohio and JPMorgan Chase employment bases, the submarket draws on a deep, demographically resilient renter pool spanning university, healthcare, public-administration, and an expanding technology footprint (Battelle, regional semiconductor investment). The asset carries a City of Columbus Community Reinvestment Area agreement abating 100% of the assessed-value increment for 15 years from certificate of occupancy in exchange for 28 income-restricted units (14 at &lt;=80% AMI, 14 at &lt;=100% AMI). The operating thesis is stabilization-and-optimization: closing the ~260 bp gap between in-place (91.4%) and stabilized (94%) occupancy and layering two new ancillary revenue lines (a furnished corporate-rental program on five units via Landing/AMG and a Lloyd's-backed Resident Protection Plan netting ~$11/unit/month) under a Sponsor-affiliated master-lease structure financed with fixed-rate, interest-only Freddie Mac debt.</t>
  </si>
  <si>
    <t>The Community Reinvestment Area abatement is the single most consequential structural advantage: shielding 100% of the assessed-value increment from real property taxation for 15 years post-CO compresses the asset's largest non-controllable expense during the early-to-mid hold, evidenced by modeled property taxes holding near $49,000-$53,000 through Year 6 before stepping toward $163,000 by Year 10 as the benefit phases out. The 28-unit affordable set-aside (20% of unit count) is the consideration for that shield, but at &lt;=80%/&lt;=100% AMI bands in a supply-constrained, OSU-driven submarket the effective rent give-up is modest relative to the tax savings captured, producing an NOI uplift the Colliers appraisal explicitly capitalized into $3.75M of the $39.1M as-is value.</t>
  </si>
  <si>
    <t>Submarket positioning rests on a quasi-captive demand base: proximity to a 1,764-acre OSU main campus with a large, perennially renewing student and graduate-employee population yields structurally low demand elasticity and durable absorption, while the intact, walkable urban fabric of near-north Columbus and constrained infill land supply elevate replacement-cost barriers to competing product. Franklin County's employer diversification across education, state government, healthcare, financial services (JPMorgan Chase), and a growing R&amp;D/technology cluster (Battelle) dampens single-sector cyclicality, lending support to the 2.4%-3.0% forward rent-growth assumptions.</t>
  </si>
  <si>
    <t>The financing is a defensive feature in the current rate regime: a $23,684,000 Freddie Mac Conventional Fixed Rate Program loan at a fixed 5.44% for the full ~10-year term (maturing September 1, 2035), fully interest-only with zero scheduled amortization, maximizes current distributable cash and eliminates the floating-rate and cap-renewal exposure that has impaired peer 2021-2023 vintage syndications. A $473,680 interest-rate buydown was funded at closing to achieve the coupon, and the Actual/360 convention is reflected in the ~$1.31M annual debt service, generating a Year 1 DSCR of 1.75x that expands to 2.10x by the terminal year as NOI grows against a static interest burden.</t>
  </si>
  <si>
    <t>The three ground-floor commercial suites provide diversified, expense-recovering income, with tenants reimbursing their proportionate share of operating expenses, taxes, and maintenance, insulating residential cash flow from commercial cost inflation. Lease laddering is favorable: Kida House (1,945 SF) carries a long initial term to 6/30/2035 with escalations from $47,128 to $58,954 and three five-year renewal options, while Sweetly Bronzed (2,089 SF) runs to 10/31/2029 stepping to $46,906; the small commercial footprint (~6% of NRSF) limits retail-specific downside while preserving mixed-use placemaking value.</t>
  </si>
  <si>
    <t>The Supplement-introduced revenue overlay is a low-capex margin enhancement: the Landing/AMG furnished corporate-rental program targets premium, higher-turnover rents on five units with limited owner capital outlay, supported by Columbus comparables generating $93,000-$105,000 of incremental owner revenue at four-to-five-unit deployments, while the Lloyd's-backed Resident Protection Plan converts a renters-insurance line into ~$11/unit/month of high-margin income with a damage-waiver benefit that also mitigates uncollected-damage leakage. Both initiatives front-load into Master Lease Year 1 with a true-up/special-distribution mechanic, accelerating the distribution ramp independent of base-rent growth.</t>
  </si>
  <si>
    <t>On a micro level, the offering pairs a recently delivered, amenitized Class A asset in a high-barrier, OSU-anchored Columbus submarket with a 15-year CRA tax abatement that structurally suppresses the property's largest non-controllable expense and was directly capitalized into the third-party appraisal. The capital structure is conservative and rate-insulated (fixed 5.44% fully interest-only Freddie Mac debt for the full term with no amortization and no cap-renewal risk), producing a 1.75x going-in DSCR widening to 2.10x against a 52.64% debt-to-total-capitalization ratio. Income is diversified across 140 residential units and three expense-recovering commercial suites with laddered expirations, and the furnished-rental and resident-insurance programs add low-capex ancillary margin. Macro support includes Columbus's above-trend population growth, employer diversification across education, government, healthcare, finance, and an expanding technology base, and a prevailing market pricing that frames the in-place basis reasonably against comparable stabilized product.</t>
  </si>
  <si>
    <t>Asset-specific vulnerabilities concentrate around the abatement, the maturity, and the income waterfall. The CRA abatement burns off on a schedule that drives modeled property taxes from roughly $49,000 to $163,000 by Year 10 and ~$208,000 thereafter, compressing terminal NOI precisely as a sale or refinance must occur; the benefit is also conditional on continuous compliance with the 28-unit affordable set-aside, with a clawback of 20%-90% of abated tax payable to the City's Affordable Housing Trust on any shortfall. Because the loan is 100% interest-only with zero principal reduction, the entire $23,684,000 balloon matures 9/1/2035, concentrating refinance/disposition risk into an unknowable rate environment with no amortization cushion. The distribution profile depends on a multi-tier Additional Rent/Bonus Rent breakpoint waterfall routed through a thinly capitalized Sponsor-affiliated Master Tenant (where only 85% of cash above the bonus breakpoint accrues to the Trust) and lumpy DST CapX reserve draws (~$355,000 in Year 4, ~$303,000 in Year 7, ~$594,000 in Year 10) episodically depress distributable cash. Execution risk attaches to the unseasoned Landing/AMG program (36.5% management fee, early-termination fees up to $2,500/unit on sale, and platform fees payable while AMG units sit vacant) and to closing the ~260 bp lease-up gap to stabilized occupancy. The near-north Columbus pipeline of recently delivered Class A product (single comparables of 319,562 SF and 274,000 SF) pressures concessions and rent growth, and the Sweetly Bronzed commercial lease rolls mid-hold in 2029.</t>
  </si>
  <si>
    <t>The risk-adjusted profile is that of a stabilized-core multifamily asset wrapped in a tax-advantaged DST with a modest operational-optimization overlay, appropriately Core-Plus rather than Core given residual lease-up and unseasoned ancillary revenue. Leverage economics are roughly neutral: a Year 1 NOI yield of ~5.85% on appraised value and ~6.00% on purchase price against a 5.44% fixed cost of debt implies a thin but positive going-in spread that improves as NOI compounds against static interest. The defining tension is temporal: the underwriting back-loads returns (distributions ramping 4.52%-5.77%, DSCR 1.75x-2.10x) as the tax abatement decays and an interest-only balloon matures, leaving terminal value highly sensitive to the 2034-2035 exit pricing and rate environment. Forward rent-growth assumptions of 2.4%-3.0% are defensible against Columbus's demographic and employment trajectory, but the incremental revenue from the five-unit Landing program and the resident-insurance line, while plausibly supported by third-party comparables, is not yet demonstrated at this property and represents the principal upside-case dependency. The optional Section 721 exit affords a potential tax-deferred liquidity path beyond a straight third-party sale, though it remains discretionary to the Administrative Trustee and unquantified.</t>
  </si>
  <si>
    <t>5.44% (Fixed)</t>
  </si>
  <si>
    <t>1.75x</t>
  </si>
  <si>
    <t>210 West 5th Avenue, Columbus, OH 43201</t>
  </si>
  <si>
    <t>https://drive.google.com/file/d/1ksYyUHr3LEBLUD4z68M4E-9x4tScjRNQ/view?usp=sharing</t>
  </si>
  <si>
    <t>starboard-makley-dst</t>
  </si>
  <si>
    <t>Fortress FREX DB Series I DST</t>
  </si>
  <si>
    <t>Fortress Investment Group</t>
  </si>
  <si>
    <t>47.12% LTV</t>
  </si>
  <si>
    <t>Student Housing</t>
  </si>
  <si>
    <t>WV</t>
  </si>
  <si>
    <t>12.93%</t>
  </si>
  <si>
    <t>Domain at Town Centre is a 2012-vintage, stabilized 336-unit / 912-bed purpose-built student housing community at 5000 Domain Drive, Morgantown, WV 26501, serving West Virginia University (WVU) approximately one mile from campus and adjacent to a main retail center, with a free private campus shuttle. The asset spans 14 residential buildings, a clubhouse, and 976 parking spaces; the bed-to-bath-parity unit mix runs across 1x1 ($1,558/bed), 2x2 ($875), 3x3 ($763), and 4x4 ($650) plans, with 4x4 product representing ~53% of beds. The Trust acquired the Property for a $65,100,000 real estate price ($68,484,744 total acquisition cost) and capitalized the transaction at $75,983,939, comprising $40,178,939 of Class 1 equity and a $35,805,000 Wells Fargo Bank, N.A. first mortgage (47.12% loan-to-cost; 6.098% fixed; full-term interest-only; maturing March 11, 2036), supported by a CBRE as-is appraisal. The Property is net-leased to an affiliated Master Tenant (FREX DB LeaseCo Series I LLC) under a 10-year master lease backed by a $1,500,000 demand note from FREX DST Holdings LLC, paying Base Rent (debt service plus taxes and insurance), capped Additional Rent, and performance-based Supplemental Rent. Year 1 NOI is $4,438,106; the operating thesis is completion of lease-up (93% occupied for 2025/26, 73% pre-leased for 2026/27), cure of limited deferred maintenance, and capture of Morgantown rent growth in a supply-constrained submarket. Sponsored by Fortress Investment Group; securities offered through Orchard Securities, LLC.</t>
  </si>
  <si>
    <t>The Morgantown student-housing submarket exhibits unusually durable barriers to entry: only 534 beds have been delivered over the past decade, none since 2016, with nothing under construction or in the pipeline, as large-scale developers have avoided the market on relatively low achievable rents and limited buildable sites. Against WVU enrollment of roughly 23,600, approximately 5,249 on-campus beds and ~6,700 off-campus beds imply a structural shortfall near 11,700 students (a ~57% capture rate), and the market reached 96% occupancy for 2025/26, its highest in ten years, supporting pricing power and re-leasing economics at a 2012-vintage asset that is among the newer, higher-quality products in the trade area.</t>
  </si>
  <si>
    <t>Demand is anchored to a single, growing flagship university operating under a state mandate to expand enrollment. WVU's Governor publicly tasked the university with dramatic enrollment growth, and a newly hired enrollment leader previously grew another institution's enrollment 43% (25,000 to 40,000) between 2017 and 2025; Fall 2025 freshman enrollment rose 7.2% year-over-year and freshman retention reached a record above 85%. These dynamics underpin the underwriting's lease-up and rent-growth assumptions, but the asset's demand profile is concentrated in the enrollment trajectory of one institution in a single submarket.</t>
  </si>
  <si>
    <t>Financing is a $35,805,000 Wells Fargo Bank, N.A. first mortgage fixed at 6.098% and interest-only for the full 10-year term to a March 11, 2036 maturity at 47.12% loan-to-cost. The fixed coupon removes floating-rate and cap-renewal exposure and the interest-only structure (annual debt service ~$2,213,714) maximizes current distributable cash, producing healthy Year 1 NOI-to-debt-service coverage of approximately 2.00x. The structural offset is that no principal amortizes, leaving the entire balance to balloon at maturity, and the 6.098% coupon is relatively high, reflecting 2026 origination.</t>
  </si>
  <si>
    <t>In-place rents are positioned below the local competitive set, with the most comparable properties reportedly 100% occupied and charging 4x4 rents (~53% of Domain's beds) roughly 16% above the Trust's underwriting, framing embedded mark-to-market upside. The submarket has produced a 3.4% historical rent compound annual growth rate and is tracking to ~5.6% effective rent growth for Fall 2026, and the forecast carries Year 1 NOI of $4,438,106 to $6,000,358 by Year 10 (~35% cumulative growth), driving projected cash-on-cash from 5.00% to 7.69%.</t>
  </si>
  <si>
    <t>The Sponsor, Fortress Investment Group, is a diversified global manager with 20-plus years of history, approximately $53 billion of AUM, and over $29 billion invested in global real estate, including more than $1.0 billion of common equity across its targeted DST asset classes (multifamily, student housing, senior housing) spanning 122 investments and $3.4 billion of total capitalization. Its global real estate platform is led by former Wells Fargo CEO Tim Sloan, lending institutional depth to a property that has been institutionally owned for nearly a decade and is expected to require minimal near-term capital expenditure.</t>
  </si>
  <si>
    <t>On a micro level, the offering pairs a 2012-vintage, institutionally maintained student-housing asset with a structurally supply-constrained Morgantown submarket (no new beds delivered since 2016 and none in the pipeline) against a ~57% capture rate of WVU's off-campus demand and a market that reached a ten-year-high 96% occupancy for 2025/26. Demand is reinforced by a state-backed enrollment-growth mandate, 7.2% freshman growth, and record retention above 85%, while in-place rents sit roughly 16% below the most comparable 4x4 product, framing mark-to-market upside that supports a forecast NOI ramp of ~35% and a cash-on-cash schedule rising from 5.00% to 7.69% (6.24% average). The capital structure is rate-insulated: a 47.12% loan-to-cost Wells Fargo first mortgage fixed at 6.098% and fully interest-only, generating a healthy ~2.00x Year 1 coverage, with meaningful funded reserves including a ~$2.0M lender reserve account, a growing Trust Reserve, and an $832,800 DST working-capital reserve. Macro support includes a diversified, institutionally resourced sponsor in Fortress and an optional Section 721/FMV exit alongside a cash election.</t>
  </si>
  <si>
    <t>Asset-specific vulnerabilities concentrate in single-university demand, the income waterfall, and the loan maturity. All cash flow ultimately depends on one institution's enrollment trajectory in a tertiary, less-liquid Morgantown market, so any reversal of WVU's enrollment-growth mandate, a soft leasing season (the asset is only 73% pre-leased for 2026/27 with lease-up still required), or rent-growth underperformance versus the ~5.6% Fall 2026 assumption would directly compress distributions. The distribution ramp is only partly contractual: Base Rent covers debt service, taxes, and insurance, while investor distributions rely on capped Additional Rent and performance-based Supplemental Rent that does not begin until Year 2, routed through a thinly capitalized affiliated Master Tenant funded by a $1,500,000 demand note. The loan is interest-only with no amortization, so the full $35,805,000 balloons at the March 2036 maturity into an unknown rate environment, the 6.098% fixed coupon is relatively high, and the lender reserve account is modeled to draw down from ~$2,003,906 to ~$68,572 by Year 10, leaving limited cushion for unbudgeted capital. The Property also carries an identified radon condition (a funded $50,150 Radon Reserve and recommended mitigation), student housing is operationally intensive with full annual turnover, and the 2012 vintage has a limited set of deferred-maintenance items to cure.</t>
  </si>
  <si>
    <t>The risk-adjusted profile is that of a stabilized, income-oriented student-housing DST with a lease-up-and-rent-growth optimization overlay, appropriately Core-Plus rather than Core given residual leasing and performance-contingent distribution mechanics. Leverage economics are roughly neutral: the in-place yield against a 6.098% fixed cost of debt implies an essentially flat initial spread that widens only as forecast NOI compounds (~35% over the hold) against a static interest burden, so investor return is a function of executing the rent-growth and lease-up plan rather than financial leverage. The defining tension is temporal and concentration-driven: the underwriting back-loads returns (5.00% to 7.69% cash-on-cash, ~2.00x coverage) on the assumption that a single university's enrollment mandate and a supply-starved submarket sustain roughly 5%-plus rent growth, while the interest-only balloon matures in 2036, leaving terminal value highly sensitive to the exit pricing and rate environment. The supply picture (no deliveries since 2016) and the ~16% below-market 4x4 rents are genuine supports for the thesis; the credible variance lies in leasing velocity, the durability of WVU enrollment gains, master-tenant coverage of the Additional and Supplemental Rent waterfall, and refinancing conditions at maturity. The optional Section 721/FMV exit affords a potential tax-deferred continuation path, though it is discretionary and unquantified.</t>
  </si>
  <si>
    <t>Wells Fargo Bank, N.A.</t>
  </si>
  <si>
    <t>6.098% (Fixed)</t>
  </si>
  <si>
    <t>5000 Domain Drive, Morgantown, WV 26501</t>
  </si>
  <si>
    <t>https://lh3.googleusercontent.com/d/1B59bXHp6z_7rNJGyHz2lNu_XKF9yhRpn=s0</t>
  </si>
  <si>
    <t>fortress-frex-db-series-i-dst</t>
  </si>
  <si>
    <t>sponsors/fortress-investment-group</t>
  </si>
  <si>
    <t>property-type/student-housing</t>
  </si>
  <si>
    <t>AX Essential Retail Portfolio DST</t>
  </si>
  <si>
    <t>Apollo Global Management</t>
  </si>
  <si>
    <t>8.50%</t>
  </si>
  <si>
    <t>AX Essential Retail Portfolio, DST, sponsored by Apollo through its Apollo Real Estate Exchange (AX) platform, is a debt-free, all-cash offering of $91,520,000 of Class 1 interests (100% equity, no leverage) in four standalone grocery stores totaling 248,103 net rentable square feet on ~39.0 acres with 1,458 parking spaces, located along the supply-constrained North Puget Sound / Interstate-5 corridor north of Seattle: Ferndale (1997; 60,835 SF), Burlington (2001; 63,500 SF), Stanwood (1995; 60,168 SF), and Mount Vernon (2000; 63,600 SF), Washington. All four assets are leased on an absolute-net basis to Safeway Inc. doing business as Haggen, a Pacific Northwest grocery banner and wholly owned subsidiary of Albertsons Companies, Inc. (NYSE: ACI), under 240-month (20-year) leases with multiple five-year extension options and a ~10-year weighted-average remaining term (Mount Vernon expiring December 6, 2034). The Trust acquired the Properties for $84,400,000 against a $91,520,000 offering, and leases them to an affiliated Master Tenant (AX Essential Retail Portfolio LeaseCo, LLC) capitalized by a non-interest-bearing $2,864,000 demand note from an Apollo affiliate. The portfolio represents ~25% of Haggen's regional sales, with three of four stores in the top foot-traffic quartile and ~4.2 million annual visits (TTM August 2025). The Business Plan targets monthly distributions rising from 4.3% to 5.2% over an approximately seven-to-ten-year hold, with an optional Section 721 / FMV exchange into an Apollo operating partnership exercisable after the two-year minimum hold; securities offered through Apollo Global Securities, LLC and Griffin Capital Securities, LLC.</t>
  </si>
  <si>
    <t>All four assets are leased on an absolute-net basis to Safeway Inc. doing business as Haggen, a wholly owned subsidiary of Albertsons Companies, Inc. (NYSE: ACI), one of the largest food-and-drug retailers in North America, removing landlord responsibility for taxes, insurance, maintenance, and structural obligations. The original leases run 240 months (20 years) with multiple five-year extension options and a ~10-year weighted-average remaining term, providing long-dated, needs-based income from a grocery operator that benefits from Albertsons' national scale, private-label programs, centralized distribution, and omnichannel platform (Drive Up &amp; Go, delivery, and Instacart/DoorDash/Uber/Grubhub partnerships).</t>
  </si>
  <si>
    <t>The portfolio is mission-critical to the tenant's regional operations: it represents approximately 25% of Haggen's regional sales, with three of the four stores ranking in the top quartile for foot traffic and generating roughly 4.2 million annual visits for the trailing twelve months ended August 2025. This sales productivity and customer loyalty support a low rent-to-sales burden and reinforce the durability of an absolute-net income stream anchored to established suburban trade areas.</t>
  </si>
  <si>
    <t>The North Puget Sound / Interstate-5 corridor (Whatcom, Skagit, and Snohomish Counties) is among the tightest retail markets in the Pacific Northwest, with average vacancy of roughly 2.5% to 3.5% and less than 0.2% of inventory under construction; since 2020 more than 1.6 million square feet of retail has been removed through mixed-use conversion, one of the fastest inventory contractions nationally. Paired with a high-income, employment-diversified region anchored by Amazon, Microsoft, Boeing, and Costco demand, these dynamics create high barriers to entry and support long-term occupancy stability and rent durability for essential, needs-based retail.</t>
  </si>
  <si>
    <t>The offering is entirely unleveraged: the Properties are owned free and clear with no mortgage financing, eliminating refinancing, interest-rate, balloon-maturity, and lender-foreclosure risk and removing any Section 1031 requirement to replace debt at the investor level. The all-cash structure positions the asset as a stabilized current-income vehicle whose distributions (projected at 4.3% rising to 5.2%) are a direct function of in-place net rent and contractual escalations rather than financial leverage.</t>
  </si>
  <si>
    <t>The Sponsor is Apollo, a global alternative asset manager with approximately $908 billion of assets under management (as of September 30, 2025) investing across yield, hybrid, and equity strategies, with the offering originated through its net-lease platform and the Apollo Real Estate Exchange (AX) program. The structure includes an optional Section 721 / FMV exchange, exercisable by an Apollo operating partnership after the two-year minimum hold, offering a potential tax-deferred path to convert DST interests into operating-partnership units.</t>
  </si>
  <si>
    <t>On a micro level, the offering pairs long-dated, absolute-net income from a grocery-anchored, needs-based portfolio with a tenant affiliated to investment-grade Albertsons (NYSE: ACI) in Safeway/Haggen, carrying a ~10-year weighted-average remaining lease term, 20-year original terms, and multiple five-year extension options. The four stores are economically critical to the operator (roughly 25% of Haggen's regional sales and three of four in the top foot-traffic quartile at ~4.2 million annual visits), implying a sustainable rent-to-sales burden and renewal optionality, and the North Puget Sound corridor is structurally supply-constrained (2.5% to 3.5% vacancy, sub-0.2% under construction, and 1.6 million SF removed since 2020) within a high-income economy anchored by major Seattle-area employers. On a macro and structural level, the all-cash, debt-free capitalization removes interest-rate, refinancing, and balloon risk entirely and delivers a clean current-income profile (4.3% rising to 5.2%, 4.75% average, partially tax-deferred through depreciation), backed by a global institutional sponsor in Apollo and an optional Section 721 exit pathway.</t>
  </si>
  <si>
    <t>Asset-specific vulnerabilities concentrate in single-tenant credit, geographic and brand concentration, and rent-coverage mechanics rather than leverage. Every dollar of income derives from one operator (Safeway/Haggen) across four stores in a single Washington sub-region, so a Haggen banner contraction, store closure, or Albertsons portfolio rationalization would impair the entire income stream with little diversification to absorb it; the Haggen banner is a regional operator rather than the broader Albertsons parent, and investors should examine the precise lease-guaranty structure. Distributions flow through an affiliated Master Tenant capitalized only by a non-interest-bearing $2,864,000 demand note from an Apollo affiliate that is under no obligation to contribute further capital, leaving the Master Tenant with limited independent net worth and a contractual right to defer a portion of rent. Escalations are defined and modest rather than aggressive, capping internal rent growth, while the ~10-year remaining lease term places both extension/re-leasing negotiations and the eventual disposition within a window exposed to grocery-sector and pricing shifts; the 1995-to-2001 building vintages may also carry capital and functional-obsolescence considerations over a longer hold.</t>
  </si>
  <si>
    <t>The risk-adjusted profile is a stabilized, income-first net-lease vehicle, appropriately Core, whose return is driven almost entirely by the durability of one grocery tenant's rent rather than by leverage, lease-up, or value-add execution. The all-cash structure is the defining feature: with no mortgage there is no refinancing or rate risk and the projected 4.3%-to-5.2% schedule is funded directly by contractual net rent, but the absence of leverage also caps return potential, leaving total return dependent on rent escalations, the in-place yield, and the exit pricing at a seven-to-ten-year disposition. The central tension is concentration versus quality: the portfolio is mission-critical to Haggen (~25% of regional sales, top-quartile traffic) and sits in a genuinely supply-constrained corridor, supporting renewal probability and downside resilience, yet all income depends on a single regional banner operating through a thinly capitalized affiliated master tenant backed only by a $2,864,000 demand note. The offering price embeds a premium to the $84.4 million asset basis, so the underwriting relies on income durability and stable-to-compressing exit pricing to preserve value. The optional Section 721 / FMV exchange (exercisable after two years) provides a potential tax-deferred continuation into an Apollo operating partnership, though it is discretionary to the sponsor and not investor-controlled; feasibility ultimately rests on Albertsons/Haggen credit performance and Pacific Northwest grocery fundamentals over the hold.</t>
  </si>
  <si>
    <t>2601 E Division Street, Mount Vernon, WA</t>
  </si>
  <si>
    <t>https://lh3.googleusercontent.com/d/1y5lCVcwSGDfdfPH-URuHfCwlJkBVovJ7=s0</t>
  </si>
  <si>
    <t>ax-essential-retail-portfolio-dst</t>
  </si>
  <si>
    <t>sponsors/apollo-global-management</t>
  </si>
  <si>
    <t>CF Westshore Multifamily DST</t>
  </si>
  <si>
    <t>Cantor Fitzgerald</t>
  </si>
  <si>
    <t>55.16% LTV</t>
  </si>
  <si>
    <t>13.25%</t>
  </si>
  <si>
    <t>5-7 years</t>
  </si>
  <si>
    <t>CF Westshore Multifamily DST (sponsored by Cantor Fitzgerald Investors in a joint venture with RPM Living) owns The Residences at Westshore Marina, a 351-unit, 2019-vintage Class A apartment community at 5350 Bridge Street, Tampa, FL 33611, within the 52-acre waterfront Westshore Marina District roughly seven miles southwest of downtown Tampa. The asset sits on 12.07 acres with 570 parking spaces (47 attached and 30 detached garages) and a unit mix of 128 one-bedroom (803 SF), 182 two-bedroom (1,251 SF), and 41 three-bedroom (1,432 SF) units averaging 1,109 SF, with Class A interiors and resort-style amenities. It was 93.7% occupied at a $2,602 average rent as of the September 15, 2025 rent roll, with trailing-30-day new leases at $2,759 (6.0% above in-place) and 94.2% average occupancy since 2020. The Trust acquired the Property for $125,550,000 and capitalized the transaction at a $142,736,000 total offering, comprising $64,000,000 of equity and a $78,736,000 Berkeley Point Capital d/b/a Newmark (Freddie Mac) first mortgage fixed at 4.93%, interest-only for the full seven-year term to a November 1, 2032 maturity (55.16% loan-to-offering price). A light value-add program targets wood-inspired vinyl flooring in approximately 158 units (~$59/month premium) plus exterior, amenity, and landscaping upgrades. The Property is net-leased to an affiliated Master Tenant capitalized with $1,250,000 (including a $750,000 demand note), and the Business Plan targets a sale prior to the loan maturity over an approximately seven-year hold, with targeted cash-on-cash rising from 4.25% to 5.03%; RPM Living (the fourth-largest U.S. multifamily manager, 230,000-plus units) operates the asset. Securities offered through Cantor Fitzgerald &amp; Co.</t>
  </si>
  <si>
    <t>The Property is a 2019-vintage Class A community that is already stabilized, 93.7% occupied at a $2,602 average rent with 94.2% average occupancy since 2020 and trailing-30-day new leases at $2,759, roughly 6.0% above in-place rents, signaling embedded loss-to-lease. High-end interiors (stainless appliances, quartz, kitchen islands, smart-home technology, in-unit laundry, and select private attached garages) and a deep amenity package position the asset competitively without the lease-up risk of a recent delivery.</t>
  </si>
  <si>
    <t>A defined value-add program provides modest internal growth: installation of wood-inspired vinyl flooring in approximately 158 of the 351 units is underwritten to drive an average ~$59/month rent premium per renovated unit, supplemented by exterior, amenity, and landscaping enhancements. The program is incremental rather than a heavy repositioning, consistent with a stabilized asset and the projected step-up in cash-on-cash from 4.25% to 5.03% over the hold.</t>
  </si>
  <si>
    <t>The Property anchors the 52-acre master-planned Westshore Marina District on the Tampa Bay waterfront, offering direct walkability to a marina, boutique retail, dining, and 1.5 miles of waterfront, with connectivity via I-275, the Selmon Expressway, and the Veterans Expressway. It sits within a 15-minute drive of the Westshore Business District (Tampa's largest office submarket, with 6,500-plus businesses and 100,000-plus employees), downtown Tampa, the Gateway market, downtown St. Petersburg, and Tampa International Airport, and within a five-mile radius averaging $160,182 household income and $739,198 home values.</t>
  </si>
  <si>
    <t>Financing is a $78,736,000 Berkeley Point Capital d/b/a Newmark first mortgage executed through the Freddie Mac Capital Markets program, fixed at 4.93% and interest-only for the full seven-year term to a November 1, 2032 maturity at a 55.16% loan-to-offering-price ratio. The below-market fixed coupon (favorable versus the 2025 rate environment) and full-term interest-only structure maximize current distributable cash and support roughly 1.86x Year 1 NOI-to-debt-service coverage, while leaving the full balance to balloon at maturity with the business plan calling for a sale before that date.</t>
  </si>
  <si>
    <t>The offering pairs an institutional sponsor with a top-tier operator: Cantor Fitzgerald (founded 1945, investment-grade rated by Standard &amp; Poor's and Fitch, a Federal Reserve primary dealer, and roughly $87 billion of 2024 real estate transactions) in a joint venture with RPM Living, the fourth-largest U.S. multifamily manager with more than 230,000 units under management, including approximately 4,336 units across the Tampa MSA, providing local operating density.</t>
  </si>
  <si>
    <t>On a micro level, the offering is a stabilized, 2019-vintage Class A multifamily asset (93.7% occupied, 94.2% average occupancy since 2020) in a high-income waterfront submarket, with trailing new leases roughly 6.0% above in-place rents indicating capturable loss-to-lease and a defined, low-intensity value-add program (~158 units of flooring upgrades at ~$59/month premiums plus amenity and exterior work). Tampa fundamentals are supportive: South Tampa effective rents are forecast to grow ~3.1% annually through 2028, three-mile population growth is projected near 1.9% annually (well above the national average), and the Westshore submarket is the region's largest employment hub with major redevelopment underway. On a macro and structural level, the capital stack is conservatively levered at 55.16% with a fixed 4.93%, full-term interest-only Freddie Mac loan that insulates against rate volatility and supports ~1.86x Year 1 coverage and a 4.25%-to-5.03% distribution ramp, and execution is backed by an investment-grade-rated institutional sponsor (Cantor Fitzgerald) paired with the fourth-largest U.S. multifamily operator (RPM Living) with deep Tampa-market density.</t>
  </si>
  <si>
    <t>Asset-specific vulnerabilities cluster around the loan maturity, the income waterfall, and a single-asset, single-market profile. The $78,736,000 loan is interest-only with no amortization and balloons at the November 1, 2032 maturity, and because the master lease and forecast both run only about seven years, the entire return depends on selling or refinancing into the prevailing pricing and rate environment at that point; prepayment lockout and defeasance provisions further constrain exit-timing flexibility. Distributions flow through an affiliated, thinly capitalized Master Tenant (about $1,250,000 of capitalization, including a $750,000 demand note) that may defer rent, and the targeted return is partly contingent: Base Rent covers debt service and uncontrollable expenses, while investor cash flow above roughly 4.15% relies on capped Additional Rent and performance-based Bonus Rent that builds late in the hold. The asset is a single property in one Tampa submarket, exposing it to localized supply (the forecast itself assumes a 6.5% vacancy factor, with South Tampa vacancy near 5.7%-6.8% in 2026-2027) and to Florida-specific insurance cost pressure, which the underwriting carries as a sizable and growing expense line. The going-in basis is full, leaving thin initial positive leverage, and the ~13.25% upfront load, including a 4.90%-of-equity acquisition fee, is relatively high and must be earned back over a comparatively short seven-year hold.</t>
  </si>
  <si>
    <t>The risk-adjusted profile is a stabilized, income-with-modest-growth multifamily DST, appropriately Core-Plus given the light value-add overlay layered onto an already-leased Class A asset. Leverage economics are roughly neutral at entry: the in-place yield against a 4.93% fixed cost of debt implies only thin initial positive leverage, so the projected 4.25%-to-5.03% cash-on-cash ramp is driven primarily by contractual rent growth, loss-to-lease capture, and the flooring program rather than by financial leverage, and total return is heavily weighted to the exit. The defining feature is the compressed seven-year horizon: the Freddie Mac loan is full-term interest-only and matures November 1, 2032, the master lease runs about seven years and 122 days, and the targeted-results forecast ends with a 2032 sale, so terminal value and IRR are acutely sensitive to the exit pricing and financing environment in 2032, with limited room to extend given prepayment lockout and defeasance. Supports for the thesis are genuine: Tampa in-migration and employment growth, the Westshore Marina District's waterfront positioning and redevelopment pipeline, conservative 55% leverage, a below-market fixed coupon, and an institutional sponsor and operator pairing in Cantor Fitzgerald and RPM Living. The principal variances to underwrite are Tampa submarket supply and concession pressure (the model already assumes 6.5% vacancy), Florida insurance cost inflation, master-tenant coverage of the Additional and Bonus Rent structure, the relatively full going-in basis and ~13.25% load against a short hold, and refinancing/disposition conditions at the 2032 maturity. Unlike some DSTs, the stated exit is an outright sale and cash distribution rather than a Section 721 / UPREIT roll-up.</t>
  </si>
  <si>
    <t>Berkeley Point Capital LLC d/b/a Newmark (Freddie Mac)</t>
  </si>
  <si>
    <t>4.93% (Fixed)</t>
  </si>
  <si>
    <t>1.86x</t>
  </si>
  <si>
    <t>5350 Bridge Street, Tampa, FL 33611</t>
  </si>
  <si>
    <t>https://lh3.googleusercontent.com/d/1xcJQo5yqAG5Bx-_ZLkZwe64ruQaIzSq5=s0</t>
  </si>
  <si>
    <t>cf-westshore-multifamily-dst</t>
  </si>
  <si>
    <t>sponsors/cantor-fitzgerald</t>
  </si>
  <si>
    <t>CS1031 Texas Active Living Portfolio I DST</t>
  </si>
  <si>
    <t>Capital Square</t>
  </si>
  <si>
    <t>11.35%</t>
  </si>
  <si>
    <t>CS1031 Texas Active Living Portfolio I, DST (sponsored by Capital Square) is a debt-free, all-cash offering of $39,300,000 of beneficial interests (100% equity, 0.0% LTV) in a 76-unit portfolio of two boutique, age-restricted (55+) build-for-rent cottage communities in Texas: the 44-unit Emerald Cottages of McKinney (2551 Alma Road, delivered 2016) and the 32-unit community at 2412 Marketplace Drive, Waco (built 2018). The single-story cottages average 1,350 SF (all two-bedroom) with private entrances, oversized attached garages, clubhouses, and upgraded interiors (granite, custom cabinetry, stainless appliances, walk-in closets) configured for low-maintenance living. The Trust acquired the Properties on March 3, 2026 for a $32,225,000 unloaded price within the $39,300,000 offering, with no mortgage debt. Both communities were 100% occupied as of March 1, 2026 with a combined 30-resident waitlist ($1,000 deposits), zero bad debt, no concessions, and trailing retention of 86% (McKinney) and 78% (Waco); average rents are $3,536 (McKinney) and $3,334 (Waco). The Properties are net-leased to two affiliated master tenants (McKinney and Waco), with management by a Capital Square affiliate subcontracting to operator Carbon Shepherd. The forecast assumes 3% annual rent growth over a 10-year hold to a projected March 2036 sale, targeting cash-on-cash distributions rising from 4.50% to 5.59% (4.93% average) and a 1.51x-1.61x equity multiple; the sponsor disposition fee is fully subordinated to investors' return of capital, and an optional Section 721 UPREIT contribution provides a potential tax-deferred exit. Securities offered through WealthForge Distributors, LLC.</t>
  </si>
  <si>
    <t>The offering is entirely unleveraged: the Properties were acquired on an all-cash basis with no mortgage debt (0.0% LTV), eliminating refinancing, interest-rate, balloon-maturity, and lender-foreclosure risk and removing any Section 1031 requirement to replace debt at the investor level. Distributions, projected at 4.50% rising to 5.59%, are funded directly by in-place net rent and 3% contractual rent growth rather than by financial leverage, positioning the portfolio as a stabilized current-income vehicle.</t>
  </si>
  <si>
    <t>Both communities were 100% occupied as of March 1, 2026, with a combined 30-prospect waitlist (each backed by a $1,000 deposit), zero bad debt, no concessions, and trailing-twelve-month retention of 86% in McKinney and 78% in Waco. The active-adult (55-plus) build-for-rent cottage format of single-story, private-entrance homes with attached garages serves durable, needs-based demand from an aging demographic and has demonstrated stable, healthy tenancy.</t>
  </si>
  <si>
    <t>The portfolio targets two high-growth Texas markets. McKinney sits in Collin County within the Dallas-Fort Worth metro (the sixth-largest U.S. metro at 8.3 million), a fast-growing, high-income city (~$120,000 median household income; home values up ~37% over five years) where four planned build-for-rent communities reportedly target none of the active-adult segment, reinforcing differentiated positioning. Waco, along the I-35 corridor between DFW and Austin, is anchored by Baylor University (~20,000 students) and a population of which roughly 26.8% are age 55-plus, supporting sustained demand for age-restricted housing.</t>
  </si>
  <si>
    <t>The sponsor, Capital Square, is a vertically integrated national real estate firm specializing in tax-advantaged vehicles (Delaware statutory trusts, qualified opportunity zone funds, and a REIT) and an active developer and manager of housing. Investor alignment is reinforced by a fully subordinated disposition fee, with the sponsor's 2.95% disposition fee subordinated to investors' return of capital, and by funded reserves including a $912,000 capital-expenditure reserve and $297,307 of investor reserves returned at disposition if unused.</t>
  </si>
  <si>
    <t>The structure provides exit optionality beyond an outright sale: the Signatory Trustee may elect to facilitate a Section 721 UPREIT contribution, under which beneficial owners could exchange their interests for operating-partnership units at fair market value, offering a potential tax-deferred continuation path. The base-case business plan nonetheless targets a sale at the end of an approximately ten-year hold (projected March 2036), with a forecast 1.51x-1.61x equity multiple and 5.03%-5.75% IRR across the disclosed terminal-value sensitivities.</t>
  </si>
  <si>
    <t>On a micro level, the portfolio offers stabilized, fully occupied (100% as of March 2026) active-adult build-for-rent housing with embedded demand support, including a combined 30-resident waitlist, zero bad debt, no concessions, and 78%-86% retention, across two growing Texas markets: McKinney (high-income Collin County / DFW, where competing build-for-rent supply reportedly does not target the active-adult niche) and Waco (a Baylor-anchored I-35 market with ~26.8% of residents aged 55-plus). The cottage product of single-story, private-entrance, attached-garage homes serves durable, needs-based demand from an aging demographic. On a macro and structural level, the all-cash, debt-free capitalization removes interest-rate, refinancing, and balloon risk entirely and delivers a clean current-income profile (4.50% rising to 5.59%, 4.93% average) funded by 3% contractual rent growth, with strong investor alignment via a fully subordinated disposition fee, funded capital-expenditure and investor reserves, an institutional tax-advantaged sponsor in Capital Square, and an optional Section 721 UPREIT exit alongside the base-case sale.</t>
  </si>
  <si>
    <t>The risks concentrate in scale, concentration, and a full going-in basis rather than leverage. The portfolio is small and undiversified at only 76 units across two single-story communities in two Texas markets, so localized supply, demographic, or operating shifts (or weather and insurance events) would have an outsized effect, and Texas real estate taxes and insurance are sizable, growing expense lines in the forecast. All distributions flow through two affiliated master tenants whose capitalization is supported solely by underlying tenant lease cash flow, with the sponsor under no obligation to contribute capital, so a shortfall in property cash flow would directly pressure rent payments to the Trust. The going-in basis is full for the asset class, with the entry yield compressing materially once the approximately 11.35% upfront load is layered on (9.65% selling/offering plus a ~1.70% acquisition and due-diligence fee), and the $39,300,000 offering price embeds a meaningful premium to the $32,225,000 property purchase price, so early-year yield is modest (4.50%) and total return depends on realizing 3% annual rent growth and a favorable exit. The disclosed disposition analysis shows IRR falling to roughly 5.03% and the equity multiple to 1.51x if the terminal value expands to 5.84% (versus the 5.58% entry), underscoring exit-pricing sensitivity over the ten-year hold, and the interests remain illiquid with no investor control over operations or the timing of a sale or 721 election.</t>
  </si>
  <si>
    <t>The risk-adjusted profile is a stabilized, income-first active-adult housing DST, appropriately Core given full occupancy, an all-cash structure, and the absence of any value-add or lease-up program; return is a function of rent durability and the exit rather than leverage or repositioning. The all-cash capitalization is the defining feature: with no mortgage there is no refinancing or rate risk, but the absence of leverage also caps return potential, so the projected 4.50%-to-5.59% distribution ramp rests on the 3% contractual rent-growth assumption and on the niche's demographic tailwind (an aging population and, in McKinney, build-for-rent competitors that reportedly avoid the active-adult segment). The central tensions are scale and basis: 76 units across two markets is a concentrated, illiquid position, and the roughly 11.35% load plus the gap between the $32.2 million purchase price and the $39.3 million offering means investors enter above the underlying real estate value and must earn it back over the hold. Exit sensitivity is explicit; the sponsor's own disposition analysis shows IRR ranging 5.03% to 5.75% and the equity multiple 1.51x to 1.61x across the disclosed exit-pricing range, so terminal value drives outcomes. Genuine supports include strong alignment (a fully subordinated disposition fee), funded reserves, an institutional tax-advantaged sponsor, and meaningful exit optionality: unlike a sale-only structure, the optional Section 721 UPREIT contribution offers a potential tax-deferred roll into operating-partnership units, though it is at the Signatory Trustee's discretion and not investor-controlled.</t>
  </si>
  <si>
    <t>2551 Alma Road, McKinney, TX</t>
  </si>
  <si>
    <t>https://lh3.googleusercontent.com/d/1sZh6aZNrWY6_Y3TH8p8E8mt65ZNdLj2A=s0</t>
  </si>
  <si>
    <t>cs1031-texas-active-living-portfolio-i-dst</t>
  </si>
  <si>
    <t>sponsors/capital-square</t>
  </si>
  <si>
    <t>IREX IV Industrial Portfolio DST</t>
  </si>
  <si>
    <t>Invesco</t>
  </si>
  <si>
    <t>FL, NC</t>
  </si>
  <si>
    <t>7.00%</t>
  </si>
  <si>
    <t>The Invesco Real Estate Exchange Program is offering up to 100% of the Class I beneficial interests in IREX IV Industrial Portfolio DST (the "Trust"), which indirectly owns a portfolio of three industrial assets (the "Offering). These properties, located in Fort Pierce, FL, Concord, NC, and Mebane, NC, are strategically located, modern, functional industrial buildings. They are situated in growth-oriented markets with strong tenant demand, institutional-quality infrastructure, and excellent regional connectivity. The stabilized properties offer significant potential for income growth through below-market rents, and long-term tenancy.</t>
  </si>
  <si>
    <t>IREX IV Industrial Portfolio DST owns a portfolio of three industrial assets located in Fort Pierce, FL, Concord, NC, and Mebane, NC, that are strategically located, modern, functional industrial buildings.</t>
  </si>
  <si>
    <t>The Properties are situated in growth-oriented markets with strong tenant demand, institutional-quality infrastructure, and excellent regional connectivity. According to the Sponsor, the stabilized properties offer significant potential for income growth through below-market rents and long-term tenancy.</t>
  </si>
  <si>
    <t>Modern specs: clear heights 26–36 ft, heavy dock ratio, ample trailer parking, and 2023–2024 construction at two assets.</t>
  </si>
  <si>
    <t>All three markets benefit from pro-business state policies and sustained industrial absorption</t>
  </si>
  <si>
    <t>Invesco, established in 1983, has approx $2.25 T in assets under management</t>
  </si>
  <si>
    <t>At the micro level the portfolio presents a fully stabilized (100% occupancy across all three assets), unlevered, master-leased income vehicle with two new-construction Class A facilities exhibiting modern functional specifications (36-foot and 30-foot clear heights, ample dock and trailer positions, rear-load configurations) in supply-constrained, demographically expanding Sun Belt logistics corridors. The zero-leverage capitalization removes the refinancing and rate-cap exposure currently impairing comparable levered 1031 vehicles. Macro tailwinds are credibly evidenced in the materials: secular e-commerce penetration projected to roughly double over the decade, Southern industrial income returns of 4.4% exceeding the national average of 4.1%, and the South absorbing 56.4% of net absorption against a 36.4% inventory share, indicating demand outpacing regional supply. Lease structures embed contractual escalators and below-market in-place rents, providing a defined mark-to-market growth vector layered atop a contractually fixed 4.33% current distribution.</t>
  </si>
  <si>
    <t>Asset-specific vulnerabilities concentrate in three areas. First, lease-expiration clustering within Interstate Commerce Center: Interstate Roofing Supply (20.4% of NRA, expiring 1/31/2029) and Interstate Interior Supply (14.6% of NRA, expiring 6/30/2029) roll within the same 2029 window, roughly 35% of that asset, while Interstate Plumbing Supply (14.8% of NRA, expiring 2/28/2034) carries no renewal options, elevating concentrated re-leasing and downtime risk on the second-largest position. Second, the Concord asset (11.1% of value) is a 1998-vintage, single-tenant facility with a 25-foot clear height functionally inferior to modern 32-to-36-foot bulk standards; its tenant lease expires 12/31/2029 (already a second extension) with one remaining option, creating binary rollover risk on the asset most exposed to obsolescence and negative re-leasing spreads. Third, the Fort Pierce roster is dominated by regional distribution tenants sharing the Interstate designation, raising questions of tenant-credit thinness and potential affiliation that could undercut the apparent diversification; combined with a master tenant, INREIT Master Lessee IV LLC, characterized as newly formed with limited resources and no significant assets, the 4.33% distribution is structurally dependent on the INREIT Operating Partnership guaranty, itself subject to non-traded-REIT redemption and liquidity dynamics. The below-market-rent upside is further constrained by renewal options struck at fixed 103% to 105% escalators permitting capped rather than full-market renewals.</t>
  </si>
  <si>
    <t>The offering is positioned as a defensive, fixed-income-surrogate industrial allocation: an unlevered, fully master-leased Sun Belt portfolio underwritten to a contractually fixed 4.33% current distribution with deferred mark-to-market and Section 721 optionality. The risk-adjusted profile is bifurcated: roughly two-thirds of appraised value sits in 2023-to-2024 Class A product in genuinely high-barrier Raleigh-Durham and Port St. Lucie corridors with corroborated demographic and corporate-capital tailwinds, while the residual Concord asset and the clustered 2029 Fort Pierce expirations constitute the principal underwriting fault lines. The zero-leverage structure aligns with the current macro cycle, neutralizing the refinancing and rate-cap stress pressuring levered DST vintages, but it also caps return to unlevered cash flow plus terminal value, leaving outcomes sensitive to exit cap rates and the pace at which below-market rents are marked. Feasibility of the underwriting hinges on master-tenant and guarantor solvency through cycle, successful 2029 re-tenanting at the multi-tenant asset, and INREIT capacity to honor the FMV and 721 exit on terms favorable to Beneficial Owners; the executive summary discloses neither a multi-year cash-flow projection beyond Year 1 nor a stated hold period, constraining independent verification of the return glide path.</t>
  </si>
  <si>
    <t>https://lh3.googleusercontent.com/d/1fyWOqubdt6wUydKZ6R_P95sW0uEU1UY5=s0</t>
  </si>
  <si>
    <t>irex-iv-industrial-portfolio-dst</t>
  </si>
  <si>
    <t>sponsors/invesco</t>
  </si>
  <si>
    <t>JWCM Vivian DST</t>
  </si>
  <si>
    <t>JWCM</t>
  </si>
  <si>
    <t>50.55% LTV</t>
  </si>
  <si>
    <t>12.05%</t>
  </si>
  <si>
    <t>The Vivian is a 325-unit, ~264,136 SF Class-A mid-rise multifamily community completed in 2023, comprising three three-, four- and five-story buildings on 8.471 acres at 1246 Allene Avenue SW, Atlanta, GA 30310, within the supply-constrained West End / Adair Park infill submarket of Southwest Atlanta with direct frontage on the Beltline Westside Trail. The asset carries 378 parking spaces and a full amenity package (pool, fitness center, dog park, EV charging, coffee shop, clubhouse, Beltline access) and is stabilized at ~94.7%-95% occupancy. The fee is held under a Fulton County Development Authority bond-lease program delivering a sliding-scale ad valorem tax abatement, and the Property is encumbered by a Land Use Restriction Agreement mandating affordable set-asides that constrain distributions. In-place two-bedroom rents (~$2,143/unit; $1.94 PSF) trail the comparable set (~$2,276 weighted average), and the acquisition basis of $250,769/unit sits roughly 11% below the comparable-sale median of $281,513/unit and below the $81,600,000 As-Is appraisal. The thesis is an organic mark-to-market of embedded loss-to-lease, ancillary-income optimization (RUBS, valet trash, pet, technology/connectivity), and expense discipline under institutional third-party management, harvesting abatement-inflated NOI across a five-to-ten-year hold (underwritten to 10) with disposition via Section 1031 or a discretionary Section 721 UPREIT.</t>
  </si>
  <si>
    <t>The dominant economic feature is the Fulton County Development Authority bond-lease abatement, which suppresses Year 1 real estate taxes to roughly $12,000 against a fully-burdened Year 10 figure near $1,235,733. This subsidy is the principal driver of the going-in yield and is structurally senior to any operational outperformance, conferring an artificially elevated near-term NOI margin that a conventionally-taxed comparable could not replicate at the same basis. The abatement steps down on a sliding scale, so the benefit is finite and front-loaded rather than a durable structural advantage.</t>
  </si>
  <si>
    <t>Entry pricing of $250,769 per unit represents a measurable discount to the $281,513 comparable-sale median and to the $81,600,000 appraised value, with a $250,000 seller credit further reducing effective basis. For a 2023-vintage asset with no deferred functional obsolescence, the discount provides residual-value cushion and accretion optionality should the rent thesis execute.</t>
  </si>
  <si>
    <t>Direct Beltline Westside Trail adjacency anchors the submarket-barrier argument. The West End / Adair Park corridor exhibits constrained developable land, infrastructure-driven amenity value, and rising high-income in-migration, supporting a pricing-power narrative that underpins the Sponsor intent to surpass the competitive rent set rather than merely match it. Realizing that premium is the central unproven assumption, as in-place rents currently trail the set.</t>
  </si>
  <si>
    <t>The recently stabilized status pairs a sub-6% loss-to-lease against comparables with a minimal $465,396 capital budget, framing this as a yield-capture exercise rather than a capital-intensive repositioning. The absence of heavy renovation risk distinguishes the return profile from value-add execution and aligns with the Core-Plus classification.</t>
  </si>
  <si>
    <t>Financing is term-matched Fannie Mae DUS non-recourse debt at a fixed 5.30% with an 84-month interest-only window, insulating early-period distributable cash flow from both amortization drag and interest-rate volatility across the majority of the projected hold, and holding leverage at 50.55% of total capitalization. The structure converts to amortizing debt service in Year 8, so the benefit is concentrated in the front of the hold.</t>
  </si>
  <si>
    <t>At the micro level the offering pairs a genuine per-unit basis discount with an abatement-enhanced going-in yield (approximately 6.2% on Year 1 abated taxes), a seven-year interest-only structure preserving distributable cash, and fixed-rate non-recourse leverage term-matched to the hold, on recently delivered institutional product that minimizes near-term capital intensity and functional-obsolescence risk. At the macro level the asset is positioned in a high-growth Atlanta MSA submarket benefiting from sustained Sunbelt demographic and employment migration, Beltline-driven infill appreciation, and the structural inflation-hedging characteristic of short-duration residential leases that reprice annually. The competitive set evidences durable institutional-quality transaction pricing, lending institutional-quality price discovery to the residual-value assumption.</t>
  </si>
  <si>
    <t>The Property carries a brownfield environmental overlay requiring vapor-intrusion mitigation systems, excavation and groundwater-use restrictions, fencing and marker maintenance, and mandatory annual GA EPD compliance reporting, with non-recourse carve-out exposure on a compliance failure. The abatement burn-off is the central return vulnerability: ad valorem taxes ramp from roughly $12,000 to $1,235,733, driving total operating expenses from $2.22M to $4.09M and depressing cash-on-cash to a 4.44% trough in Year 8, precisely as the loan converts to amortizing debt service ($624,198-$694,852 of annual principal), compressing back-end coverage. The LURA affordability covenant caps rent growth on restricted units, directly attenuating the loss-to-lease mark-to-market on which the underwriting depends. The Master Tenant is a newly formed, thinly capitalized Sponsor affiliate holding a contractual rent-deferral right, so Trust-level coverage is contingent on its solvency and willingness to fund. The single 10-year loan maturity concentrates refinancing and disposition timing into one exit window.</t>
  </si>
  <si>
    <t>The risk-adjusted profile is materially a function of a transitory tax subsidy rather than durable operating outperformance; the approximately 5.25% average and approximately 6.2% going-in yields are abatement-inflated, and the declining return curve (4.44% Year 8 trough) reflects the mechanical step-down of that subsidy coinciding with amortization commencement, not a deterioration in property fundamentals. The marketed 50.55% is loan-to-total-capitalization, not loan-to-value; true leverage against the $81,600,000 appraisal is approximately 57.8%, so the asset is modestly more levered than the headline implies. Feasibility rests on three unproven levers operating simultaneously: closing a roughly 6% loss-to-lease against binding LURA caps, growing ancillary income, and preserving exit-cap stability in a fixed-5.30% and rising-tax environment. Offsetting these, the term-matched fixed-rate non-recourse debt and a defensible basis discount provide concrete downside support, while the brownfield remediation obligation and Master Tenant capitalization represent the idiosyncratic tail risks least visible in the headline yield.</t>
  </si>
  <si>
    <t>5.30% (Fixed)</t>
  </si>
  <si>
    <t>1.99x</t>
  </si>
  <si>
    <t>1246 Allene Avenue SW, Atlanta, GA 30310</t>
  </si>
  <si>
    <t>https://lh3.googleusercontent.com/d/1EL7A8S0seMAymN73emiKqk7wQJKSHHwa=s0</t>
  </si>
  <si>
    <t>jwcm-vivian-dst</t>
  </si>
  <si>
    <t>sponsors/jwcm</t>
  </si>
  <si>
    <t>NexPoint Marina DST</t>
  </si>
  <si>
    <t>Marina</t>
  </si>
  <si>
    <t>IL, OK</t>
  </si>
  <si>
    <t>NexPoint Marina DST is a two-property, debt-free portfolio of marina and boatyard operating assets held in a parent DST over two operating sub-DSTs (Eufaula and Grafton). Eufaula Cove Marina (400 &amp; 610 Lakeshore Drive, Eufaula, OK; ~145 acres, 459 wet slips plus 8 jet-ski slips, ~14,200 NRSF; developed 1988/2010) sits on Lake Eufaula in McIntosh County within four hours of Tulsa, Oklahoma City, Dallas and Little Rock, incorporates a Camp Jellystone-franchised camp-resort, and runs roughly 80% occupancy on seasonal leases. Grafton Harbor (215 West Water Street, Grafton, IL; ~5.48 acres, 252 slips plus 25 jet-ski slips, ~5,000 NRSF; developed 2006) sits on the Mississippi River in the St. Louis MSA and is effectively 100% occupied with an active waitlist. Both assets are held as leasehold interests in improvements rather than fee simple, under long-dated municipal ground leases (Eufaula to 2071 plus a 50-year renewal; Grafton to 2100 plus a 98-year renewal), with the DSTs owning the improvements and leaseholds, not the underlying land or water. The portfolio was acquired for $36.0M ($25.0M Eufaula / $11.0M Grafton) against a $36.5M aggregate appraisal, capitalized entirely with $42,710,095 of equity on a debt-free basis, against $3.07M of Year-1 NOI. The thesis is to institutionalize fragmented owner-operated marina assets in supply-constrained waterfront corridors, driving mark-to-market rent on annual slip leases, lifting Eufaula seasonal occupancy, and expanding ancillary revenue (boat rental, fuel, F&amp;B, liquor, camp-resort) under specialist manager New Haven Property Management, with disposition targeted within five to ten years via sale or a discretionary Section 721 UPREIT into the NexPoint REIT platform.</t>
  </si>
  <si>
    <t>Marina supply is structurally constrained: new development demands deep protected water, upland area for parking and services, and difficult entitlements, leaving near-zero replacement supply in established corridors. The two assets occupy scarce, hard-to-replicate positions on Lake Eufaula and the Mississippi River at Grafton, conferring durable pricing power; the qualification is that this barrier protects the existing footprint rather than enabling expansion, capping organic growth to rate and ancillary-revenue gains.</t>
  </si>
  <si>
    <t>Marina income is diversified across slip and jet-ski rental, boat rental, fuel, F&amp;B, liquor at Grafton, restaurant and service leases, and the Eufaula Camp Jellystone camp-resort, reducing single-stream dependence. The trade-off is operating-business exposure absent from pure net lease, including roughly $0.8M of Year-1 cost of goods sold, so a portion of the headline yield is operating margin rather than contractual rent.</t>
  </si>
  <si>
    <t>Grafton is effectively 100% leased with a waitlist while Eufaula runs roughly 80% on seasonal leases, leaving a concrete occupancy-lift opportunity at the larger asset. Annual lease tenor permits rapid mark-to-market repricing, and Grafton average tenant tenure of about 4.1 years (54%+ at five or more years) evidences sticky demand that supports retention through rate increases.</t>
  </si>
  <si>
    <t>The all-equity capitalization eliminates refinancing, maturity, rate-cap and foreclosure risk and removes the equal-or-greater-debt replacement requirement for 1031 investors, delivering certainty of distributable cash. The structural cost is the absence of positive leverage, so the roughly 7.98% average cash-on-cash is an unlevered yield with no debt amplification of equity returns.</t>
  </si>
  <si>
    <t>Both properties are municipal leaseholds: the DSTs own improvements and long-dated City Leases (Eufaula to 2071, Grafton to 2100) rather than land and water. The long tenor and renewal options preserve a multi-decade runway well beyond the hold, but the leasehold introduces a depreciating-interest profile, reversion considerations, and a 1031 real-property characterization investors should confirm with tax counsel.</t>
  </si>
  <si>
    <t>At the asset level the portfolio offers a high unlevered going-in yield (7.01% Year 1, roughly 7.98% average) underpinned by the in-place yield and a debt-free balance sheet that removes financing and refinancing risk entirely; the marina class exhibits genuine supply scarcity (roughly 10,500 U.S. marinas against about 11.8M registered boats), high switching costs, near-full occupancy economics, and annual-lease mark-to-market optionality. Income is diversified across slip, fuel, F&amp;B, retail, boat-rental and camp-resort streams, and the assets sit in demographically supported corridors (St. Louis MSA; McIntosh County within four hours of four major MSAs). At the platform level NexPoint brings a roughly $15.97B AUM alternatives manager with an in-house REIT exit pathway, and consolidation of fragmented mom-and-pop marina ownership offers economies of scale.</t>
  </si>
  <si>
    <t>Both properties are municipal leasehold interests in improvements rather than fee-simple real estate, creating reversion exposure at lease expiry, a depreciating-interest profile, and 1031 characterization complexity. A material share of rent derives from operating businesses, including fuel, F&amp;B, liquor, boat rental, and the Eufaula Camp Jellystone franchise, exposing distributable cash to discretionary leisure spending, weather, cost-of-goods margin compression (~$0.8M Year 1), and franchise performance rather than contractual lease income. Eufaula roughly 80% seasonal occupancy concentrates cash flow in the summer months and required a dedicated Seasonal Reserve, while Grafton Mississippi River siting carries flood and water-level risk to physical docks. The property manager, New Haven Property Management, only commenced operations in 2022 with a limited institutional track record on these assets. Property condition assessments flagged near-term repairs (~$215K Eufaula, ~$75K Grafton: dock stabilization, electrical), yet DST capital constraints limit remediation, and substantial work could force a Transfer Distribution into the Springing LLC with adverse tax consequences. The assets were acquired from sellers affiliated with the property manager through Sponsor-affiliated buyers, and the portfolio is concentrated in two assets (Eufaula roughly 63% of value).</t>
  </si>
  <si>
    <t>The offering is a debt-free, income-first allocation to a niche, supply-constrained specialty class, and its roughly 7.98% average distribution is genuinely unlevered, attractive on a risk-adjusted basis relative to leveraged net-lease DSTs precisely because it carries no refinancing or rate exposure in a higher-for-longer environment. The analytical tension is that the real estate is in substance a leasehold operating-business portfolio: yield durability depends on seasonal leisure demand, fuel/F&amp;B/camp-resort margins, and a recently established manager, not long-dated credit-tenant leases, so cash-flow quality is lower than the headline yield implies even as the absolute level is high. Feasibility rests on lifting Eufaula occupancy, executing annual mark-to-market across both marinas, and growing ancillary revenue faster than cost of goods, plausible given documented scarcity and sticky tenure but unproven under institutional ownership. The municipal ground-lease tenor (2071/2100) comfortably exceeds the five-to-ten-year hold, and the debt-free structure plus the NexPoint REIT-platform 721 optionality provide tangible exit flexibility; the leasehold characterization, affiliate-seller dynamics, and two-asset concentration are the idiosyncratic items least reflected in the distribution rate.</t>
  </si>
  <si>
    <t>400 &amp; 610 Lakeshore Drive, Eufaula, OK</t>
  </si>
  <si>
    <t>https://lh3.googleusercontent.com/d/1wIFzSKE502eyrrgocMUc69TLO-hu9BAN=s0</t>
  </si>
  <si>
    <t>nexpoint-marina-dst</t>
  </si>
  <si>
    <t>property-type/marina</t>
  </si>
  <si>
    <t>NexPoint Outlook DST</t>
  </si>
  <si>
    <t>49.85% LTV</t>
  </si>
  <si>
    <t>AL</t>
  </si>
  <si>
    <t>The Outlook at Greystone is a 300-unit, 2007-vintage garden-style multifamily community at 7278 Cahaba Valley Road in the affluent Greystone/Cahaba Valley submarket of southeast Birmingham, Alabama, along the US-280 corridor. The asset spans 26.46 acres and ~271,539 rentable SF across 15 residential buildings (clubhouse, pool, fitness center, dog park, car wash, outdoor kitchen) and was 94.7% leased at acquisition. The Trust acquired the Property on November 20, 2025 for $54,500,000, equal to the CBRE as-is appraisal (~$181,667/unit), capitalized with $32,903,006 of equity and a $32,700,000 Freddie Mac Capital Markets Execution loan from Walker &amp; Dunlop (4.67% fixed, 10-year term, full-term interest-only), producing a 49.85% loan-to-capitalization ratio and a 5.03% Year-1 going-in cap rate on $3.08M NOI. The Property operates under an affiliated master lease with third-party manager BH Management Services, a top-15 U.S. operator. The thesis is a light value-add multifamily strategy: institutional management of a mid-size Sun Belt asset, organic rent growth, expense control, and selective interior upgrades to units that have fallen behind market to capture a modest rental premium, with disposition targeted in five to ten years via sale or a discretionary Section 721 UPREIT into the NexPoint operating partnership.</t>
  </si>
  <si>
    <t>The Greystone/Cahaba Valley submarket is among the more affluent, supply-disciplined corners of the Birmingham MSA, anchored by the US-280 employment and retail corridor with above-median household incomes, and Birmingham has ranked highly among large U.S. metros for rent growth. The garden-style product targets a stable, credit-worthy renter base; the qualification is that affluent suburban submarkets also attract newer Class A competition, so the pricing-power thesis depends on the asset location and amenities holding relative appeal as it ages.</t>
  </si>
  <si>
    <t>The value-creation lever is narrow and operational rather than transformational: management intends to upgrade units that have fallen slightly behind market to capture a modest rental premium, alongside expense control and rent growth on a 94.7%-leased base. This is a low-capital, lower-risk path relative to a full reposition, but it also caps the upside, as forecast NOI growth (a 5.03% going-in yield building toward a roughly 6.5% yield on cost) is driven more by market rent trend and expense discipline than by a step-change in asset quality.</t>
  </si>
  <si>
    <t>Financing is a 10-year, fixed-rate 4.67% Freddie Mac CME loan that is interest-only for the full term, maximizing early distributable cash flow and shielding the hold from rate volatility and amortization drag. The structural cost is that no principal amortizes over the hold, so the entire $32.7M balance must be refinanced or repaid at the December 2035 maturity, and equity build depends solely on NOI growth and pricing stability rather than debt paydown.</t>
  </si>
  <si>
    <t>NexPoint brings a ~$16.7B AUM alternatives platform with deep Fannie Mae and Freddie Mac agency-lending relationships and a long multifamily value-add track record through its NXRT REIT and prior DST programs, plus an in-house operating partnership that provides the 721 UPREIT exit option. The counterweight is that the offering is heavily affiliated, including a Sponsor-affiliate acquisition entity, an affiliated master tenant, and an $817,500 facilitation fee, so investors rely on the platform alignment and governance.</t>
  </si>
  <si>
    <t>The Year-1 distribution of 4.44% rising to 6.63% by Year 10 is funded by master-lease rent and partially shielded by depreciation. Notably the in-place yield sits only ~36 basis points above the 4.67% cost of debt, so positive financial leverage is thin at entry; accretion to equity returns depends on widening that spread through NOI growth over the hold rather than on a meaningful day-one leverage benefit.</t>
  </si>
  <si>
    <t>The offering pairs a stabilized, 94.7%-leased Sun Belt multifamily asset with fixed-rate, full-term interest-only agency debt at 4.67%, insulating distributable cash from rate volatility and amortization across the entire 10-year hold and delivering a 4.44% initial distribution rising to 6.63%. The Greystone/US-280 submarket offers above-median incomes, documented metro-level rent-growth rankings, and the inflation-hedging characteristics of short-duration residential leases, while multifamily benefits from durable shelter demand and a deep agency-financing market. At the platform level NexPoint contributes a ~$16.7B AUM manager with significant multifamily value-add experience, preferred agency-lending status, institutional third-party management through BH (a top-15 U.S. operator), and an in-house REIT and operating-partnership 721 exit pathway; the conservative, light value-add business plan limits execution and capital risk.</t>
  </si>
  <si>
    <t>The loan is interest-only for its full 10-year term, so no principal amortizes over the hold and the entire $32.7M balance must be refinanced or repaid at the December 2035 maturity, concentrating refinancing and maturity risk into a single exit window and removing equity build from amortization. The Property was acquired at its $54,500,000 appraised value with no acquisition-basis discount, leaving no day-one valuation cushion, and the in-place yield exceeds the 4.67% debt cost by only ~36 basis points, so positive leverage is thin and returns depend on NOI growth materializing. As a 2007-vintage garden-style asset roughly 18 years old, the Property faces ongoing capital needs (the underwriting reserves ~$1.6M of recurring capex over the hold) and competition from newer Class A product in the affluent 280 corridor, while the value-add thesis is limited to modest interior upgrades for a slight rental premium, a thin-margin lever if achievable premiums lag costs. The structure is heavily affiliated (Sponsor-affiliate acquirer, affiliated master tenant with a rent-deferral right, and an $817,500 Sponsor facilitation fee), and the offering is concentrated in a single 300-unit asset in one Birmingham submarket.</t>
  </si>
  <si>
    <t>The offering is a conservatively levered, income-oriented Sun Belt multifamily allocation whose principal attraction is fixed-rate, full-term interest-only agency debt that locks financing cost and maximizes current distributions in a higher-for-longer rate environment. The central analytical tension is the thinness of the value-creation case: the in-place yield against 4.67% debt leaves minimal positive leverage at entry, the asset was bought at appraised value with no basis discount, and the plan relies on modest interior upgrades and market rent trend rather than a repositioning, so projected return accretion (5.25% average cash-on-cash building to 6.63%) depends on NOI growth and pricing stability over a decade. The full-term interest-only structure amplifies terminal-value and refinancing dependence because no debt is retired before the 2035 maturity. Mitigants are real, including a stabilized 94.7%-leased base, a top-tier operator, an affluent supply-disciplined submarket, and NexPoint agency-lending depth plus a 721 UPREIT exit option; the affiliated-party structure, single-asset concentration, and absence of an entry discount are the idiosyncratic items least reflected in the headline distribution rate.</t>
  </si>
  <si>
    <t>4.67% (Fixed)</t>
  </si>
  <si>
    <t>N/A - interest-only for life</t>
  </si>
  <si>
    <t>7278 Cahaba Valley Road, Birmingham, AL</t>
  </si>
  <si>
    <t>https://lh3.googleusercontent.com/d/1atuBoA7MzJbPGg7GjRbc-2RlWG2viNFO=s0</t>
  </si>
  <si>
    <t>nexpoint-outlook-dst</t>
  </si>
  <si>
    <t>PG Manchester Industrial DST</t>
  </si>
  <si>
    <t>NH</t>
  </si>
  <si>
    <t>9.65%</t>
  </si>
  <si>
    <t>PG Manchester Industrial DST owns a single-tenant, net-leased industrial/flex facility at 36 Industrial Drive, Londonderry, New Hampshire: a 50,985 SF single-story building completed in 2024 on 8.32 acres immediately adjacent to Manchester-Boston Regional Airport in the Manchester-Nashua metro. The building is a latest-generation, ground-up Tesla service center (~32,236 SF service area, 7,199 SF parts/storage, 11,550 SF showroom/lounge), one of only two Tesla service centers in New Hampshire. It is 100% leased to Tesla, Inc. (NASDAQ: TSLA; rated BBB by S&amp;P and Baa3 by Moody's) under a 15-year triple-net lease that began February 2025 and runs through March 2040, carrying 3% annual rent escalations, minimal landlord obligations, and five 5-year FMV renewal options. The Trust acquired the Property on December 19, 2025 from developer Scannell Properties for $23,500,000 (~$461/SF) free and clear of mortgage debt, capitalized entirely with $28,113,527 of equity on ~$1.41M of in-place NOI. Sponsored by Peachtree Group and managed by an affiliate, the thesis is a debt-free, income-oriented net-lease hold of investment-grade-tenant credit with contractual escalation, targeting disposition within approximately ten years.</t>
  </si>
  <si>
    <t>The Property is 100% leased to Tesla, Inc., an investment-grade-rated tenant (BBB/Baa3) with a market capitalization exceeding $1 trillion, on a long-dated lease running through March 2040, delivering durable, corporate-backed contractual income. The qualification is that the rating reflects Tesla consolidated balance sheet rather than the specific facility, and the lease concentrates 100% of Trust income in a single tenant whose automotive and energy businesses carry above-average earnings volatility and competitive risk.</t>
  </si>
  <si>
    <t>The 15-year triple-net lease passes operating expenses (real estate taxes, insurance, management) through to Tesla, insulating Trust cash flow from expense inflation, and embeds fixed 3% annual escalations that drive the cash-on-cash from 5.03% to 5.72% over the hold. Five 5-year renewal options extend the potential income runway; however, renewal rent is set at fair market value rather than a predetermined rate, so post-2040 economics are uncertain and the fixed in-term escalators cap upside if market rents rise faster.</t>
  </si>
  <si>
    <t>The asset is a 2024-vintage, ground-up prototype service center purpose-built for Tesla, a meaningful quality upgrade over the converted older buildings Tesla uses elsewhere in the region, minimizing near-term capital needs and signaling Tesla operational commitment to the site. The counterpoint is that a highly specialized service and showroom configuration has limited alternative-use flexibility, raising re-tenanting cost and downtime risk should Tesla ever vacate.</t>
  </si>
  <si>
    <t>The site sits immediately adjacent to Manchester-Boston Regional Airport within the Manchester-Nashua metro (~427,000 residents) at the northern edge of the Northeast megalopolis, providing regional service coverage across southern New Hampshire and northern Massachusetts and benefiting from New Hampshire absence of state income and sales tax (including on vehicle purchases). The location supports Tesla regional throughput and customer draw, reinforcing the strategic rationale for the tenant long-term presence.</t>
  </si>
  <si>
    <t>The Property was acquired free and clear with no mortgage and is capitalized entirely with equity, eliminating refinancing, maturity, rate-cap and foreclosure risk and removing the equal-or-greater-debt replacement requirement for 1031 investors seeking an unlevered, predictable income stream. The structural cost is the absence of positive leverage, which caps the levered return and is the primary reason the ~5.33% average cash-on-cash sits below comparably-levered net-lease offerings.</t>
  </si>
  <si>
    <t>The offering provides a clean, debt-free path to long-dated, investment-grade net-lease income: a 100%-leased, 2024-built single-tenant facility on a 15-year triple-net lease to Tesla (BBB/Baa3) running through 2040, with 3% annual escalations, expense pass-throughs, and minimal landlord obligations producing a steadily rising 5.03%-to-5.72% distribution. The all-equity structure removes financing, refinancing and maturity risk and offers 1031 investors a simple, unlevered basis, while the strategically located, airport-adjacent site in the no-income-tax Manchester-Nashua market supports the tenant regional operations. The Sponsor, Peachtree Group, is an established real estate platform (founded 2007; ~$4.4B equity invested across a $13.9B cost basis) providing institutional acquisition and management.</t>
  </si>
  <si>
    <t>Income is entirely concentrated in a single tenant in a single 50,985 SF building, so a Tesla default, non-renewal at the 2040 expiry, or early vacate would eliminate Trust cash flow, a binary credit and occupancy exposure not diversified across tenants, assets, or markets. The improvements are a specialized Tesla build-to-suit (service bays, showroom, EV workflow) with limited alternative-use flexibility, and the in-place rent of ~$27.75/SF sits far above the ~$11.51/SF market asking rent for area industrial space, so any re-leasing as generic industrial product would imply a steep rent reset and significant re-tenanting cost and downtime. Tesla investment-grade rating reflects its consolidated parent rather than the site, and the company carries above-average automotive and energy demand, competitive, and key-person volatility. Returns are modest and unlevered (~5.33% average), with upside capped by fixed 3% escalators during the term and uncertain FMV-based renewal economics thereafter, and the structure carries affiliate fee load (3% acquisition fee, 3% disposition fee, affiliated property manager) plus reliance on successful syndication to redeem the Ameris Bank bridge capital and Sponsor Loan used at acquisition. The Sponsor core track record is concentrated in hospitality and CRE lending rather than single-tenant net-lease industrial.</t>
  </si>
  <si>
    <t>This is a defensive, income-first, unlevered net-lease allocation whose return profile is almost entirely a function of Tesla tenancy and the contractual 3% escalation schedule rather than any operational or financial value-creation. The debt-free structure is the offering defining strength, no refinancing or rate exposure and a predictable 5.03%-to-5.72% distribution, and its defining limitation, since the absence of leverage holds the average cash-on-cash near 5.33% and makes total return highly dependent on the terminal value at a ~10-year sale into an uncertain 2035 market with roughly five years of remaining lease term. The central risk is the gap between contractual and intrinsic value: in-place rent runs well above generic market industrial rent, so the asset worth is underwritten to Tesla specific occupancy and credit, and a vacancy would expose a specialized, single-purpose building to a steep mark-to-market. For investors prioritizing certainty of monthly income from an investment-grade tenant over growth or leverage the structure is coherent; the single-tenant and single-asset concentration, specialized improvements, FMV renewal uncertainty, and affiliate fee load are the idiosyncratic items least reflected in the headline distribution rate.</t>
  </si>
  <si>
    <t>36 Industrial Drive, Londonderry, NH</t>
  </si>
  <si>
    <t>https://lh3.googleusercontent.com/d/1gjt9sYqnBK30kafE_NvtEYfA0ru0itwa=s0</t>
  </si>
  <si>
    <t>pg-manchester-industrial-dst</t>
  </si>
  <si>
    <t>CS1031 Zero-Coupon DFW Hospitality DST</t>
  </si>
  <si>
    <t>77.78% LTV</t>
  </si>
  <si>
    <t>10.00%</t>
  </si>
  <si>
    <t>15 years</t>
  </si>
  <si>
    <t>CS1031 Zero Coupon DFW Hospitality DST is a zero-cash-flow, highly leveraged Delaware Statutory Trust sponsored by Capital Square. The Trust owns the fee-simple land, the ground-landlord interest in a 99-year ground lease (commenced November 2021), and the reversionary interest in the improvements at 815 Commerce Street in downtown Fort Worth, Texas, the site of the Le Meridien Fort Worth, a 14-story, 188-room upper-upscale full-service Marriott-franchised hotel (254,778 SF, near Sundance Square). The Trust is the ground landlord only; the ground tenant (815 Commerce LLC) and operator are controlled by Ashford Hospitality Trust (NYSE: AHT), with Remington managing the hotel under a Marriott franchise. The Trust acquired the Property for $37,145,000 ($4,845,000 cash plus a $32,300,000 UMB Bank senior mortgage at a 5.82% blended initial rate maturing in 2061), for a total investment cost of $41,530,000 and a 77.78% loan-to-cost. By design, the fixed ground rent (~$1.63M Year 1, growing 2% annually) approximately equals debt service, so the Trust produces no distributions during the ~15-year hold; investor return accrues solely through loan amortization (equity buildup) and the reversionary interest, with a discretionary Section 721 UPREIT exit available. Notably, because the Trust owns land and a reversion rather than depreciable improvements, the structure provides no depreciation shelter; its primary utility is replacing high relinquished-property debt for 1031 exchangers without additional equity.</t>
  </si>
  <si>
    <t>The defining feature is debt replacement: each 1% interest carries ~$323,000 of attributed nonrecourse loan (86.96% of purchase price), allowing 1031 exchangers whose relinquished property carried high leverage to satisfy their equal-or-greater-debt requirement without contributing additional equity. This makes the offering a specialized tool for a narrow investor profile rather than an income vehicle; the trade-off is that the same high leverage (77.78% loan-to-cost, rising toward ~80% mid-hold under negative amortization) leaves minimal equity cushion.</t>
  </si>
  <si>
    <t>The Loan is structured so monthly debt service approximately equals the fixed ground rent, producing zero distributions for the entire ~15-year hold; the investor yield comes exclusively from principal amortization that retires the loan to a zero balance by 2061 plus the reversionary interest in the hotel. An irregular schedule includes negative amortization for the first ~101 months (interest exceeds rent, growing the balance to ~$33.2M before it declines), so equity buildup is back-loaded and largely deferred to the latter half of the hold.</t>
  </si>
  <si>
    <t>Income is contractual ground rent with fixed 2% annual escalations under a 99-year ground lease, providing predictable, bond-like cash flow to service the self-amortizing loan and insulating the Trust from hotel operating volatility at the rent line. The qualification is that the rent payer is a single ground tenant controlled by Ashford Hospitality Trust, a highly leveraged, non-investment-grade hotel REIT, so the durability of that contractual stream depends on a weak-credit counterparty whose rent obligation nearly equals the Trust debt service.</t>
  </si>
  <si>
    <t>The underlying asset is a modern full-service Le Meridien in downtown Fort Worth, a high-growth market, steps from Sundance Square and the convention district, providing demand support for the hotel and, by extension, the ground tenant ability to pay rent. The reversionary interest gives the Trust eventual claim on the improvements; however, a special-purpose 188-room hotel carries meaningful re-leasing or repositioning cost and uncertain residual value, and the ground tenant holds a Year-35 purchase option that can cap upside.</t>
  </si>
  <si>
    <t>The senior mortgage carries a sub-6% fixed blended rate (5.82%) locked through a 2061 maturity and fully self-amortizes to a zero balance, eliminating refinancing and rate risk over the hold and converting contractual rent into equity over time. The structural cost is that the high leverage and matched rent/debt-service design leave a ~1.0x DSCR with no margin for rent interruption, so a ground-tenant payment shortfall translates directly into loan-default risk.</t>
  </si>
  <si>
    <t>For its intended use, a 1031 exchanger needing to replace substantial relinquished-property debt without adding equity, the offering is purpose-built, attributing ~86.96% loan-to-purchase-price of nonrecourse debt while requiring minimal cash. Income to service the loan is contractual ground rent with fixed 2% escalations under a 99-year ground lease, insulating the Trust from direct hotel operating risk at the rent line, and the senior mortgage is locked at a sub-6% fixed blended rate (5.82%) that fully self-amortizes to zero by its 2061 maturity, removing refinancing and interest-rate exposure and converting rent into equity buildup over the hold. The underlying Le Meridien is a modern full-service hotel in a growing downtown Fort Worth market near Sundance Square, and Capital Square provides an institutional sponsor with a Section 721 UPREIT exit option.</t>
  </si>
  <si>
    <t>The structure produces zero distributions for the entire ~15-year hold, so all return is deferred to disposition and depends on loan amortization plus an uncertain reversionary value in a then-aged, special-purpose 188-room hotel. Leverage is high (77.78% loan-to-cost) and worsens early: an irregular schedule includes negative amortization for the first ~101 months that grows the balance toward ~$33.2M and pushes loan-to-offering-price to roughly 80% mid-hold, leaving minimal equity cushion and a ~1.0x DSCR with no margin for rent interruption. Critically, the contractual rent payer is a single ground tenant controlled by Ashford Hospitality Trust, a highly leveraged, non-investment-grade hotel REIT with a documented history of financial stress, and because rent approximately equals debt service, a ground-tenant or operator default would directly threaten loan default and the entire investment. Unlike a typical DST, the Trust owns land and a reversion rather than depreciable improvements, so there is no depreciation shelter, and the loan amortization raises the prospect of phantom taxable income in later years without corresponding cash. The ground tenant Year-35 purchase option may compress reversionary upside and limit the future buyer pool, and investors have no voting rights amid multiple Sponsor-affiliate conflicts and fees.</t>
  </si>
  <si>
    <t>This is not an income investment but a debt-defeasance and 1031 debt-replacement vehicle: its reason for existing is to absorb high attributed nonrecourse leverage for exchangers with highly leveraged relinquished property, with return manufactured over ~15 years through self-amortization of a sub-6% fixed loan and a reversionary claim on a Fort Worth hotel rather than through cash yield or appreciation. The risk-adjusted profile is bifurcated: the contractual 2% ground-rent escalator and the matched, fully-amortizing loan give the structure a bond-like, low-volatility veneer, but the substance is high leverage (nearing 80% mid-hold under negative amortization) resting on a single non-investment-grade rent payer (Ashford) whose obligation nearly equals debt service, so coverage is razor-thin and the downside is binary. The absence of depreciation, the deferred and back-loaded equity buildup, the special-purpose hotel reversion, and the Year-35 purchase option all argue for evaluating this strictly on after-tax, hold-to-maturity terms; it suits a specific exchanger seeking debt replacement and estate-planning utility and is poorly suited to investors seeking current income, liquidity, or diversification. Feasibility hinges almost entirely on the ground tenant multi-decade solvency and the terminal value of the reversion, neither of which is reflected in the zero headline distribution rate.</t>
  </si>
  <si>
    <t>UMB Bank, N.A.</t>
  </si>
  <si>
    <t>5.82% (Fixed)</t>
  </si>
  <si>
    <t>36 years</t>
  </si>
  <si>
    <t>815 Commerce Street, Fort Worth, TX</t>
  </si>
  <si>
    <t>https://lh3.googleusercontent.com/d/1ksjBO_AbIAWFfNx3S_i59KGxwqfUMMAg=s0</t>
  </si>
  <si>
    <t>cs1031-zerocoupon-dfw-hospitality-dst</t>
  </si>
  <si>
    <t>Johnson Controls R&amp;D DST</t>
  </si>
  <si>
    <t>Syndicated Equities</t>
  </si>
  <si>
    <t>55.08% LTV</t>
  </si>
  <si>
    <t>WI</t>
  </si>
  <si>
    <t>16.32%</t>
  </si>
  <si>
    <t>SE JCI (Glendale), DST (marketed as the Johnson Controls R&amp;D DST) is a single-tenant net-lease Delaware Statutory Trust sponsored by Syndicated Equities. The Trust owns a newly constructed 2024 build-to-suit, single-story R&amp;D and engineering laboratory/innovation center at 2022 W. Florist Avenue in Glendale (Milwaukee MSA), Wisconsin, approximately 109,500 SF on a site with 242 parking spaces, delivered in warm-shell condition with the tenant completing a specialized interior lab build-out (a $11.7M tenant improvement allowance funded by the seller), situated directly across from Johnson Controls North American Headquarters campus. The Property is 100% net leased to Johnson Controls, Inc. (the operating subsidiary of NYSE-listed Johnson Controls International PLC) on a 15-year triple-net lease commencing October 2024 and expiring September 2039, at an initial base rent of $2,861,702 ($26.14/SF) escalating annually to $34.49/SF by year 15, with three 5-year renewal options at 95% of market; the tenant bears taxes, insurance, utilities, and maintenance. Total capitalization is $49,488,000: $22,230,000 of equity plus a $27,258,000 non-recourse Old National Bank loan (60% loan-to-purchase-price, ~55% loan-to-cost; ~6.10% fixed; interest-only for 36 months then 30-year amortization; 10-year term), against a $45,430,000 purchase price. The thesis is a leveraged, income-oriented net-lease hold of an investment-grade-affiliated tenant in a strategic headquarters-adjacent location, with disposition targeted around the 10-year loan term.</t>
  </si>
  <si>
    <t>The Property is fully leased to Johnson Controls, Inc., the operating subsidiary of investment-grade Johnson Controls International PLC (NYSE: JCI; rated BBB+ by S&amp;P; ~$23.6B in 2025 net sales, 94,000-plus employees). The critical nuance is that the parent does not guaranty the lease, so the contractual obligor is the unrated subsidiary rather than the rated parent; the headline investment-grade profile provides reputational and operational comfort but not a direct credit backstop, a distinction that materially affects the durability of the income stream.</t>
  </si>
  <si>
    <t>The asset sits directly across from Johnson Controls North American Headquarters in Glendale, a strategic adjacency that supports the tenant long-term operational commitment and integrates the lab into JCI R&amp;D footprint in a metro where the company traces its roots to 1885. The counterweight is that this same adjacency ties the asset fate to JCI continued Milwaukee-area presence, and the company post-Tyco reincorporation in Ireland is a reminder that corporate footprint decisions can shift over a 15-year horizon.</t>
  </si>
  <si>
    <t>The newly built 2024 build-to-suit carries a 15-year triple-net lease with annual escalations (from $26.14/SF to $34.49/SF by year 15) and full expense pass-through, providing long-dated, low-management contractual cash flow, with in-place rent modestly below Class A market asking (~$27.70/SF) implying limited over-rent risk. The offset is that the specialized laboratory build-out is highly tenant-specific, so alternative-use flexibility is limited and re-leasing cost and downtime would be significant if Johnson Controls does not renew at the 2039 expiry, and its renewal options are struck at 95% of market, a slight tenant discount.</t>
  </si>
  <si>
    <t>Leverage is moderate at 60% loan-to-purchase-price (~55% loan-to-cost) on a 10-year non-recourse loan at a projected 6.10% fixed rate, interest-only for the first 36 months. The structure front-loads distributable cash (Year-1 cash-on-cash ~6.03%) but steps down when amortization begins (to ~4.99% in Year 4), and because the 10-year loan matures roughly five years before the 2039 lease expiry, the hold carries refinancing or forced-sale pressure around 2036, with the rate not yet locked at the Memorandum date.</t>
  </si>
  <si>
    <t>Syndicated Equities is an established Chicago-based sponsor active since 1986, with over $2 billion of institutional-quality acquisitions across office, medical office, retail, and industrial product and a senior team with 100-plus combined years of experience, providing institutional underwriting and asset management. The consideration is a relatively high fee load (acquisition, due-diligence, and loan-placement/guaranty fees aggregating ~16% of equity) and customary affiliated-party conflicts, with broker-dealer commissions funded by the Sponsor out of its fees rather than charged separately.</t>
  </si>
  <si>
    <t>The offering provides long-dated, low-touch contractual income: a newly built 2024 build-to-suit R&amp;D laboratory on a 15-year triple-net lease to Johnson Controls, Inc., the operating subsidiary of an investment-grade global parent, with strong annual rent escalations and full expense pass-through, located strategically across from Johnson Controls North American Headquarters in the Milwaukee market. In-place rent (~$26.14/SF) sits modestly below Class A market asking, limiting over-rent risk, and the asset is financed with moderate, non-recourse leverage (60% loan-to-purchase-price) at a projected 6.10% fixed rate with a 36-month interest-only period that supports a ~6.03% initial cash-on-cash building to ~6.75% by year ten (5.90% average). Syndicated Equities is an experienced sponsor (active since 1986; $2B-plus of acquisitions), and broker-dealer commissions are borne by the Sponsor rather than charged directly to the offering.</t>
  </si>
  <si>
    <t>All income depends on a single tenant in a single special-purpose asset, and critically the lease obligor is Johnson Controls, Inc., the unrated operating subsidiary, while the investment-grade rating belongs to the non-guarantying parent, so the headline credit overstates the direct backstop. The laboratory build-out is highly tenant-specific with limited alternative use, creating substantial re-leasing cost and downtime risk if the tenant does not renew at the 2039 expiry (and renewals are struck at 95% of market), while the 10-year loan matures around 2036, roughly five years before lease expiry, concentrating refinancing or forced-sale risk, with the fixed rate still unlocked at the Memorandum date (the Sponsor contributes additional equity, reducing its promote, only if the rate exceeds 5.90%). Positive leverage is thin, and once the 36-month interest-only period ends, amortization compresses distributions to roughly 4.99% in Year 4 before rent escalations rebuild them. The fee load is high relative to peers (acquisition ~2.75% of price, due diligence ~3.0% of price, and a loan-placement/guaranty fee ~2.65% of the loan, aggregating ~16% of equity), the Sponsor retains any savings between estimated and actual third-party costs, and the asset fortunes are tied to Johnson Controls continued Milwaukee-area presence following the parent earlier reincorporation abroad.</t>
  </si>
  <si>
    <t>This is a conventional leveraged single-tenant net-lease acquisition whose appeal rests on long-dated contractual income from a facility integrated into Johnson Controls headquarters ecosystem, but whose risk-adjusted profile is more nuanced than the investment-grade headline suggests. The central credit question is the gap between the rated, non-guarantying parent and the unrated subsidiary that actually signs the lease; the asset value is underwritten to JCI continued occupancy of a purpose-built lab it helped design, so the practical risk is operational commitment rather than balance-sheet default. The financing is the second analytical pivot: moderate leverage at a thin positive-leverage spread, with a 36-month interest-only runway masking the amortization step-down that arrives in Year 4, and a 10-year loan maturing well inside the 15-year lease that imports refinancing risk into a 2036 rate environment that cannot be known today. The roughly 5.90% average cash-on-cash and modestly below-market in-place rent are reasonable for a newly built, HQ-adjacent net-lease asset, but the high fee load, single-tenant and single-asset concentration, specialized improvements, and loan-versus-lease maturity mismatch are the idiosyncratic items least reflected in the headline distribution rate, and they argue for evaluating the offering on a hold-to-refinance, credit-of-the-actual-obligor basis.</t>
  </si>
  <si>
    <t>6.10% (Fixed)</t>
  </si>
  <si>
    <t>1.72x</t>
  </si>
  <si>
    <t>2022 W. Florist Avenue, Glendale, WI</t>
  </si>
  <si>
    <t>https://lh3.googleusercontent.com/d/1FHvMy9UvkQNnVJJAB3S9D06syO_Tnhhk=s0</t>
  </si>
  <si>
    <t>johnson-controls-r-and-d-dst</t>
  </si>
  <si>
    <t>sponsors/syndicated-equities</t>
  </si>
  <si>
    <t>Vital Capital Medical - Temple TX DST</t>
  </si>
  <si>
    <t>HPA Exchange</t>
  </si>
  <si>
    <t>53.81% LTV</t>
  </si>
  <si>
    <t>10.63%</t>
  </si>
  <si>
    <t>Vital Capital Medical - Temple TX DST is a single-tenant, net-leased healthcare Delaware Statutory Trust holding the Temple Rehabilitation Hospital, a 36-bed inpatient rehabilitation facility of approximately 38,817 SF on a ~6-acre site at 23621 SE H K Dodgen, Temple, Texas (Killeen-Temple MSA, on the I-35 corridor between Austin and Waco). Built in 2018, the purpose-built hospital treats stroke, brain-injury, neurological, orthopedic, and cardiac rehabilitation patients. The Trust master-leases the Property to a Sponsor-affiliate Master Tenant, which has assumed an absolute-net sublease to the operating tenant, CRH of Temple, LLC, an unaffiliated operator whose parent is Lifepoint Health (rated B by S&amp;P and B2 by Moody's), with roughly 7.5 years of term remaining and three 5-year extension options. The Trust acquired the Property on November 25, 2025 from Community Healthcare Trust (CHCT Texas, LLC) for a $29,695,000 purchase price (against a $29,750,000 CBRE appraisal), capitalized within a $34,551,889 total investment cost of $15,958,139 equity and an $18,593,750 First Horizon Bank loan (5.65% effective fixed via swap; seven-year term maturing November 2032; interest-only for four years then 25-year amortization), a 53.81% loan-to-cost. The forecast targets a 7.32% Year-1 cash-on-cash building to 7.91% by Year 4 before amortization begins, averaging 7.28% over a seven-year hold, with a discretionary 721 UPREIT exit.</t>
  </si>
  <si>
    <t>Income depends on a single healthcare operator, CRH of Temple, LLC, whose parent is Lifepoint Health, rated B by S&amp;P and B2 by Moody's. This is a speculative, non-investment-grade credit, so the roughly 7.3% projected yield is in substantial part compensation for operator-credit and healthcare-reimbursement risk rather than a low-risk coupon, and a Lifepoint or operating-tenant distress event would directly impair the Trust's rent.</t>
  </si>
  <si>
    <t>The asset is a 2018-built, purpose-built 36-bed inpatient rehabilitation hospital, a highly specialized single-use facility serving stroke, brain-injury, and neurological rehabilitation. Specialization supports the operator's clinical franchise and switching costs, but it sharply limits alternative use: if the operator vacates or fails, re-leasing to another licensed inpatient-rehab operator would be costly and slow, and residual value is tightly tied to continued healthcare use.</t>
  </si>
  <si>
    <t>The Property is held on an absolute-net basis through a master-lease/sublease structure, with the Sponsor-affiliate Master Tenant interposed between the Trust and the third-party operating tenant; the operating tenant bears taxes, insurance, and maintenance and holds three 5-year renewal options. With only ~7.5 years of remaining term against a seven-year hold, the disposition coincides with meaningful term burn-off, so exit value depends on a renewal or a buyer underwriting re-leasing risk on a short-dated, single-tenant medical asset.</t>
  </si>
  <si>
    <t>Located in the Temple Medical District along the I-35 corridor between Austin and Waco within the growing Killeen-Temple MSA, the hospital benefits from a deep regional healthcare employment base (Temple is a major medical hub) and demographic tailwinds supporting inpatient-rehab demand. The location supports the operator's patient catchment, though the investment's performance remains tied to that single operator rather than to broad market dynamics.</t>
  </si>
  <si>
    <t>The acquisition was financed with an $18,593,750 First Horizon Bank loan swapped to a 5.65% effective fixed rate, interest-only for four years and then amortizing over 25 years through a November 2032 maturity, producing a strong early DSCR (2.24x) that steps down toward ~1.94x when principal payments begin in Year 5. The acquisition was partly funded by ~$11.5M of Sponsor and MBRE preferred bridge equity to be redeemed by offering proceeds, so the structure carries bridge-carry cost and reliance on full syndication, alongside customary affiliate conflicts.</t>
  </si>
  <si>
    <t>The offering delivers an above-average projected income stream (7.32% Year-1 cash-on-cash building to 7.91% by Year 4, averaging 7.28% over the seven-year hold) from a modern, 2018-built, 100%-leased inpatient rehabilitation hospital on an absolute-net lease, with the operating tenant responsible for taxes, insurance, and maintenance and holding three 5-year renewal options. The asset sits in the Temple Medical District along the high-traffic I-35 corridor within the growing Killeen-Temple MSA, a genuine regional healthcare hub, and was acquired at essentially its appraised value with moderate leverage (53.81% loan-to-cost) on a 5.65% swapped fixed-rate loan that is interest-only for four years, supporting a strong early DSCR of 2.24x. A discretionary 721 UPREIT exit offers a potential pathway to REIT-unit liquidity and diversification.</t>
  </si>
  <si>
    <t>The income rests on a single operator of a single special-purpose asset, and the operator's parent, Lifepoint Health, carries speculative-grade ratings (B/B2), so the elevated yield is materially a credit-risk premium and a Lifepoint or operating-tenant distress event would directly threaten the rent. The 36-bed inpatient rehabilitation hospital is a highly specialized facility with limited alternative use, creating substantial re-leasing cost and downtime risk, and with only ~7.5 years of remaining lease term against a seven-year hold the planned exit coincides with significant term burn-off, leaving terminal value dependent on a renewal or a buyer willing to underwrite short-dated single-tenant medical risk. The structure interposes a Sponsor-affiliate master tenant between the Trust and the third-party operating tenant and was funded in part by roughly $11.5 million of Sponsor and MBRE preferred bridge equity redeemed by offering proceeds, importing bridge-carry cost, reliance on full syndication, and affiliate conflicts. Leverage of 53.81% loan-to-cost amortizes after a four-year interest-only period, stepping the cash-on-cash down from 7.91% in Year 4 to 6.63% in Year 5, and the loan matures in November 2032 concurrent with the hold, concentrating refinancing or forced-sale risk; healthcare reimbursement and regulatory shifts affecting inpatient-rehab economics are an additional exogenous risk to the operator's rent coverage.</t>
  </si>
  <si>
    <t>This is a yield-oriented, single-tenant healthcare net-lease investment whose roughly 7.3% projected return is best understood as compensation for concentrated operator-credit risk rather than as a low-risk coupon: the rent ultimately depends on a single inpatient-rehabilitation operator backed by speculative-grade Lifepoint Health, in a purpose-built facility with little alternative use. The risk-adjusted profile turns on two linked questions, the operator's multi-year solvency and reimbursement stability, and the terminal value of a short-dated, special-purpose medical asset whose ~7.5-year remaining lease roughly coincides with the seven-year hold, so the exit is essentially a bet on renewal or on a buyer accepting re-leasing risk. The financing is conservative on its face (53.81% loan-to-cost, a 2.24x early DSCR, a swapped 5.65% fixed rate), but the four-year interest-only period flatters the early years and the November 2032 maturity coincides with disposition, while the bridge-equity takeout and master-lease layering add structural and conflict considerations. For an investor seeking higher current income from healthcare real estate and comfortable with single-operator, single-asset concentration and below-investment-grade credit, the offering is internally coherent; the operator-credit quality, the lease-versus-hold term match, and the specialized residual value are the idiosyncratic items least reflected in the headline yield.</t>
  </si>
  <si>
    <t>First Horizon Bank</t>
  </si>
  <si>
    <t>5.65% (Fixed)</t>
  </si>
  <si>
    <t>2.24x</t>
  </si>
  <si>
    <t>23621 SE H K Dodgen, Temple, TX</t>
  </si>
  <si>
    <t>https://lh3.googleusercontent.com/d/1H6yv3uRWH0tvnjoC9GQCiB2a5eZ4XbcP=s0</t>
  </si>
  <si>
    <t>vital-capital-medical-temple-tx-dst</t>
  </si>
  <si>
    <t>sponsors/hpa-exchange</t>
  </si>
  <si>
    <t>CS1031 Richmond Active Living Apartments, DST</t>
  </si>
  <si>
    <t>53.99% LTV</t>
  </si>
  <si>
    <t>VA</t>
  </si>
  <si>
    <t>22.92%</t>
  </si>
  <si>
    <t>Everleigh Short Pump is a 165-unit, Class A active-adult (55+) rental community completed in 2019 on 8.494 acres at 12651 Three Chopt Road in Short Pump, an affluent infill suburb in the western Richmond, VA MSA. Unit mix is 83 one-bedroom, 80 two-bedroom, and 2 three-bedroom units averaging 1,001 SF, with high-end finishes and an extensive lifestyle amenity package (theater, fitness/yoga/art studios, heated pool, concierge programming). The submarket exhibits high barriers to entry, with median home values of $782,000, average household income of $177,000, sub-4% unemployment, and adjacency to 5.5M SF of Kroger-anchored retail. The asset benefits from needs-based, demographically driven demand (aging-in-place boomer cohort), reinforced by an 83% resident-retention rate and ~7-year average tenure versus ~2 years for conventional multifamily. Operational strategy centers on Greystar Active Adult's specialized management platform to sustain premium occupancy (95.7% as of 12/15/2025; 96.3% since opening) and capture 3-4% annual rent growth through the hold.</t>
  </si>
  <si>
    <t>The asset's defensibility derives from structural barriers to entry in the Short Pump submarket. Median home values approaching $782,000 and the scarcity of developable infill parcels constrain new active-adult supply, while the affluent 55+ resident base (average household income $177,000) supports rent durability through cycles. The high-barrier locational profile is the principal driver of the underwritten pricing power and limits the competitive vacancy risk typically borne by suburban multifamily.</t>
  </si>
  <si>
    <t>Resident stickiness is materially superior to conventional multifamily. The Property reports an 83% retention rate and ~7-year average tenure versus ~2 years in traditional apartments, compressing turnover-related downtime, lease-up cost, and concession leakage. This tenure profile translates into lower revenue volatility and a more annuity-like cash-flow stream, which underpins the comparatively low NOI beta of the active-adult product type.</t>
  </si>
  <si>
    <t>Operating execution is anchored by Greystar Active Adult, a specialized subsidiary of the largest U.S. apartment manager, with proprietary operating data across 154 communities in 27 states and more than eight years of active-adult-specific performance history. The depth of the operating platform mitigates the management-intensive nature of the active-adult model (programming, services, ancillary income) and supports the underwritten expense ratio and ancillary revenue assumptions.</t>
  </si>
  <si>
    <t>The capital structure carries a fixed 4.97% nonrecourse Freddie Mac loan rate-locked for the full term, with a six-year interest-only period and 53.99% loan-to-cost. In a higher-for-longer rate environment, the locked sub-5% coupon insulates levered cash flow from refinancing and floating-rate exposure during the hold, and the moderate leverage produces 1.5x-1.9x DSCR coverage across the projection period.</t>
  </si>
  <si>
    <t>Regional economic catalysts reinforce the demand thesis: Eli Lilly's planned $5 billion manufacturing facility approximately five miles from the Property and The Lego Group's $360 million distribution center anchor a diversified Richmond MSA economy (healthcare, finance, logistics, technology) that is the second-fastest-growing region in Virginia. These investments support household formation, employment, and the in-migration tailwind that underwrites long-term rent growth.</t>
  </si>
  <si>
    <t>At the micro level, the offering pairs a 2019-vintage Class A asset with minimal deferred maintenance and a $1.0M capital reserve, premium occupancy (96.3% since opening), and a sticky, high-income resident base producing low-volatility cash flow. The financing is a strength: fixed-rate, nonrecourse, term-locked agency debt at 4.97% with a six-year I/O runway and moderate 53.99% leverage, yielding DSCR coverage of 1.5x-1.9x. At the macro level, the active-adult thesis is aligned with secular boomer-driven demand in a supply-constrained, affluent submarket within a growing MSA benefiting from large-scale corporate capital investment. The Sponsor brings $7.8 billion in completed transaction volume across 170+ assets and an audited full-cycle DST track record, with vertically integrated acquisition, financing, asset management, and disposition.</t>
  </si>
  <si>
    <t>The principal asset-specific vulnerability is the Year 7 cash-flow inflection: the six-year interest-only period burns off and amortizing principal commences, lifting annual debt service from approximately $1.97M to $2.51M, contracting cash-on-cash from 5.32% in Year 6 to 4.08% in Year 7 and compressing DSCR from 1.9x to 1.5x. The terminal value carries meaningful downside sensitivity — the disposition analysis shows net sales proceeds to investors compressing from approximately $10.1M in the base case to $3.4M in the adverse scenario, with the bulk of total return dependent on disposition pricing realized a decade out. The Master Tenant is thinly capitalized — supported solely by property cash flow with no Sponsor funding obligation — and the Master Lease permits accrual (deferral) of up to one-half of Annual Rent when cash flow is insufficient, creating distribution-timing and capitalization fragility. Additional concerns include loan maturity (January 2036) coinciding with the end of the projected hold, single-asset/single-submarket concentration in 165 units, reassessment-driven real estate tax escalation in Henrico County, and competition from single-family and conventional multifamily rental product in the immediate trade area.</t>
  </si>
  <si>
    <t>The risk-adjusted profile is that of a defensive, income-oriented, needs-based housing vehicle with lower NOI beta than conventional multifamily, well-suited to the late-cycle environment given its demographic tailwind and term-locked sub-5% fixed-rate debt. The underwriting is internally consistent — 4.00% Year 1 rent growth stepping to 3.00%, expense ratios in line with the operating platform, and DSCR coverage that never breaches 1.5x — but the return is back-end weighted and sensitive to two assumptions: the Year 7 amortization turn and the realized disposition value. The disposition analysis embeds limited cushion — base-case net sales proceeds to investors of roughly $10.1M fall to $3.4M in the adverse scenario — making disposition timing the dominant determinant of total return (base-case aggregate $26.06M on $33.3M equity over ten years). The premium of the loaded offering price ($72.4M) over the unloaded property purchase price ($63.5M), an $8.9M markup, together with the ~22.9% equity load requires the projected hold-period appreciation and cash flow to overcome a meaningful premium to underlying NAV, with Master Tenant capitalization serving as the structural fulcrum of distribution reliability.</t>
  </si>
  <si>
    <t>KeyBank National Association (Freddie Mac OUS program)</t>
  </si>
  <si>
    <t>4.97% (Fixed)</t>
  </si>
  <si>
    <t>6 years</t>
  </si>
  <si>
    <t>1.8x</t>
  </si>
  <si>
    <t>12651 Three Chopt Road, Henrico, VA 23233</t>
  </si>
  <si>
    <t>https://lh3.googleusercontent.com/d/1QUMo-ojJ7J7Y4l1w4JY-Pw6nf0Jy6byj=s0</t>
  </si>
  <si>
    <t>cs1031-richmond-active-living-apartments-dst</t>
  </si>
  <si>
    <t>ExchangeRight Essential Income 9 DST</t>
  </si>
  <si>
    <t>GA, SC, VA</t>
  </si>
  <si>
    <t>8.06%</t>
  </si>
  <si>
    <t>ExchangeRight Essential Income 9 DST is a debt-free, 100%-equity Delaware Statutory Trust ($52,850,000 across 100 interests at $528,500) sponsored by ExchangeRight Real Estate, LLC. The Trust owns a three-property, 100%-occupied, single-tenant net-leased portfolio totaling 205,857 SF: a 164,845 SF Pepsi Bottling Ventures distribution facility at 9101 Water Tower Road, Longs (Water Tower), South Carolina (leased to PBV Conway-Myrtle Beach, LLC, a Suntory/PepsiCo joint venture, through February 2039, ~$1.98M Year-1 NOI inclusive of a seller rent credit); a 21,909 SF necessity-retail asset in Dalton, Georgia (lease to September 2045, ~$483,000 NOI); and a 19,103 SF necessity-retail asset in Ruckersville, Virginia (lease to February 2046, ~$382,000 NOI). The three properties are covered by a 20-year master lease guaranteed by the ExchangeRight Essential Income REIT and its Operating Partnership, supporting a 5.35% current cash flow paid monthly. The defining feature is the exit: a planned tax-deferred 721 exchange into the Essential Income REIT (a diversified portfolio of 357 properties across 35 states leased to 40 recession-resilient, primarily investment-grade necessity-retail and healthcare tenants) approximately two years after full subscription, converting DST interests into REIT operating-partnership units.</t>
  </si>
  <si>
    <t>The offering is debt-free, eliminating leverage, refinancing, maturity, and lender-covenant risk entirely; the 5.35% cash flow is unlevered and supported by a 20-year master lease guaranteed by the ExchangeRight Essential Income REIT and its Operating Partnership, so during the targeted two-year hold the income depends on the REIT guaranty rather than on property-level leverage.</t>
  </si>
  <si>
    <t>Despite the diversified-portfolio framing, the DST itself is concentrated: it holds only three properties, and the single Pepsi Bottling Ventures facility in Longs, South Carolina generates roughly 70% of Year-1 NOI. The marketed diversification (357 properties, 40 tenants, 35 states) is the profile of the Essential Income REIT and materializes only if and when the 721 exchange is completed, not during the DST hold.</t>
  </si>
  <si>
    <t>The anchor lease is to PBV Conway-Myrtle Beach, LLC, a Pepsi Bottling Ventures entity (a joint venture of Suntory and investment-grade PepsiCo), running through February 2039, with the two smaller necessity-retail assets carrying even longer terms (to 2045 and 2046). The Longs Year-1 NOI is inclusive of a seller rent credit, a temporary support to the in-place economics, and the bottling facility is a large special-purpose building with limited alternative use at eventual expiry.</t>
  </si>
  <si>
    <t>The entire investment thesis is built around an accelerated, tax-deferred 721 exchange into the Essential Income REIT roughly two years out, giving investors a defined path from a concentrated three-asset DST into a large diversified necessity-retail and healthcare REIT while continuing tax deferral. The trade-off is that the exit is a plan rather than a guarantee, is effected at the REIT and Sponsor discretion, and converts investors into REIT unitholders subject to the REIT portfolio, valuation, and redemption terms.</t>
  </si>
  <si>
    <t>ExchangeRight is an experienced, vertically integrated sponsor with more than 100 consecutive DST offerings, approximately $6.2 billion invested, a stated 100% historical rent-collection record, and 8,600-plus investors; of its 33 full-cycle offerings to date, each is reported to have achieved 100% of projected investor distributions without loss of investor capital. This track record underpins confidence in the master-lease guaranty and the 721-exit mechanics that define this vehicle.</t>
  </si>
  <si>
    <t>The structure is conservative on its face: debt-free with no leverage or refinancing exposure, a 100%-occupied single-tenant net-lease portfolio, and a 5.35% current cash flow paid monthly and backed by a 20-year master lease guaranteed by the ExchangeRight Essential Income REIT and its Operating Partnership. The anchor tenant is an investment-grade-affiliated Pepsi Bottling Ventures entity on a lease through 2039, supplemented by two necessity-retail assets with long terms to 2045 and 2046. The offering provides a clearly defined, tax-deferred 721 exit into a large diversified REIT (357 properties, 35 states, 40 primarily investment-grade necessity tenants) approximately two years out, and the sponsor brings a deep track record of 100-plus DST offerings, $6.2 billion invested, a 100% historical rent-collection record, and 33 full-cycle offerings reported at 100% of projected distributions.</t>
  </si>
  <si>
    <t>The diversified characterization applies to the destination REIT, not the DST, which is a concentrated three-property pool in which a single Pepsi Bottling Ventures facility produces roughly 70% of Year-1 NOI, so asset and tenant concentration is high during the hold and the Longs Year-1 NOI is propped by a seller rent credit. The investment value realization depends almost entirely on the 721 exchange into the Essential Income REIT occurring at an acceptable exchange value roughly two years out, an outcome that is planned but not guaranteed and is effected at the REIT and Sponsor discretion; investors who exchange become REIT operating-partnership unitholders exposed to the REIT leverage, portfolio valuation, distribution policy, and redemption terms. During the hold, the 5.35% income relies on the REIT and Operating Partnership ability to honor the master-lease guaranty rather than purely on the three tenants rent. The capital structure also embeds a meaningful spread between equity raised and underlying real estate value, with roughly 8% in fees and selling costs plus an additional ~3.4% of non-accountable acquisition-related costs (including ~$1.13M of equity-financing and bridge costs) layered into the acquisition cost, which bears on the eventual 721 exchange ratio. Finally, the large Pepsi bottling/distribution building is a special-purpose asset with limited alternative use should the planned exit not occur and the asset need to be re-tenanted at lease expiry.</t>
  </si>
  <si>
    <t>This is best understood not as a property investment but as a short-duration, debt-free, master-lease-guaranteed income coupon (5.35%) that is engineered to convert into Essential Income REIT units via a tax-deferred 721 exchange after about two years. The risk-adjusted profile therefore turns on two things: the durability of the REIT master-lease guaranty during the hold, and the execution and valuation of the 721 exchange at exit; the three underlying properties matter mainly as collateral and as the basis for the exchange ratio. The debt-free structure genuinely removes leverage and refinancing risk and makes the near-term income durable, but the return is modest and the concentrated, special-purpose nature of the DST own assets sits uneasily with the diversification narrative, which only becomes real post-exchange. For an investor whose objective is current tax-advantaged income with a defined pathway into a larger diversified necessity-retail and healthcare REIT, the vehicle is internally coherent; the items least reflected in the 5.35% headline are the 721 execution-and-valuation dependency, the DST-level asset and tenant concentration, the reliance on the REIT guaranty for the in-place income, and the cost spread between equity raised and real estate value.</t>
  </si>
  <si>
    <t>9101 Water Tower Road, Longs, SC</t>
  </si>
  <si>
    <t>https://lh3.googleusercontent.com/d/1Sa4h6yRiMxOyIJnqBl10VSA3LRa52Htk=s0</t>
  </si>
  <si>
    <t>exchangeright-essential-income-9-dst</t>
  </si>
  <si>
    <t>Resource Royalty 27, LLC</t>
  </si>
  <si>
    <t>Resource Royalty</t>
  </si>
  <si>
    <t>Direct-Title Mineral &amp; Royalty Interests</t>
  </si>
  <si>
    <t>Oil &amp; Gas Mineral/Royalty Interests</t>
  </si>
  <si>
    <t>TX, OK</t>
  </si>
  <si>
    <t>Resource Royalty 27, LLC offers undivided, direct-title non-possessory mineral and royalty interests across a 12-property, two-state portfolio aggregating 552.99 net royalty acres and 16,724 gross acres. The asset base concentrates in two premier basins: eight Oklahoma properties span the Anadarko complex (STACK gas window in Custer/Dewey, SCOOP/Merge in Grady, Western Anadarko oil window in Ellis/Canadian), while four Texas properties sit in the northern Permian (Borden and Dawson counties). Operatorship is held by established, well-capitalized E&amp;P names: Surge Operating, SM Energy, Devon/Coterra, Validus Energy, Mewbourne Oil, and Camino Natural Resources, insulating royalty holders from drilling capex, lease operating expense, and plugging/abandonment liability. The thesis is current-income-led: sixteen wells are in pay status as of the March 1, 2026 effective date, with the cash-flow base supplemented by 41 proven undeveloped locations, four drilled-uncompleted wells, and multiple permitted/filed locations providing non-cost-bearing development optionality. As non-operating royalty interests, holders capture gross wellhead revenue free of operating cost, with a stated ~35-year remaining reserve life and quarterly distributions administered by Resource Royalty Property Management, LLC.</t>
  </si>
  <si>
    <t>The portfolio's revenue is underwritten by a roster of institutionally-capitalized operators rather than a single counterparty, materially diversifying drilling-pace and completion-timing risk. Surge Operating, SM Energy, Devon/Coterra, Validus, Mewbourne, and Camino each carry the full burden of drilling, completion, lease operating expense, and abandonment obligations, while the royalty interest sits at the top of the revenue waterfall, paid off gross production before operating deductions. This non-cost-bearing posture structurally eliminates the margin compression that erodes working-interest returns when service costs inflate or commodity prices soften.</t>
  </si>
  <si>
    <t>Geographic positioning in the northern Permian core (Borden/Dawson) and the multi-bench Anadarko complex provides exposure to two of the lowest-breakeven onshore U.S. resource plays. Several units sit in stacked-pay configurations: the Bennett property in the SCOOP play and the Wendigo unit in the Permian carry multiple producing horizons, amplifying recoverable reserves per royalty acre and extending the reinvestment runway as operators down-space and develop secondary benches over the hold.</t>
  </si>
  <si>
    <t>Beyond the 16 wells currently in pay, the portfolio carries a substantial undrilled inventory: 41 proven undeveloped locations, four drilled-but-uncompleted wells, one permitted and four filed new-drill locations, representing latent production growth the royalty holder captures without contributing development capital. The Merganser unit's recent completions, which came online ahead of schedule and above type-curve expectations, evidence near-term conversion of this inventory into incremental cash flow.</t>
  </si>
  <si>
    <t>The direct-title deed structure differentiates this offering from pooled fractional vehicles: each investor receives recorded mineral and royalty deeds to undivided interests rather than a beneficial interest in a trust, preserving individual control over holding period and disposition timing. Coupled with a secured tax opinion treating the royalties as real property eligible for Section 1031 exchange, the structure accommodates like-kind replacement-property needs while avoiding the co-ownership lock-in inherent to DST and TIC programs.</t>
  </si>
  <si>
    <t>A 15% statutory depletion allowance shelters a meaningful portion of distributed royalty income, enhancing after-tax yield relative to fully-taxable income streams, while the ~35-year estimated reserve life supports an extended distribution horizon decoupled from any forced disposition date. The quarterly distribution cadence, aggregated from monthly operator remittances and net of a 1% annual management fee, provides a recurring income profile suited to exchange investors prioritizing durable cash yield over terminal-value realization.</t>
  </si>
  <si>
    <t>The principal strength is the cost-free, top-of-waterfall royalty position across a diversified, multi-operator, multi-basin portfolio anchored by 16 producing wells and a deep undeveloped inventory, delivering current income (8% partial-year in 2026 scaling to a 10% run-rate) without exposure to drilling capex, LOE, or abandonment liability. The debt-free capital structure eliminates refinancing, rate-cap, and maturity-wall risk entirely, removing the leverage-driven distribution volatility characteristic of financed real estate. Operator quality is high, with publicly-traded and well-capitalized E&amp;P counterparties actively drilling the acreage, and the development pipeline (41 PUDs, 4 DUCs, permitted/filed locations) offers organic upside captured at zero incremental cost. The Section 1031 real-property tax opinion, 15% depletion shelter, and direct-title deed structure together provide a tax-efficient, investor-controlled vehicle with a ~35-year reserve life and no mandated disposition timeline.</t>
  </si>
  <si>
    <t>The dominant asset-specific vulnerability is commodity-price beta: the underwriting Base Range assumes flat $59-60 oil and $3.00 gas, and the Low Range sensitivity, at $22 oil and $1.50 gas, compresses the five-year cumulative return from 48% to 13.07%, a roughly 73% impairment of forecast cash flow with no debt-service buffer or hedging program to dampen the move. Distribution durability is exposed to operator discretion: operators are under no obligation to drill, complete, or maintain production, and conversion of the 41 PUD and 4 DUC locations into cash flow depends entirely on third-party capital-allocation decisions. The Low Range case explicitly assumes a static well count in 2029-2030 with no new drilling, underscoring that the 10% run-rate is contingent on continued development that may not materialize at depressed prices. Concentration risk is non-trivial: 552.99 net royalty acres across only 12 properties and seven counties means single-unit underperformance carries disproportionate weight, and royalty interests decline on a hyperbolic depletion curve, requiring ongoing operator reinvestment simply to sustain the headline yield. The 95%/5% structure further leaves investors bearing proportional financial responsibility for the carried 5% interest.</t>
  </si>
  <si>
    <t>On a risk-adjusted basis, Resource Royalty 27 is an unlevered, current-income royalty vehicle whose forecast 9.60% average five-year cash-on-cash sits well above stabilized core real estate yields, with the spread compensating for higher commodity and production-variability risk rather than financial leverage. The flat-price Base Range ($59-60 oil) is conservative against the April 2026 NYMEX strip embedded in the supplement ($90.82 spot 2026 declining to $59.02 to-life), implying the projections do not capture near-term upside if current futures hold, though the strip-to-life gap also signals expected price normalization. The debt-free posture is the defining structural feature in the current rate environment, fully insulating distributions from the refinancing and rate-cap pressures weighing on leveraged 1031 real estate, and shifting the entire return-variance burden onto commodity prices and operator drilling cadence. Feasibility hinges on three variables: sustained operator development of the PUD/DUC inventory, prices remaining above the Low Range floor, and the ~35-year reserve life materializing as engineered; the Merganser early-completion outperformance and the publicly-traded operator base support the first, while OPEC-, geopolitical-, and demand-driven volatility govern the second. For an exchange investor, the offering functions less as a real estate substitute than as a tax-advantaged, real-property-classified energy-income allocation with embedded development optionality and no leverage overlay.</t>
  </si>
  <si>
    <t>https://drive.google.com/file/d/130m6Um_1Bqj3CUHKW9A-eDiNHtXRus3Z/view?usp=sharing</t>
  </si>
  <si>
    <t>resource-royalty-fund-27</t>
  </si>
  <si>
    <t>CS1031 Texas Active Living Portfolio II, DST</t>
  </si>
  <si>
    <t>A 64-unit, two-asset active-adult (55+) portfolio comprising Emerald Cottages of Kerrville (32 units, vintage 2019, Texas Hill Country) and Emerald Cottages of Round Rock (32 units, vintage 2018, Austin MSA / Williamson County), each a single-story, cottage-style community of detached 2BR/2BA homes averaging 1,350 SF with attached garages, ADA-accessible step-free layouts, and clubhouse amenities. Both assets are 100% occupied with 10+ resident waitlists secured by $1,000 deposits, zero bad debt, and no concessions. The thesis pairs a recession-resilient, demographically tailwinded niche — needs-based active-adult housing for an aging cohort (48% of the Kerrville zip is 50+) — with an all-cash, debt-free capital structure that eliminates refinancing and rate-cap exposure across the ten-year hold. Operations run through a master-lease structure with Capital Square-affiliated master tenants and Carbon Shepherd as on-site manager, targeting a 5.65% Year 1 yield-on-cost stepping to 7.51% by Year 10 on contractual base-rent escalations averaging roughly 3% annually.</t>
  </si>
  <si>
    <t>The portfolio occupies the active-adult (55+) niche that sits structurally between conventional market-rate multifamily and licensed senior housing, capturing needs-based demographic demand without the operational intensity, regulatory overhead, or labor-cost volatility of assisted living or memory care. Demand is anchored by an aging-in-place cohort: 48% of the population within the Kerrville property's zip code is age 50+, and the Hill Country functions as a regional retirement destination. This positioning insulates rent rolls from the discretionary-move-out behavior that pressures conventional Class A multifamily during economic softening.</t>
  </si>
  <si>
    <t>Both assets are 100% occupied with documented waitlists exceeding ten prospective residents each, every entry backed by a $1,000 deposit — a tangible, capitalized indicator of unmet submarket demand rather than aspirational lease-up assumptions. The trailing-twelve-month operating history shows zero bad debt, no concessions, and resident retention of 91% (Kerrville) and 81% (Round Rock), signaling sticky tenancy and minimal turnover frictional cost that underpins the forecast effective-gross-income stability.</t>
  </si>
  <si>
    <t>The all-cash, no-mortgage-debt capitalization removes the single largest source of DST mid-cycle distress: refinancing risk and interest-rate-cap repurchase cost at loan maturity. With no debt service, the full NOI stream converts to distributable cash flow, the Year 1 yield-on-cost of 5.65% accretes to 7.51% by Year 10 on contractual escalations, and the asset can be sold or contributed into a 721 UPREIT transaction on the Sponsor's timing without lender consent, defeasance, or prepayment penalty constraints.</t>
  </si>
  <si>
    <t>The Round Rock asset benefits from a demonstrably supply-constrained submarket: only 200 units of construction starts over the trailing two years, with submarket vacancy improving more than six percentage points in 2025 — the third-sharpest reduction among Austin submarkets. Sited within the Teravista master-planned community (18-hole golf course, fitness, pickleball, 10+ miles of trails) in a county that grew 19.4% from 2020–2024 with ~$108,000 median household income, the asset combines a high-growth metro with a near-term barrier to competitive new deliveries.</t>
  </si>
  <si>
    <t>The Sponsor's full subordination of its disposition fee to investors' return of capital creates explicit co-investment alignment at the exit, deferring sponsor compensation until principal is recovered. Combined with the cottage-style, detached single-story product format — which carries lower turnover capital intensity than stacked-flat multifamily and appeals to a long-tenure resident base — the structure aligns sponsor economics with the durability of the forecast cash flows rather than transactional fee velocity.</t>
  </si>
  <si>
    <t>The offering pairs a debt-free balance sheet with two fully stabilized, 100% occupied active-adult communities of recent vintage (2018/2019), eliminating leverage-driven refinancing and rate-cap exposure while delivering a forecast distribution profile that escalates from 4.50% to 5.70% over a ten-year hold on contractual base-rent growth. The niche captures durable, demographically supported demand from an aging 55+ cohort, with documented deposited waitlists at both assets evidencing real excess demand. Macro positioning is favorable: Round Rock sits in a high-in-migration Austin submarket (Williamson County +19.4% 2020–2024) with a constrained near-term supply pipeline, while Kerrville offers a low-cost, healthcare-anchored Hill Country retirement market with limited cyclical sensitivity. Operating fundamentals — zero bad debt, no concessions, high retention, and the lowest operating expenses within the Sponsor's broader cottage portfolio at the Kerrville asset — reinforce the credibility of the underwritten EGI.</t>
  </si>
  <si>
    <t>The cash-flow stream depends on master-lease performance by two Capital Square-affiliated master tenants whose capitalization is supported solely by underlying sublease rents, with no Sponsor obligation to fund shortfalls — a structural credit dependency that concentrates risk if resident-level rents underperform the forecast. The 64-unit, two-property scale offers limited diversification: a single-market (Texas) concentration with both assets exposed to Texas real-estate-tax dynamics, where the forecast carries real estate taxes escalating from $345,249 to $485,759 over the hold, a line item vulnerable to reassessment following the recent transaction. The Round Rock asset's reliance on the Dell/Amazon/St. David's employment base ties resident formation to Austin-metro economic concentration, and the active-adult format's narrow tenant profile constrains the prospective buyer pool at disposition relative to conventional multifamily. The forecast assumes uninterrupted ~3% annual rent escalation and improving vacancy despite Round Rock's TTM retention of 81%, leaving modest cushion if Hill Country or Austin-submarket demand normalizes.</t>
  </si>
  <si>
    <t>The risk-adjusted profile reflects a deliberate trade of leveraged return amplification for downside protection: the absence of debt caps the upside but removes the dominant failure mode in DST vintages exposed to the 2023–2025 rate regime, positioning the offering as a defensive, income-oriented allocation rather than a total-return vehicle. The ~5.00% average cash-on-cash and 5.65%-to-7.51% yield-on-cost trajectory are underwritten on conservative, contractually supported escalations rather than aggressive mark-to-market rent growth or cap-rate compression, lending credibility to the assumptions in a higher-for-longer environment. The active-adult niche aligns with secular demographic demand that is comparatively insensitive to the macroeconomic cycle, and the optional 721 UPREIT exit affords the Sponsor flexibility to time disposition into a liquidity event without refinancing pressure. The principal underwriting tension lies in master-tenant credit dependency layered on a thin 64-unit, single-state base; the feasibility of the forecast rests on sustained submarket demand and disciplined expense control, both of which the trailing operating history supports but neither of which is contractually guaranteed across a full ten-year horizon.</t>
  </si>
  <si>
    <t>1501 Bandera Hwy, Kerrville, TX 78028; 4099 Teravista Club Dr, Round Rock, TX 78665</t>
  </si>
  <si>
    <t>https://drive.google.com/file/d/170i7qkdzNt5nMjqA3xuswfF2BKEm6Fx-/view?usp=sharing</t>
  </si>
  <si>
    <t>cs1031-texas-active-living-portfolio-ii-dst</t>
  </si>
  <si>
    <t>Learn More About Capital Square</t>
  </si>
  <si>
    <t>Learn More About Senior Living Properties</t>
  </si>
  <si>
    <t>Investment: CS1031 Texas Active Living Portfolio II, DST | Sponsor: Capital Square | Structure: Delaware Statutory Trust (DST) | Status: Available | LTV: 0.00% LTV | Availability: 1 | Location: TX | Strategy: Core | 721 Exchange Exit: Optional | Estimated Hold: 10 years | Minimum Investment: 50000</t>
  </si>
  <si>
    <t>ExchangeRight Essential Income 12 DST</t>
  </si>
  <si>
    <t>8.19%</t>
  </si>
  <si>
    <t>A debt-free Delaware Statutory Trust holding a single, 100%-occupied ~1,083,102 SF industrial distribution center on ~114.2 acres at 3200 East Sawyer Road, Republic, Missouri (Springfield MSA), net-leased to Amazon.com Services LLC and guaranteed by Amazon.com, Inc. (S&amp;P "AA"). The 2021-built facility carries a double-net (NN) lease running to July 2036 (~10.1 years remaining) with 1.85% annual rent escalations and five 5-year renewal options. The Trust acquired the property free and clear for $108,838,385 (appraised "As Is" at $109,400,000). Income is delivered through a 20-year master lease guaranteed by the ExchangeRight Essential Income REIT Operating Partnership, targeting 5.20% cash flow in year one and 5.30% in year two. The offering is structured for a ~2-year hold followed by an accelerated tax-deferred Section 721 exchange into the Essential Income REIT, providing investment-grade, single-tenant industrial income with a defined UPREIT exit path.</t>
  </si>
  <si>
    <t>Investment-grade credit: leased to Amazon.com Services LLC and guaranteed by Amazon.com, Inc., rated "AA" by S&amp;P — among the strongest corporate credits in the net-lease market.</t>
  </si>
  <si>
    <t>Debt-free structure: held 100% free and clear, eliminating refinancing, maturity, rate-cap, and foreclosure risk and the equal-or-greater-debt 1031 replacement requirement.</t>
  </si>
  <si>
    <t>Mission-critical logistics asset: a 2021-built, ~1.08M SF distribution center on ~114.2 acres in the Springfield, MO MSA, with a seller-funded $7.19M roof replacement delivering a new 20-year-warranty TPO roof.</t>
  </si>
  <si>
    <t>Contractual income growth: a double-net lease to July 2036 (~10.1-yr remaining term) with 1.85% annual rent escalations and five 5-year renewal options, backed by a 20-year master-lease guarantee from the Essential Income REIT.</t>
  </si>
  <si>
    <t>Defined UPREIT exit: targeted ~2-year hold (5.20% then 5.30% cash flow) followed by an accelerated Section 721 exchange into ExchangeRight's Essential Income REIT.</t>
  </si>
  <si>
    <t>Single-tenant income backed by Amazon.com, Inc. ("AA" S&amp;P), one of the highest-credit guarantors available in the DST market, on a debt-free asset that removes all financing and refinancing risk. The 2021-vintage, ~1.08M SF distribution center is a modern, mission-critical logistics facility with a fresh 20-year-warranty roof (seller-funded), 1.85% annual escalators, ~10.1 years of remaining lease term, and five 5-year renewal options. The 20-year master-lease guarantee from the Essential Income REIT Operating Partnership supports distribution stability, and the accelerated Section 721 exit offers a tax-deferred path into a diversified, $1.5B+ net-lease REIT after a short ~2-year hold.</t>
  </si>
  <si>
    <t>Single-asset, single-tenant concentration: 100% of income depends on one Amazon distribution center, so any vacancy or non-renewal at the 2036 expiration is binary to cash flow, and the lease sits with an operating subsidiary (Amazon.com Services LLC) though guaranteed by the "AA" parent. The going-in yield is modest at 5.20%-5.30% with no leverage to amplify returns, and the $123,530,000 offering price exceeds both the $108,838,385 purchase price and the $109,400,000 appraised value, embedding an ~8%+ load and a premium over real estate value. The lease is double-net (NN) rather than triple-net, leaving certain structural/capital responsibilities with the trust (mitigated by reserves and the seller-funded roof). The targeted ~2-year hold and 721 exchange are not guaranteed and depend on the Essential Income REIT's capital and willingness to acquire the interests; any 721 consideration would be OP units in a non-traded, sponsor-controlled REIT with sponsor-set NAV and limited liquidity.</t>
  </si>
  <si>
    <t>Essential Income 12 is a credit-driven, income-oriented core vehicle whose return profile is unusually front-ended for the series: rather than a ~10-year contractual hold, it targets a ~2-year hold (5.20% then 5.30%) before an accelerated Section 721 roll-up into ExchangeRight's Essential Income REIT, making the REIT's NAV, distribution policy, and aggregation appetite the dominant terminal-value drivers rather than a third-party sale. The underlying real estate is high-quality and the Amazon "AA" guarantee is best-in-class credit, but the case rests on (i) the durability of single-tenant industrial cash flow to 2036, (ii) recovering the premium of offering price over appraised value through the REIT exchange, and (iii) the sponsor executing the UPREIT exit on the targeted timeline. The debt-free design is defensive in a higher-for-longer environment but caps return; the NN (vs NNN) lease and single-asset concentration are the key structural caveats, partially offset by the seller-funded roof replacement and the 20-year master-lease guarantee.</t>
  </si>
  <si>
    <t>3200 East Sawyer Road, Republic, MO</t>
  </si>
  <si>
    <t>https://drive.google.com/file/d/1h6xRzEJj6WrKWcYaVK8ZPob2PS14Tx9w/view?usp=sharing</t>
  </si>
  <si>
    <t>exchangeright-essential-income-12-dst</t>
  </si>
  <si>
    <t>Olympus Tradewinds DST</t>
  </si>
  <si>
    <t>Olympus Property</t>
  </si>
  <si>
    <t>47.40% LTV</t>
  </si>
  <si>
    <t>Midland, TX</t>
  </si>
  <si>
    <t>16.93%</t>
  </si>
  <si>
    <t>Tradewinds Apartments is a Class A multifamily community at 1808 S. Tradewinds Blvd., Midland, Texas, acquired by an Olympus Property affiliate for $34,250,000 and held in a Delaware Statutory Trust. The Trust financed the purchase with a $19,021,000 Fannie Mae loan through Berkadia at a fixed 4.95%, interest-only for the full seven-year term (maturing November 1, 2032). Under a master lease, the Trust targets distributions beginning at 6.00% and rising to 6.60% of invested equity over an approximately seven-year hold, with an optional Section 721 exchange into an affiliated Exchange Entity at disposition. Offered under Rule 506(c).</t>
  </si>
  <si>
    <t>Class A Midland, TX multifamily acquired for $34.25M, held in a DST.</t>
  </si>
  <si>
    <t>Fixed 4.95% Fannie Mae (Berkadia) loan, interest-only for the full 7-year term; ~47.4% LTV.</t>
  </si>
  <si>
    <t>Projected distributions rising from 6.00% to 6.60% over a ~7-year hold (avg ~6.24%).</t>
  </si>
  <si>
    <t>Optional Section 721 (FMV) exchange into an Olympus Exchange Entity at disposition.</t>
  </si>
  <si>
    <t>Sponsored by Olympus Property, a Fort Worth multifamily owner-operator founded in 1992 with 54 realized full-cycle deals.</t>
  </si>
  <si>
    <t>Experienced multifamily sponsor (54 realized full-cycle deals, ~25.7% avg IRR); fixed-rate interest-only financing removes near-term rate risk; Sun Belt / Permian Basin market; optional 721 liquidity path.</t>
  </si>
  <si>
    <t>Single-asset, single-market concentration; illiquid non-traded interests; master lease is not triple-net (Trust bears certain capex, taxes and insurance); interest-only loan with a 2032 balloon and no refinancing permitted; meeting target distributions may rely partly on reserves.</t>
  </si>
  <si>
    <t>A leveraged single-asset Class A multifamily DST in Midland's Permian Basin economy; investor returns depend on Olympus's operations and a ~2032 sale or 721 roll. Fixed 4.95% interest-only debt is favorable in a higher-rate environment, but the non-triple-net master lease and single-market exposure concentrate risk.</t>
  </si>
  <si>
    <t>Berkadia Commercial Mortgage LLC (Fannie Mae DUS)</t>
  </si>
  <si>
    <t>4.95% (Fixed)</t>
  </si>
  <si>
    <t>2.48x</t>
  </si>
  <si>
    <t>1808 S. Tradewinds Blvd., Midland, TX 79706</t>
  </si>
  <si>
    <t>https://drive.google.com/file/d/1BR1drbEjYZc1WEGMyPXpQXfmHowCj9IV/view?usp=sharing</t>
  </si>
  <si>
    <t>olympus-tradewinds-dst</t>
  </si>
  <si>
    <t>sponsors/olympus-property</t>
  </si>
  <si>
    <t>Olympus Coronado DST</t>
  </si>
  <si>
    <t>14.86%</t>
  </si>
  <si>
    <t>Coronado on Briarwood is a Class A multifamily community at 6000 Briarwood Ave, Midland, Texas, acquired by an Olympus Property affiliate for $76,000,000 and held in a Delaware Statutory Trust. The Trust financed the purchase with a $42,240,000 Fannie Mae loan through Berkadia at a fixed 5.05%, interest-only for the full seven-year term (maturing December 1, 2032). Under a master lease, the Trust targets distributions beginning at 6.23% and rising to 8.24% of invested equity over an approximately seven-year hold, with an optional Section 721 exchange into an affiliated Exchange Entity at disposition. Offered under Rule 506(c).</t>
  </si>
  <si>
    <t>Class A Midland, TX multifamily (Coronado on Briarwood) acquired for $76M, held in a DST.</t>
  </si>
  <si>
    <t>Fixed 5.05% Fannie Mae (Berkadia) loan, interest-only for the full 7-year term; ~50.6% LTV.</t>
  </si>
  <si>
    <t>Projected distributions rising from 6.23% to 8.24% over a ~7-year hold (avg ~7.12%).</t>
  </si>
  <si>
    <t>Experienced multifamily sponsor (54 realized full-cycle deals, ~25.7% avg IRR); fixed-rate interest-only financing; larger $76M asset; rising distribution schedule to 8.24%; optional 721 liquidity path.</t>
  </si>
  <si>
    <t>Single-asset, single-market (Midland) concentration; illiquid non-traded interests; master lease is not triple-net; interest-only loan with a 2032 balloon and no refinancing permitted; back-loaded distribution schedule with reliance on reserves to meet targets.</t>
  </si>
  <si>
    <t>A leveraged single-asset Class A multifamily DST in Midland; the ramp to 8.24% is back-loaded and depends on Olympus growing NOI. Fixed 5.05% interest-only debt and ~50.6% LTV are reasonable, but single-market Permian Basin exposure and the non-triple-net structure concentrate risk.</t>
  </si>
  <si>
    <t>5.05% (Fixed)</t>
  </si>
  <si>
    <t>2.29x</t>
  </si>
  <si>
    <t>6000 Briarwood Ave, Midland, TX 79707</t>
  </si>
  <si>
    <t>https://drive.google.com/file/d/1ZacX6uBpIdUQ-EaO6OBjB5tRKFkHTYGv/view?usp=sharing</t>
  </si>
  <si>
    <t>olympus-coronado-dst</t>
  </si>
  <si>
    <t>BR Diversified Industrial Portfolio 8, DST</t>
  </si>
  <si>
    <t>FL, IL, MO</t>
  </si>
  <si>
    <t>11.68%</t>
  </si>
  <si>
    <t>Five debt-free, single-tenant industrial properties totaling approximately 463,806 square feet across Florida, Illinois, and Missouri. The portfolio comprises two Jacksonville properties leased to Woodsman Kitchens &amp; Floors, a Wheeling distribution facility leased to Shure, a Punta Gorda distribution/outdoor-storage facility leased to Hajoca, and a Kansas City warehouse/outdoor-storage facility leased to BlueLinx. The properties are 100% leased under absolute-net or triple-net leases with a weighted-average lease term of nearly 13 years and contractual rent increases averaging more than 2.5%. The Trust acquired the portfolio for $47.43 million versus an aggregate as-is appraisal of $48.25 million. Bluerock projects a 7-10 year hold and cash flow rising from 4.86% to 5.96%, with a sponsor-controlled FMV option that may result in cash or a Section 721 exchange into affiliated operating-partnership units. Offered under Rule 506(c).</t>
  </si>
  <si>
    <t>Five-property, 463,806-square-foot industrial portfolio diversified across Florida, Illinois, and Missouri.</t>
  </si>
  <si>
    <t>Debt-free capitalization eliminates interest-rate, refinancing, maturity, and foreclosure risk.</t>
  </si>
  <si>
    <t>Nearly 13-year weighted-average lease term with annual escalations averaging more than 2.5%.</t>
  </si>
  <si>
    <t>In-place rents are approximately 20% below submarket levels, with 15% projected cumulative market-rent growth through 2030.</t>
  </si>
  <si>
    <t>Piper and Warren include scarce industrial outdoor storage; the portfolio was acquired approximately $823,000 below aggregate as-is appraisal value.</t>
  </si>
  <si>
    <t>Debt-free structure; geographic and tenant diversification; 100% occupancy; long-duration absolute-net and triple-net leases; below-market rents; contractual escalators; a $2 million trust-controlled reserve; and industrial-outdoor-storage exposure.</t>
  </si>
  <si>
    <t>Initial cash yield is modest; Supplemental Rent is performance-dependent; Woodsman occupies two properties; the 235,335-square-foot BlueLinx property represents roughly half the portfolio area; three Florida assets face hurricane exposure; upfront load is approximately 11.68%, with a potential 3.5% disposition fee.</t>
  </si>
  <si>
    <t>A defensive, unlevered industrial-income offering whose return depends more on contractual rent growth and terminal value than financial leverage. The affiliated master tenant is thinly capitalized through a $500,000 demand note, while Bluerock controls the manager, master tenant, and FMV-option counterparty. The FMV option may force a disposition, although investors can elect cash rather than OP units.</t>
  </si>
  <si>
    <t>1727 Warren Street, Kansas City, MO 64116</t>
  </si>
  <si>
    <t>https://drive.google.com/file/d/1Z0F6nQ1jT-K7wCiqXGkL_SolWCyHApRw/view?usp=sharing</t>
  </si>
  <si>
    <t>br-diversified-industrial-portfolio-8-dst</t>
  </si>
  <si>
    <t>Passco Allure DST</t>
  </si>
  <si>
    <t>45.22% LTV</t>
  </si>
  <si>
    <t>15.01%</t>
  </si>
  <si>
    <t>Allure at Edinburgh is a 280-unit luxury multifamily community completed in 2024/2025 on approximately 11.74 acres in Chesapeake, Virginia. The property offers one-, two-, and three-bedroom apartments averaging 973 square feet and was 98.57% occupied as of April 27, 2026. Residents have access to a resort-style pool, fitness and yoga facilities, golf simulator, movie theater, arcade, coworking areas, pet amenities, EV charging, and other high-end features. Passco acquired the property for $94.095 million and financed it with a $48.35 million fixed-rate Fannie Mae loan. The business plan targets rent growth, ancillary-fee increases, resident retention, amenity enhancements, and disciplined expense management over approximately ten years. Offered under Rule 506(b).</t>
  </si>
  <si>
    <t>Newly constructed 280-unit luxury multifamily asset with 98.57% occupancy.</t>
  </si>
  <si>
    <t>Affluent resident base with approximately $115,080 median household income and a 21.69% rent-to-income ratio.</t>
  </si>
  <si>
    <t>Fixed 4.98% Fannie Mae financing with seven years of interest-only payments.</t>
  </si>
  <si>
    <t>Chesapeake submarket forecasts approximately 2.8% annual rent growth through 2030.</t>
  </si>
  <si>
    <t>Optional FMV exit permitting cash or affiliated exchange-entity units.</t>
  </si>
  <si>
    <t>New construction; high occupancy; affluent tenancy; extensive amenities; fixed-rate financing; strong initial debt-service coverage; and an optional tax-efficient exit.</t>
  </si>
  <si>
    <t>Single-asset concentration; investor basis materially exceeds the $92.9 million appraisal; projected distributions require reserve support; returns decline when amortization begins; the master lease is not triple-net; and the DST cannot refinance the loan.</t>
  </si>
  <si>
    <t>A stabilized luxury multifamily investment with modest current yield and limited operating cushion. Success depends on maintaining occupancy, achieving rent growth, controlling taxes and insurance, and selling before the May 2036 balloon. The affiliated master tenant has limited capitalization, while most reserves initially take the form of a six-month sponsor-funded note.</t>
  </si>
  <si>
    <t>KeyBank, National Association (Fannie Mae DUS)</t>
  </si>
  <si>
    <t>4.98% (Fixed)</t>
  </si>
  <si>
    <t>249 Allure Lane, Chesapeake, VA 23322</t>
  </si>
  <si>
    <t>https://drive.google.com/file/d/1S41XEQMoIj914NT7dgWiHe7K9AzFTOb1/view?usp=sharing</t>
  </si>
  <si>
    <t>passco-allure-dst</t>
  </si>
  <si>
    <t>Trilogy Multifamily Opportunity Zone Fund</t>
  </si>
  <si>
    <t>Trilogy Real Estate Group</t>
  </si>
  <si>
    <t>Qualified Opportunity Zone Fund (LP)</t>
  </si>
  <si>
    <t>Property-level (50-70% target)</t>
  </si>
  <si>
    <t>50-70% (target)</t>
  </si>
  <si>
    <t>Miami, FL</t>
  </si>
  <si>
    <t>Trilogy Multifamily Opportunity Zone Fund is a $100M Qualified Opportunity Zone fund developing institutional multifamily in designated Opportunity Zones - led by the Edgewater 27 high-rise in Miami's Edgewater submarket, with additional ground-up projects. Sponsored by Trilogy Real Estate Group, a vertically integrated multifamily developer and operator with $5.5B+ in lifetime volume and 14,000+ units now allied with Greystar, the fund targets a 12-14% deal-level IRR and a 2.25-2.75x equity multiple over a 10-year hold, while delivering the Opportunity Zone tax benefits: deferral of reinvested capital gains and tax-free appreciation on the OZ investment when held at least 10 years.</t>
  </si>
  <si>
    <t>Full Opportunity Zone tax package: defer tax on reinvested capital gains and pay no federal tax on OZ appreciation after a 10-year hold.</t>
  </si>
  <si>
    <t>Targets a 12-14% deal-level IRR and a 2.25-2.75x equity multiple over the fund term.</t>
  </si>
  <si>
    <t>Ground-up multifamily development anchored by Edgewater 27 in Miami's high-growth Edgewater submarket.</t>
  </si>
  <si>
    <t>Sponsored by Trilogy Real Estate Group: $5.5B+ lifetime volume, 14,000+ units, vertically integrated and allied with Greystar.</t>
  </si>
  <si>
    <t>Conservative 50-70% target leverage; $100M best-efforts raise; $100,000 minimum investment.</t>
  </si>
  <si>
    <t>Powerful OZ tax benefits (gain deferral plus tax-free exit after 10 years); experienced vertically integrated multifamily developer; new-construction product in supply-constrained Sunbelt markets; meaningful GP co-investment alignment.</t>
  </si>
  <si>
    <t>Long, illiquid 10-year-plus hold; development and lease-up execution risk; appreciation-driven with limited current income during construction; best-efforts fund with GP discretion over assets and leverage.</t>
  </si>
  <si>
    <t>Best suited to investors with recent capital gains seeking long-term, tax-advantaged growth rather than current income - a different profile from a stabilized, income-now DST. Eligible gains must generally be reinvested within 180 days to capture the OZ benefits.</t>
  </si>
  <si>
    <t>Asset-level financing (50-70% target leverage)</t>
  </si>
  <si>
    <t>Edgewater submarket, Miami, FL</t>
  </si>
  <si>
    <t>https://drive.google.com/file/d/1e-UDVp0Fx6J11zUBJxqzw93FORxoTmOk/view?usp=sharing</t>
  </si>
  <si>
    <t>trilogy-multifamily-oz-fund</t>
  </si>
  <si>
    <t>sponsors/trilogy-real-estate-group</t>
  </si>
  <si>
    <t>BT Athens Student Housing DST</t>
  </si>
  <si>
    <t>Baker Tilly</t>
  </si>
  <si>
    <t>47.68% LTV</t>
  </si>
  <si>
    <t>Athens, OH</t>
  </si>
  <si>
    <t>19.58%</t>
  </si>
  <si>
    <t>BT Athens Student Housing DST is a $72.1 million Delaware Statutory Trust offering The Summit at Coates Run, an 856-bed, 239-unit Class A student housing community about one mile from Ohio University in Athens, Ohio. Built in 2009 and renovated in 2019 and 92.98% occupied at the offering date, it is sponsored by Baker Tilly, the 10th-largest accounting and advisory firm in the U.S. The DST carries fixed-rate, interest-only financing through Old National Bank and projects a 4.70% first-year distribution rising to 5.21% by year 10 (4.96% average), with a $100,000 minimum and a full 721 UPREIT exit option.</t>
  </si>
  <si>
    <t>856-bed, 239-unit Class A student housing community about one mile from Ohio University (30,682 students, up 3.6% year over year).</t>
  </si>
  <si>
    <t>4.70% Year-1 distribution rising to 5.21% by Year 10 (4.96% average).</t>
  </si>
  <si>
    <t>Fixed-rate, interest-only loan (5.72%, Old National Bank); 47.68% LTV; 2.04x Year-1 DSCR.</t>
  </si>
  <si>
    <t>Built 2009, renovated 2019; 92.98% occupied; fully furnished, by-the-bed leasing.</t>
  </si>
  <si>
    <t>Sponsored by Baker Tilly; $100,000 minimum; full 721 UPREIT exit option.</t>
  </si>
  <si>
    <t>Stabilized student-housing asset serving a major state university with historically high occupancy and limited new supply; fixed-rate interest-only debt removes near-term rate risk; experienced advisory-firm sponsor; 721 UPREIT optionality.</t>
  </si>
  <si>
    <t>Student housing must re-lease every academic year with summer lease-up risk; competitive nearby supply; flat distribution growth in years 1-5; roughly 19.6% load on equity; long-term U.S. college enrollment is projected to decline.</t>
  </si>
  <si>
    <t>Best for income-oriented 1031 investors comfortable with student-housing seasonality. The 721 option allows a future tax-deferred roll-up, but the high equity load and flat early yield reward a long hold.</t>
  </si>
  <si>
    <t>5.72% (Fixed)</t>
  </si>
  <si>
    <t>The Summit at Coates Run, Athens, OH</t>
  </si>
  <si>
    <t>https://drive.google.com/file/d/1SgHJtAGl9-PPRpPjPxHpKxUcXxWnXdZP/view?usp=sharing</t>
  </si>
  <si>
    <t>bt-athens-student-housing-dst</t>
  </si>
  <si>
    <t>sponsors/baker-tilly</t>
  </si>
  <si>
    <t>BXREX Portfolio I DST</t>
  </si>
  <si>
    <t>Blackstone</t>
  </si>
  <si>
    <t>Las Vegas, NV &amp; Houston, TX</t>
  </si>
  <si>
    <t>NV, TX</t>
  </si>
  <si>
    <t>4.50%</t>
  </si>
  <si>
    <t>BXREX Portfolio I DST is a $175.6 million all-cash, zero-debt Delaware Statutory Trust from Blackstone, the world's largest alternative asset manager ($1.3T AUM, $315B real estate). The trust holds two stabilized, institutional-quality Class A multifamily communities totaling 612 units: Vue at Centennial in northwest Las Vegas and a Cypress community in suburban Houston, both previously held in Blackstone's BREIT portfolio. Structured as Blackstone's designated UPREIT feeder, BXREX offers a Section 721 exchange into BREIT. A BREIT-guaranteed master lease supports a fixed 3.20% distribution in years 1-5, stepping to 3.62% in years 6-10 (3.41% average). Minimum investment is $1,000,000.</t>
  </si>
  <si>
    <t>Sponsored by Blackstone, the world's largest alternative asset manager ($1.3T AUM; $315B in real estate).</t>
  </si>
  <si>
    <t>Two stabilized Class A multifamily communities (612 units) in Las Vegas and Houston; 94% occupied.</t>
  </si>
  <si>
    <t>All-cash, zero-debt structure eliminates refinancing and loan-covenant risk for the full 10-year hold.</t>
  </si>
  <si>
    <t>Section 721 UPREIT exit into BREIT (~$30B+ NAV) via a BREIT-guaranteed master lease.</t>
  </si>
  <si>
    <t>Fixed 3.20% distribution years 1-5, stepping to 3.62% years 6-10 (3.41% average); $1,000,000 minimum.</t>
  </si>
  <si>
    <t>Blackstone sponsorship and a BREIT-backed master lease provide deep institutional support and one of the DST market's strongest liquidity backstops; all-cash structure removes leverage risk; geographic diversification across two Sun Belt metros; moderate 4.50% load.</t>
  </si>
  <si>
    <t>Below-market fixed yield (3.20% early) with no participation in property NOI upside; heavy concentration of Blackstone-affiliated parties on both sides; FMV cash election capped at 15% and discretionary; property-level financials not disclosed; submarket softening in Las Vegas and Houston.</t>
  </si>
  <si>
    <t>A brand- and liquidity-premium offering: investors trade current yield for Blackstone/BREIT optionality and an all-cash risk profile. Best suited to 1031 investors prioritizing sponsor quality and a clear 721 exit over income.</t>
  </si>
  <si>
    <t>None (all-cash)</t>
  </si>
  <si>
    <t>Vue at Centennial (Las Vegas, NV) &amp; Cypress (Houston, TX)</t>
  </si>
  <si>
    <t>https://drive.google.com/file/d/1g9GfXdmKGzdVtY43HOxezAlDYwVxyij0/view?usp=sharing</t>
  </si>
  <si>
    <t>bxrex-portfolio-i-dst</t>
  </si>
  <si>
    <t>sponsors/blackstone</t>
  </si>
  <si>
    <t>CF Biscayne Multifamily DST</t>
  </si>
  <si>
    <t>52.26% LTV</t>
  </si>
  <si>
    <t>CF Biscayne Multifamily DST is a $236.0 million Delaware Statutory Trust sponsored by Cantor Fitzgerald, offering Biscayne Shores - a 380-unit Class A multifamily community on 8.20 acres at 11295 Biscayne Boulevard in Miami, Florida. The trust is capitalized with $112.65 million of equity and a $123.3 million Freddie Mac loan fixed at 4.84% (interest-only through 2031), and projects a 4.30% first-year distribution stepping to 3.75% in years 6-7 (4.14% average) over a seven-year hold. Minimum investment is $250,000, with a Section 721 exchange option into Cantor Fitzgerald Income Trust (CFIT).</t>
  </si>
  <si>
    <t>380-unit Class A multifamily community on Biscayne Boulevard in Miami, Florida (10,900+ Cantor-managed units in the Miami MSA).</t>
  </si>
  <si>
    <t>4.30% first-year distribution (4.14% average over a 7-year hold).</t>
  </si>
  <si>
    <t>$123.3M Freddie Mac loan fixed at 4.84%, interest-only through 2031; 52.26% LTV.</t>
  </si>
  <si>
    <t>Sponsored by Cantor Fitzgerald; Section 721 UPREIT exchange option into Cantor Fitzgerald Income Trust (CFIT).</t>
  </si>
  <si>
    <t>$250,000 minimum; value-add kitchen-island program across roughly 144 units.</t>
  </si>
  <si>
    <t>Institutional Cantor Fitzgerald sponsorship with a sizable affiliated REIT for the 721 exit; stabilized Class A multifamily in a supply-constrained Miami submarket; long-term fixed-rate agency debt; modest 7.5% load.</t>
  </si>
  <si>
    <t>Distribution steps down to 3.75% in years 6-7 as interest-only converts to amortizing; high $250,000 minimum; FMV cash election capped at 5%; Miami insurance and supply pressures.</t>
  </si>
  <si>
    <t>A core-plus Miami multifamily DST with agency leverage and a clear 721 path into CFIT. Best for investors prioritizing sponsor quality and UPREIT optionality over headline current yield.</t>
  </si>
  <si>
    <t>Walker &amp; Dunlop (Freddie Mac)</t>
  </si>
  <si>
    <t>4.84% (Fixed)</t>
  </si>
  <si>
    <t>30 years (after I/O)</t>
  </si>
  <si>
    <t>1.93x</t>
  </si>
  <si>
    <t>Biscayne Shores, 11295 Biscayne Boulevard, Miami, FL 33181</t>
  </si>
  <si>
    <t>https://drive.google.com/file/d/1bgeCXzrd6qp98alpeh1TrJxQVWqGWSsZ/view?usp=sharing</t>
  </si>
  <si>
    <t>cf-biscayne-multifamily-dst</t>
  </si>
  <si>
    <t>IREX V Diversified Portfolio DST</t>
  </si>
  <si>
    <t>Diversified</t>
  </si>
  <si>
    <t>Charlotte, NC &amp; West Columbia, SC</t>
  </si>
  <si>
    <t>NC, SC</t>
  </si>
  <si>
    <t>IREX V Diversified Portfolio DST is a $97.6 million all-cash, zero-debt Delaware Statutory Trust sponsored by Invesco Real Estate (a unit of Invesco Ltd.) and tied to Invesco Real Estate Income Trust (INREIT). The trust owns two stabilized, income-producing properties: The Elizabeth on Seventh, a mixed-use office and retail building in Charlotte, North Carolina (95.3% leased across 19 tenants), and Gateway One, an industrial facility in West Columbia, South Carolina. With no debt encumbering the properties, the trust projects a 4.50% first-year distribution rising to 5.15% by year 6 (4.82% average), a $250,000 minimum, and a Section 721 exchange option into INREIT.</t>
  </si>
  <si>
    <t>All-cash, zero-debt diversified DST - no refinancing or loan-maturity risk.</t>
  </si>
  <si>
    <t>Two stabilized assets: a 95%-leased Charlotte office/retail building and a West Columbia, SC industrial facility.</t>
  </si>
  <si>
    <t>4.50% first-year distribution rising to 5.15% (4.82% average).</t>
  </si>
  <si>
    <t>Sponsored by Invesco Real Estate; Section 721 exchange option into Invesco Real Estate Income Trust (INREIT).</t>
  </si>
  <si>
    <t>$250,000 minimum; institutional INREIT management.</t>
  </si>
  <si>
    <t>Debt-free structure removes leverage and refinancing risk; institutional Invesco/INREIT sponsorship and 721 optionality; diversification across property types and two Carolinas markets; stabilized, leased assets.</t>
  </si>
  <si>
    <t>Office/retail exposure carries tenant-rollover and sector risk; modest early yield; $250,000 minimum; all-cash structure means no positive leverage; INREIT-affiliated master tenant.</t>
  </si>
  <si>
    <t>A conservative, debt-free diversified DST emphasizing capital preservation and a clean INREIT 721 exit. Office/retail exposure is the main differentiator to weigh against the all-cash safety.</t>
  </si>
  <si>
    <t>The Elizabeth on Seventh (Charlotte, NC) &amp; Gateway One (West Columbia, SC)</t>
  </si>
  <si>
    <t>https://drive.google.com/file/d/1a3GsNR8OxpcCyqvUkVQdSrtbDj9inowi/view?usp=sharing</t>
  </si>
  <si>
    <t>irex-v-diversified-portfolio-dst</t>
  </si>
  <si>
    <t>property-type/diversified</t>
  </si>
  <si>
    <t>NewStar 17 Sweetwater Springs DST</t>
  </si>
  <si>
    <t>NewStar Exchange</t>
  </si>
  <si>
    <t>44.66% LTV</t>
  </si>
  <si>
    <t>Lawrenceville, GA</t>
  </si>
  <si>
    <t>10.25%</t>
  </si>
  <si>
    <t>NewStar 17 Sweetwater Springs DST is a $39.4 million Delaware Statutory Trust offering Sweetwater Springs, a 95-townhome residential community (171,271 sq ft on 7.47 acres) built in 2021 at 1510 Duluth Highway in Lawrenceville, Georgia, in the Atlanta metro. Sponsored by NewStar Exchange - an Atlanta-based, vertically integrated real estate firm founded in 2021 by former Preferred Apartment Communities executives - the trust is capitalized with $21.8 million of equity and a $17.6 million Freddie Mac fixed-rate, interest-only loan at 5.10%. It projects a 4.40% first-year distribution rising to 6.02% by year 10 (4.73% average), with a $100,000 minimum for 1031 investors.</t>
  </si>
  <si>
    <t>95-townhome community built in 2021 in Lawrenceville, GA, in the high-growth Atlanta metro.</t>
  </si>
  <si>
    <t>4.40% first-year distribution rising to 6.02% by year 10 (4.73% average).</t>
  </si>
  <si>
    <t>$17.6M Freddie Mac fixed-rate (5.10%), interest-only loan; 44.7% LTV; roughly 2.06x Year-1 DSCR.</t>
  </si>
  <si>
    <t>Sponsored by NewStar Exchange - Atlanta-based, vertically integrated, founded by former Preferred Apartment Communities (NYSE: APTS) executives.</t>
  </si>
  <si>
    <t>$100,000 minimum (1031); 2021-built townhomes with private garages and smart-home features.</t>
  </si>
  <si>
    <t>Newer (2021) townhome product in a fast-growing Atlanta submarket; long-term fixed-rate agency (Freddie Mac) debt; experienced ex-PAC management team; rising distribution schedule.</t>
  </si>
  <si>
    <t>Newer DST sponsor with a limited DST track record; roughly 10.25% load on equity; no affiliated-REIT 721 exit; smaller single-asset offering; interest-only loan with balloon maturity in 2036.</t>
  </si>
  <si>
    <t>A smaller, growth-oriented Atlanta townhome DST from an experienced-but-new sponsor. The rising yield and 2021 construction appeal to income investors comfortable with a newer sponsor and a single-asset, no-721 structure.</t>
  </si>
  <si>
    <t>NewPoint / Freddie Mac</t>
  </si>
  <si>
    <t>5.10% (Fixed)</t>
  </si>
  <si>
    <t>Sweetwater Springs, 1510 Duluth Highway, Lawrenceville, GA 30043</t>
  </si>
  <si>
    <t>https://drive.google.com/file/d/10tM5R1wEtKi9JwL6x5Y0NSkd2S0wML-v/view?usp=sharing</t>
  </si>
  <si>
    <t>newstar-17-sweetwater-springs-dst</t>
  </si>
  <si>
    <t>sponsors/newstar-exchange</t>
  </si>
  <si>
    <t>The Wyoming Reserve OZ Fund - Offering II</t>
  </si>
  <si>
    <t>The Wyoming Reserve</t>
  </si>
  <si>
    <t>Qualified Opportunity Zone Fund (Corporation)</t>
  </si>
  <si>
    <t>Precious Metals</t>
  </si>
  <si>
    <t>Wyoming</t>
  </si>
  <si>
    <t>WY</t>
  </si>
  <si>
    <t>The Wyoming Reserve OZ Fund - Offering II is a Qualified Opportunity Zone Fund organized as a Wyoming corporation, offering up to $130,788,123 of common stock at $13.25 per share. Unlike a real-estate QOF, its qualified opportunity zone business is a precious-metals enterprise in Wyoming - purchasing and selling gold and silver and providing vaulting, fulfillment, and metal-availability services to commercial and industrial customers. Returns are driven by trading and fee income plus appreciation of metals inventory, with an optional "Smart Liquidity" share-repurchase program (after a one-year lock-up) of up to 1% of shares monthly (12% annually). Investors may defer eligible capital gains to December 31, 2026 and, if shares are held 10 years, eliminate tax on appreciation. Offered to accredited investors under Rule 506(c); $50,000 minimum.</t>
  </si>
  <si>
    <t>Qualified Opportunity Zone Fund (Wyoming corporation) - $130.8M common-stock offering at $13.25/share.</t>
  </si>
  <si>
    <t>Operating QOZ business: precious-metals trading + vaulting/fulfillment services (gold &amp; silver).</t>
  </si>
  <si>
    <t>Optional "Smart Liquidity" share repurchases up to 1%/month (12%/yr) after a 1-year lock-up.</t>
  </si>
  <si>
    <t>QOZ tax benefits: defer gains to 12/31/2026; tax-free appreciation if held 10 years.</t>
  </si>
  <si>
    <t>Accredited investors only (Rule 506(c)); $50,000 minimum.</t>
  </si>
  <si>
    <t>Differentiated non-real-estate QOZ exposure (hard-asset precious metals); optional monthly liquidity via share repurchases; full QOZ tax benefits at a low $50k minimum; diversification characteristics of gold &amp; silver.</t>
  </si>
  <si>
    <t>Highly illiquid common stock with no secondary market; returns depend on volatile commodity prices and active inventory management; repurchases are capped (5%/quarter) and not guaranteed; newer operating business with key-person dependence; QOZ tax rules may change.</t>
  </si>
  <si>
    <t>An unusual QOZ vehicle - an operating precious-metals business rather than real estate - pairing gold/silver exposure with opportunity-zone tax deferral/elimination. Suits investors seeking hard-asset diversification and QOZ benefits who can accept commodity volatility and illiquidity; "Smart Liquidity" offers optional, capped monthly redemptions, not guaranteed income.</t>
  </si>
  <si>
    <t>Wyoming (QOZ)</t>
  </si>
  <si>
    <t>https://drive.google.com/file/d/19ToebjpfJVbSuBj-jap6_JRAhSRf8LTH/view?usp=sharing</t>
  </si>
  <si>
    <t>the-wyoming-reserve-oz-fund-offering-ii</t>
  </si>
  <si>
    <t>sponsors/the-wyoming-reserve</t>
  </si>
  <si>
    <t>property-type/opportunity-zone</t>
  </si>
  <si>
    <t>CSRA Opportunity Zone Fund IX, LLC</t>
  </si>
  <si>
    <t>Qualified Opportunity Zone Fund (LLC)</t>
  </si>
  <si>
    <t>Project-level construction (50-70% target)</t>
  </si>
  <si>
    <t>Richmond, VA</t>
  </si>
  <si>
    <t>CSRA Opportunity Zone Fund IX, LLC is a Capital Square-sponsored Qualified Opportunity Zone Fund developing a mixed-use community in the Scott's Addition neighborhood of Richmond, VA - 220 traditional apartments plus 100 furnished apartment-hotel rooms at 1600 Roseneath Road, with construction completion projected in Q2 2027. The fund raises up to $77,395,000 of equity ($1,000 per Investor Unit) alongside project-level construction financing. Investors receive an 11% preferred return on the first $15M of units sold (7% thereafter), followed by return of capital and an 80/20 split. The QOZ structure offers capital-gains deferral to 12/31/2026 (reduced via the fair-market-value provision while under construction) and tax-free appreciation after a 10-year hold. Accredited investors only (Rule 506(c)); $100,000 minimum.</t>
  </si>
  <si>
    <t>Capital Square-sponsored QOZ fund - 220 apartments + 100 apartment-hotel rooms, Scott's Addition, Richmond VA.</t>
  </si>
  <si>
    <t>$77.4M equity raise ($1,000/unit); project-level construction financing; completion projected Q2 2027.</t>
  </si>
  <si>
    <t>11% preferred return on first $15M of units (7% thereafter), then return of capital, then 80/20 split.</t>
  </si>
  <si>
    <t>QOZ tax benefits: deferral to 12/31/2026 (FMV mark-down while under construction) + tax-free gain after 10 years.</t>
  </si>
  <si>
    <t>Accredited investors only (Rule 506(c)); $100,000 minimum; ~10-year hold.</t>
  </si>
  <si>
    <t>Institutional sponsor (Capital Square; $670M+ of OZ development underway) with vertically integrated CS Development; strong infill Richmond submarket; 11%/7% preferred return; full QOZ tax benefits plus the FMV deferral mark-down; lookback provision protecting return of capital.</t>
  </si>
  <si>
    <t>Ground-up development risk (construction cost/schedule, lease-up); no current cash flow during construction; project-level construction-loan leverage; single-asset/single-market concentration; illiquid, long (~10-yr) hold; OZ tax rules may change.</t>
  </si>
  <si>
    <t>A ground-up multifamily/hotel OZ development from an established sponsor in one of Richmond's strongest submarkets, structured for the OZ "two bites at the apple" (FMV-reduced deferral now, tax-free appreciation after 10 years) plus an above-market preferred return. Return depends on executing development and stabilization.</t>
  </si>
  <si>
    <t>Construction loan (project-level)</t>
  </si>
  <si>
    <t>1600 Roseneath Road, Richmond, VA 23230</t>
  </si>
  <si>
    <t>https://drive.google.com/file/d/1vZqeNQWgZQ511nnKFmJLMcbPe4HepiAi/view?usp=sharing</t>
  </si>
  <si>
    <t>csra-opportunity-zone-fund-ix</t>
  </si>
  <si>
    <t>IDEAL Ecco Park DST</t>
  </si>
  <si>
    <t>IDEAL Capital Group</t>
  </si>
  <si>
    <t>51.68% LTV</t>
  </si>
  <si>
    <t>Canal Winchester, OH</t>
  </si>
  <si>
    <t>10.56%</t>
  </si>
  <si>
    <t>IDEAL Ecco Park DST is a $94.5 million Delaware Statutory Trust from IDEAL Capital Group offering Ecco Park, a 360-unit Class A multifamily community completed in 2024 on 23.73 acres at 3461 Huddle Way in Canal Winchester, Ohio, in the Columbus metro. The trust acquired the property for $83 million and placed a $48.86 million Freddie Mac loan fixed at 5.17% for ten years (interest-only through 2031), leaving $45.67 million of equity at a 51.68% LTV. A 15-year, 100% property-tax abatement on the improvements materially reduces operating expenses. The offering is made under Rule 506(c) with a $100,000 minimum for 1031 investors.</t>
  </si>
  <si>
    <t>Newly built (2024) 360-unit Class A multifamily community in the growing Columbus, Ohio metro.</t>
  </si>
  <si>
    <t>15-year, 100% property-tax abatement on improvements that materially lowers operating costs.</t>
  </si>
  <si>
    <t>$48.86M Freddie Mac loan fixed at 5.17% for 10 years, interest-only through 2031; 51.68% LTV.</t>
  </si>
  <si>
    <t>Vertically integrated sponsor (IDEAL Capital Group) focused exclusively on multifamily, with over $3 billion developed or acquired across nine states.</t>
  </si>
  <si>
    <t>$100,000 minimum (1031) / $25,000 (cash); offered under Rule 506(c).</t>
  </si>
  <si>
    <t>Brand-new 2024 construction with minimal near-term capex; 15-year tax abatement boosts net cash flow; fixed-rate agency (Freddie Mac) debt with an interest-only period through 2031; growing, lower-cost Columbus market.</t>
  </si>
  <si>
    <t>Recently delivered asset still stabilizing occupancy; leverage adds refinance risk at the 2036 loan maturity; single-asset, single-market concentration; standalone multifamily sponsor without an affiliated REIT for a 721 exit; projected distribution schedule not yet posted.</t>
  </si>
  <si>
    <t>A leveraged, income-oriented Class A multifamily DST in a growing Midwest market where a 15-year, 100% tax abatement is the key differentiator. Best suited to 1031 investors comfortable with a newer asset and a single-market, no-721 structure.</t>
  </si>
  <si>
    <t>Walker &amp; Dunlop / Freddie Mac</t>
  </si>
  <si>
    <t>5.17% (Fixed)</t>
  </si>
  <si>
    <t>3461 Huddle Way, Canal Winchester, OH 43110</t>
  </si>
  <si>
    <t>https://drive.google.com/file/d/1-bmZOvUfrugWnT-qb7UQapLdhCEh9Pt9/view?usp=sharing</t>
  </si>
  <si>
    <t>ideal-ecco-park-dst</t>
  </si>
  <si>
    <t>sponsors/ideal-capital-group</t>
  </si>
  <si>
    <t>BREX Net Lease Data Center I DST</t>
  </si>
  <si>
    <t>39.80% LTV</t>
  </si>
  <si>
    <t>Sunnyvale, CA</t>
  </si>
  <si>
    <t>CA</t>
  </si>
  <si>
    <t>BREX Net Lease Data Center I DST is a $98.0 million Delaware Statutory Trust from Brookfield (Brookfield Real Estate Exchange) offering 255 Caspian Drive, a Tier III single-tenant data center totaling 119,756 square feet (6.5 MW of critical IT capacity) in Sunnyvale, California, in the heart of Silicon Valley. The facility is net-leased to Equinix (S&amp;P: BBB+) with 4.4% annual rent increases and a master lease running to 2046; the trust is capitalized with $58.98 million of equity and $39.0 million of debt fixed via hedge at 5.25% through 2031, a 39.8% LTV. A 721 UPREIT exchange option into a Brookfield REIT may be available at the sponsor's discretion. The offering is made under Rule 506(c) with a $100,000 minimum.</t>
  </si>
  <si>
    <t>Tier III single-tenant data center (119,756 sq ft, 6.5 MW) in Sunnyvale, the core of Silicon Valley.</t>
  </si>
  <si>
    <t>Net-leased to investment-grade Equinix (S&amp;P: BBB+) with 4.4% annual rent increases.</t>
  </si>
  <si>
    <t>$39.0M loan fixed via hedge at 5.25% through 2031; 39.8% LTV; long master lease to 2046.</t>
  </si>
  <si>
    <t>Sponsored by Brookfield, one of the world's largest real estate investors, via its BREX 1031 platform.</t>
  </si>
  <si>
    <t>$100,000 minimum; optional 721 UPREIT exchange into a Brookfield REIT at the sponsor's discretion.</t>
  </si>
  <si>
    <t>Investment-grade single-tenant credit (Equinix); contractual 4.4% annual rent growth; moderate 39.8% leverage; scarce Silicon Valley data-center asset benefiting from AI-driven demand; institutional Brookfield sponsorship; 721 optionality.</t>
  </si>
  <si>
    <t>Single-tenant, single-asset concentration (Equinix); remaining base lease term shorter than the hold if renewals are not exercised; loan maturity in 2031 creates refinance risk; data-center obsolescence and technology risk; projected distribution schedule not yet posted.</t>
  </si>
  <si>
    <t>A rare net-leased Silicon Valley data center backed by investment-grade Equinix and institutional Brookfield sponsorship. Suited to 1031 investors seeking credit-tenant, inflation-linked income with 721 optionality, who accept single-tenant concentration and 2031 refinance risk.</t>
  </si>
  <si>
    <t>Institutional (fixed via interest-rate hedge)</t>
  </si>
  <si>
    <t>5.25% (Fixed via hedge)</t>
  </si>
  <si>
    <t>255 Caspian Drive, Sunnyvale, CA 94089</t>
  </si>
  <si>
    <t>https://drive.google.com/file/d/1rJdzAcWfhw8mdJymZ3vyX-OTgnhU9rMr/view?usp=sharing</t>
  </si>
  <si>
    <t>brex-net-lease-data-center-i-dst</t>
  </si>
  <si>
    <t>Label</t>
  </si>
  <si>
    <t>File</t>
  </si>
  <si>
    <t>Gated?</t>
  </si>
  <si>
    <t>Private Placement Memorandum (PPM)</t>
  </si>
  <si>
    <t>https://drive.google.com/file/d/1MwIlrSy2YzfK6WMdsA4OGHHbp1whl-hx/view?usp=drivesdk</t>
  </si>
  <si>
    <t>No</t>
  </si>
  <si>
    <t>Investment Brochure</t>
  </si>
  <si>
    <t>https://drive.google.com/file/d/17LgvlT-Cg3VfFXAY7Tphbb_lj3Jd0_Vz/view?usp=drivesdk</t>
  </si>
  <si>
    <t>Fact Sheet / Teaser</t>
  </si>
  <si>
    <t>https://drive.google.com/file/d/1JQ2itTnW3UUL-5mPL5gBrSH_zUkH4rkS/view?usp=drivesdk</t>
  </si>
  <si>
    <t>https://drive.google.com/file/d/1jJsc_bgdXbIyP0Ons21Xa0S6YU4jbI4I/view?usp=drivesdk</t>
  </si>
  <si>
    <t>https://drive.google.com/file/d/1Y7xBJsUpkF2jpZo67AnJungpf8vPY-Gk/view?usp=drivesdk</t>
  </si>
  <si>
    <t>https://drive.google.com/file/d/1yDsOVV79Y9h7SfgZyXmhZuXtnI2BgSmK/view?usp=drivesdk</t>
  </si>
  <si>
    <t>https://drive.google.com/file/d/1uez1V1dSbJrAg4Wn2B468CLLk_7YV2Nm/view?usp=drivesdk</t>
  </si>
  <si>
    <t>https://drive.google.com/file/d/1MXb4ER6kURl8-FWCYHTQa8IXqXo2vvKW/view?usp=drivesdk</t>
  </si>
  <si>
    <t>https://drive.google.com/file/d/1Xlh58Di85PUwokZaWyX994VGVkMuB6xH/view?usp=drivesdk</t>
  </si>
  <si>
    <t>https://drive.google.com/file/d/1HAh9TVW17Ya-hMaluyTGUzRYnuxV-PSw/view?usp=drivesdk</t>
  </si>
  <si>
    <t>https://drive.google.com/file/d/1gCpTE6GTk7d1O8yhiOzp47DBv6AM-Zv2/view?usp=drivesdk</t>
  </si>
  <si>
    <t>Term Sheet</t>
  </si>
  <si>
    <t>https://drive.google.com/file/d/112R39PlNQr6jLulVctKCXpl56I1wRZrP/view?usp=drivesdk</t>
  </si>
  <si>
    <t>https://drive.google.com/file/d/1iLTEDanZw2FNqC3Nbti60CsF9KMdkE1P/view?usp=drivesdk</t>
  </si>
  <si>
    <t>https://drive.google.com/file/d/1rQqwqZUl-WmVudLNaE8iPTBi1cN629nv/view?usp=drivesdk</t>
  </si>
  <si>
    <t>https://drive.google.com/file/d/1TU6QW9EnrLVRunS-ozl23V8McSBU4sNj/view?usp=drivesdk</t>
  </si>
  <si>
    <t>https://drive.google.com/file/d/1Ngtg88rv_Ufu7qPLalbCMaLRrZPqyHpW/view?usp=drivesdk</t>
  </si>
  <si>
    <t>Property Supplement</t>
  </si>
  <si>
    <t>https://drive.google.com/file/d/1ZLBXPAzwZfNZt5ESKYWZYAzitcys1KY4/view?usp=drivesdk</t>
  </si>
  <si>
    <t>https://drive.google.com/file/d/1CJuU_jKHxAlOGzv36B6En8h_c0Lx1nFU/view?usp=drivesdk</t>
  </si>
  <si>
    <t>Private Placement Memorandum (PPM) (Compiled - PPM + Property Supplement)</t>
  </si>
  <si>
    <t>https://drive.google.com/file/d/1ljIq1fM7ZceJU5ceDTMVQpXjvBaIRFwK/view?usp=drivesdk</t>
  </si>
  <si>
    <t>https://drive.google.com/file/d/1AUUdOqu1q2cHBgLBhh-8Hwhxk5h_BU-g/view?usp=drivesdk</t>
  </si>
  <si>
    <t>https://drive.google.com/file/d/1hwMpxsu37NGzYmEC4GMG3wSTsLKNjpLZ/view?usp=drivesdk</t>
  </si>
  <si>
    <t>https://drive.google.com/file/d/1Hi_WFlqiAxOyE6uSYAX6nBxt1RpzsDB8/view?usp=drivesdk</t>
  </si>
  <si>
    <t>Market Insights</t>
  </si>
  <si>
    <t>https://drive.google.com/file/d/1V3C7QYPZw6MAE3e-yX6130oV8gvxYS2A/view?usp=drivesdk</t>
  </si>
  <si>
    <t>https://drive.google.com/file/d/1gU9GX_aXYbXhSdI0cEQOO52X47QUgZqa/view?usp=drivesdk</t>
  </si>
  <si>
    <t>https://drive.google.com/file/d/11g3UD1Gfynu7IKiLXl9RhdMaj9tg8GOT/view?usp=drivesdk</t>
  </si>
  <si>
    <t>PPM Supplement 1</t>
  </si>
  <si>
    <t>https://drive.google.com/file/d/1WIP1WcRs9Tm8BvzJC74eyb6uuRDDqq0Y/view?usp=drivesdk</t>
  </si>
  <si>
    <t>PPM Supplement 2</t>
  </si>
  <si>
    <t>https://drive.google.com/file/d/17NmexRJksTRx1cmVP3OarFovMQ6AbCwx/view?usp=drivesdk</t>
  </si>
  <si>
    <t>PPM Supplement 3</t>
  </si>
  <si>
    <t>https://drive.google.com/file/d/1lhwe6gFHltTm5WohbI3QXfV-ii43IFjn/view?usp=drivesdk</t>
  </si>
  <si>
    <t>https://drive.google.com/file/d/1eK9mnLpZlWp1a-zLbsoB_wmRaSbfYLnS/view?usp=drivesdk</t>
  </si>
  <si>
    <t>https://drive.google.com/file/d/1xa5gqQc32UbGZuU3pF8aztZ0xcDPNhB5/view?usp=drivesdk</t>
  </si>
  <si>
    <t>https://drive.google.com/file/d/1p9exG6mwz_BX17s8dGnPrVeEWuDVuz-1/view?usp=drivesdk</t>
  </si>
  <si>
    <t>Executive Summary</t>
  </si>
  <si>
    <t>https://drive.google.com/file/d/11MLV1_TDGqIvz8dgNDRj8S1wCfnsTFKs/view?usp=drivesdk</t>
  </si>
  <si>
    <t>https://drive.google.com/file/d/1ZFFERljWjhzqB4qU_UP3T0as_Tp_ngYF/view?usp=drivesdk</t>
  </si>
  <si>
    <t>https://drive.google.com/file/d/1VER27SqLotlMWFVr4GHF6LmMdUNq5gpb/view?usp=drivesdk</t>
  </si>
  <si>
    <t>https://drive.google.com/file/d/1BnkXIQ0XYhSBkkUN9JxP26d6AIMAhpi0/view?usp=drivesdk</t>
  </si>
  <si>
    <t>https://drive.google.com/file/d/13ILL9z8efyICBWqQlrkBMqI8G5Fy3-s2/view?usp=drivesdk</t>
  </si>
  <si>
    <t>PPM Supplement 4</t>
  </si>
  <si>
    <t>https://drive.google.com/file/d/1ZS5Wyb5zoemamBulyOEV9wVBOxy59pwc/view?usp=drivesdk</t>
  </si>
  <si>
    <t>https://drive.google.com/file/d/1Bg9V1ax0qsdKOU76EUl9LKpVd4oQ4Xaw/view?usp=drivesdk</t>
  </si>
  <si>
    <t>https://drive.google.com/file/d/1X2IHH-twbPlEoZO580twOTtTrOFKqrEs/view?usp=drivesdk</t>
  </si>
  <si>
    <t>https://drive.google.com/file/d/1mhnABtyz-PbmN2S93Xrx-B-pGy4IJLM_/view?usp=drivesdk</t>
  </si>
  <si>
    <t>https://drive.google.com/file/d/1pGoWTlkbML65Dnt_NEw4tF3iSN076kL0/view?usp=drivesdk</t>
  </si>
  <si>
    <t>https://drive.google.com/file/d/1Gu3FvQN0V3BISB_p6l52t4AATvhC5mpl/view?usp=drivesdk</t>
  </si>
  <si>
    <t>https://drive.google.com/file/d/140NBJ9316OIvKuIKJizF2lAJDpBE7Q3I/view?usp=drivesdk</t>
  </si>
  <si>
    <t>https://drive.google.com/file/d/161lu15xhrAq_7oto7_zpcEUhQn-F-uHI/view?usp=drivesdk</t>
  </si>
  <si>
    <t>https://drive.google.com/file/d/1vn-ikv8aGVGjmFH2zbrlGCiiCa-AWAIa/view?usp=drivesdk</t>
  </si>
  <si>
    <t>https://drive.google.com/file/d/1NshAmRlqTgFbMetBzWL9mK1inXL73Lb5/view?usp=drivesdk</t>
  </si>
  <si>
    <t>https://drive.google.com/file/d/1sNhtVCKsbLSXR_A82bs_vjFdZrQEuLhr/view?usp=drivesdk</t>
  </si>
  <si>
    <t>https://drive.google.com/file/d/1u6bjRoNgQPWnTSo9c5G_nf2vAiS6JHmW/view?usp=drivesdk</t>
  </si>
  <si>
    <t>https://drive.google.com/file/d/1e20KcMiSk8tEjXNvau2Ggk2DQqZ2l364/view?usp=drivesdk</t>
  </si>
  <si>
    <t>https://drive.google.com/file/d/14I0SrPzBGW8wqbs6rJAlhAkSHZfrU3bI/view?usp=drivesdk</t>
  </si>
  <si>
    <t>https://drive.google.com/file/d/1p8GD6yc8V1fCbBRvuCDhGPnWTFcJidZl/view?usp=drivesdk</t>
  </si>
  <si>
    <t>https://drive.google.com/file/d/1ltIkEQQWUMuTHRVIKllnJf35i9s4NINv/view?usp=drivesdk</t>
  </si>
  <si>
    <t>https://drive.google.com/file/d/17kklIUbAJy9USBZNlg-ydfCdvz8eqc_2/view?usp=drivesdk</t>
  </si>
  <si>
    <t>https://drive.google.com/file/d/1NiEZoneJfzgKUpfXPk4fQPuOiD_O0FxP/view?usp=drivesdk</t>
  </si>
  <si>
    <t>PPM Supplement 5</t>
  </si>
  <si>
    <t>https://drive.google.com/file/d/16MRSZECmwtiwaIHKItLX0MyUXP-rk0G1/view?usp=drivesdk</t>
  </si>
  <si>
    <t>PPM Supplement 6</t>
  </si>
  <si>
    <t>https://drive.google.com/file/d/12L_jjb0v_RUX4dQLAObwZf3yxPfqNArA/view?usp=drivesdk</t>
  </si>
  <si>
    <t>PPM Supplement 7</t>
  </si>
  <si>
    <t>https://drive.google.com/file/d/11kCM8eJLUw3uzBK5kr2R-626n2IhoBiW/view?usp=drivesdk</t>
  </si>
  <si>
    <t>PPM Supplement 8</t>
  </si>
  <si>
    <t>https://drive.google.com/file/d/1O-oh0yVzp8x1VEprdoYnSAPb2KeyAd2I/view?usp=drivesdk</t>
  </si>
  <si>
    <t>PPM Supplement 9</t>
  </si>
  <si>
    <t>https://drive.google.com/file/d/1O4Q3wmKe3kfq0ocI-exemBMcSUEsYzih/view?usp=drivesdk</t>
  </si>
  <si>
    <t>PPM Supplement 10</t>
  </si>
  <si>
    <t>https://drive.google.com/file/d/1AfmoDgo8_ExMT9ou0rloWvZ5jz8bheY3/view?usp=drivesdk</t>
  </si>
  <si>
    <t>PPM Supplement 11</t>
  </si>
  <si>
    <t>https://drive.google.com/file/d/1s3_eGBLHW4F1aZ934DF_T-kgaBdMbFTI/view?usp=drivesdk</t>
  </si>
  <si>
    <t>https://drive.google.com/file/d/1FZuztpex129Xvrn2-jmIqHEMuUekD24c/view?usp=drivesdk</t>
  </si>
  <si>
    <t>https://drive.google.com/file/d/1yVTtNwZxicp-ZTv8Wq_BAf6zhPUEiunq/view?usp=drivesdk</t>
  </si>
  <si>
    <t>https://drive.google.com/file/d/1UmZAuVbZYF-7iRuEHih3cG1FvF1xuB-l/view?usp=drivesdk</t>
  </si>
  <si>
    <t>https://drive.google.com/file/d/1JLtTcAaftyQtpBeXd9AOuZQkkMkOTTaa/view?usp=drivesdk</t>
  </si>
  <si>
    <t>https://drive.google.com/file/d/130EatwQME7A4H3Vu8HOTbAGbkcbMJE5O/view?usp=drivesdk</t>
  </si>
  <si>
    <t>https://drive.google.com/file/d/1oqj4FCss6h3gvKgf_-Ijw6Cmv8qaCj_g/view?usp=drivesdk</t>
  </si>
  <si>
    <t>https://drive.google.com/file/d/1aTZPGPHmLZUyXfy--LDprssVHtoAdNqn/view?usp=drivesdk</t>
  </si>
  <si>
    <t>https://drive.google.com/file/d/1v79ZxaxGNUc8Nif8C0h5msoRYPiAkqkn/view?usp=drivesdk</t>
  </si>
  <si>
    <t>https://drive.google.com/file/d/1hcCGLTfaeGfiWI_eY8A87kODIMWrHpoU/view?usp=drivesdk</t>
  </si>
  <si>
    <t>https://drive.google.com/file/d/1U2LJbsEmwzVNX6bhCUpELdnWApxDVxa0/view?usp=drivesdk</t>
  </si>
  <si>
    <t>https://drive.google.com/file/d/1JICKHrB-dDKEuuWR74hdzjduZeJpEwPJ/view?usp=drivesdk</t>
  </si>
  <si>
    <t>https://drive.google.com/file/d/14mu2ha8PHAFfYLQleWdclP2wHOBLG0_M/view?usp=drivesdk</t>
  </si>
  <si>
    <t>https://drive.google.com/file/d/1i5D1TcG_QLkq8Dj_Z4sK0TSCDI6AhTod/view?usp=drivesdk</t>
  </si>
  <si>
    <t>https://drive.google.com/file/d/1gbzuK0JNGM6RzZvhddJId4StpQJ-iQsN/view?usp=drivesdk</t>
  </si>
  <si>
    <t>https://drive.google.com/file/d/1o2FBl_r9V2We04fUmaT3dqzjU0tId9gd/view?usp=drivesdk</t>
  </si>
  <si>
    <t>https://drive.google.com/file/d/1n6mQ8e1o4QcpGsvwRuqrizaotzpg-X6Z/view?usp=drivesdk</t>
  </si>
  <si>
    <t>https://drive.google.com/file/d/13ezF4CZmqFTLLOuVdfL0Dioven64GDZI/view?usp=drivesdk</t>
  </si>
  <si>
    <t>https://drive.google.com/file/d/1EPqc2KyWRWJ7BHhLoNHwkK7sOCHCbtQZ/view?usp=drivesdk</t>
  </si>
  <si>
    <t>https://drive.google.com/file/d/111sAV-oM5YY6MMRAqaOCGrlw8fNn8Epj/view?usp=drivesdk</t>
  </si>
  <si>
    <t>https://drive.google.com/file/d/1zZPQOfmpARknwqPssbd1ZCvqdW5ekWqJ/view?usp=drivesdk</t>
  </si>
  <si>
    <t>https://drive.google.com/file/d/1gmSooRQAeWCnUYYWcWySgnjq9PceQnfH/view?usp=drivesdk</t>
  </si>
  <si>
    <t>https://drive.google.com/file/d/17Jo39_o8b0jr48cQbAG2N4q3EkBNmRUM/view?usp=drivesdk</t>
  </si>
  <si>
    <t>https://drive.google.com/file/d/1Nt4i_5s1Gn6XD_CHdsfRWXC2JGbauNwY/view?usp=drivesdk</t>
  </si>
  <si>
    <t>https://drive.google.com/file/d/1tKnvbkramE8z7kBN5XeL4KZbMW4UZ9y_/view?usp=drivesdk</t>
  </si>
  <si>
    <t>https://drive.google.com/file/d/1aCQRKKFtUvEt4gbqGyJKxZKTOn3rGgEL/view?usp=drivesdk</t>
  </si>
  <si>
    <t>https://drive.google.com/file/d/1r5bfTXTaa0vPpSkzgNBt_JbajMZbcEt9/view?usp=drivesdk</t>
  </si>
  <si>
    <t>Presentation Deck</t>
  </si>
  <si>
    <t>https://drive.google.com/file/d/1O_EyNYbvnQnyMx3t5KUJRWulEwWPAS-B/view?usp=drivesdk</t>
  </si>
  <si>
    <t>https://drive.google.com/file/d/1Vf6S3I6N74SjA56XEtu1er7kQAWqAUvN/view?usp=drivesdk</t>
  </si>
  <si>
    <t>PPM Financial Supplement</t>
  </si>
  <si>
    <t>https://drive.google.com/file/d/155Ezz-PrJ1u2Vzpwil4ADmUM9i0md4sC/view?usp=drivesdk</t>
  </si>
  <si>
    <t>https://drive.google.com/file/d/1qDtPUwgiw9xAN4DqT21PvJzGScwCykJ3/view?usp=drivesdk</t>
  </si>
  <si>
    <t>https://drive.google.com/file/d/1Ms-GFk7dMLd4mZalCAxvGXl-gYdRZXp3/view?usp=drivesdk</t>
  </si>
  <si>
    <t>https://drive.google.com/file/d/1rWHX8ZXAK1JjNWAgvSG9WPRFtMO99ZOQ/view?usp=drivesdk</t>
  </si>
  <si>
    <t>https://drive.google.com/file/d/1SOdQKmYl0j7MOHBaLoFIQVbcuz9ZqUxI/view?usp=drivesdk</t>
  </si>
  <si>
    <t>Video Link</t>
  </si>
  <si>
    <t>https://drive.google.com/file/d/1l0HxtFZ1c-eGFh6Z6gKyNyCeY7hevqlc/view?usp=drivesdk</t>
  </si>
  <si>
    <t>https://drive.google.com/file/d/123A_JpAovzaDRbusueBSjRybheE752pj/view?usp=drivesdk</t>
  </si>
  <si>
    <t>https://drive.google.com/file/d/1Le5uUZKyKwBnUUZbmVRhoBb2DKIKORNk/view?usp=drivesdk</t>
  </si>
  <si>
    <t>https://drive.google.com/file/d/1hOk7AZ7kPUxXwbOrUKfa1p9-5sKi17yl/view?usp=drivesdk</t>
  </si>
  <si>
    <t>https://drive.google.com/file/d/1__QNWeYz59_xXyuuva4-w-Lh-DTgbSTv/view?usp=drivesdk</t>
  </si>
  <si>
    <t>https://drive.google.com/file/d/1fCGl8daAgz3oeTfD-xUZn_h4cVu1eJIt/view?usp=drivesdk</t>
  </si>
  <si>
    <t>https://drive.google.com/file/d/18yh91GRSbYaJFS_vbseiNc_NQd87kMx-/view?usp=drivesdk</t>
  </si>
  <si>
    <t>Private Placement Memorandum (PPM) (SAMPLE - only copy)</t>
  </si>
  <si>
    <t>https://drive.google.com/file/d/1dy4FeFGoVahGLGTbqfcx6itvug9rx3-5/view?usp=drivesdk</t>
  </si>
  <si>
    <t>https://drive.google.com/file/d/1tpH2NsL-59pnMcv3-GswYO-VManKg08O/view?usp=drivesdk</t>
  </si>
  <si>
    <t>https://drive.google.com/file/d/1Wtml0LBIMJZlmO2JgGgw0lppyOCJpIB9/view?usp=drivesdk</t>
  </si>
  <si>
    <t>https://drive.google.com/file/d/1SXHsGyMj0AyrP4YVDSyxyCgQ91AY-hZY/view?usp=drivesdk</t>
  </si>
  <si>
    <t>https://drive.google.com/file/d/1WVqdbiaFM40wTcO2h7KnlRUNBaVmd3KF/view?usp=drivesdk</t>
  </si>
  <si>
    <t>https://drive.google.com/file/d/1othdSzCT6zm_oXEERgfzHZwWaQTEZqUD/view?usp=drivesdk</t>
  </si>
  <si>
    <t>https://drive.google.com/file/d/18g5sM5Q7j8bmdSj0Jqi6HTMrX9Az3Y6S/view?usp=drivesdk</t>
  </si>
  <si>
    <t>https://drive.google.com/file/d/1Q3E6gOlqNq-cPnectcRfUVI-IzT0f-p3/view?usp=drivesdk</t>
  </si>
  <si>
    <t>Purchase Agreement / Questionnaire</t>
  </si>
  <si>
    <t>https://drive.google.com/file/d/1lOrFtFwG-Yo9NENrB9ytYJ9F0uYBcrKN/view?usp=drivesdk</t>
  </si>
  <si>
    <t>https://drive.google.com/file/d/1PGtKFQjjjUnbO_bnKbK7A61OiFrpyJ5Y/view?usp=drivesdk</t>
  </si>
  <si>
    <t>https://drive.google.com/file/d/1DmvHPF3dsu6sAGXZ8-8gypYAdqSBRa-I/view?usp=drivesdk</t>
  </si>
  <si>
    <t>https://drive.google.com/file/d/1yKvgptMZHDHZVJwy_X13Fd551mVA9nmi/view?usp=drivesdk</t>
  </si>
  <si>
    <t>https://drive.google.com/file/d/10V_kFHr7d9Idkbpsadsl3A-y25pP5bzN/view?usp=drivesdk</t>
  </si>
  <si>
    <t>https://drive.google.com/file/d/1JibBrL85DGzzUNmr4F0guAXApvtP0tVi/view?usp=drivesdk</t>
  </si>
  <si>
    <t>https://drive.google.com/file/d/1RAAYY6QjUqAoJcf0mkoMBi0s2fGEX55S/view?usp=drivesdk</t>
  </si>
  <si>
    <t>https://drive.google.com/file/d/1f-uWrE_sJLzC-rxt8ilomIGdNNoZsefg/view?usp=drivesdk</t>
  </si>
  <si>
    <t>https://drive.google.com/file/d/147ZMdrDdzNN_m3wrjFzaja8P8Rdi36IH/view?usp=drivesdk</t>
  </si>
  <si>
    <t>https://drive.google.com/file/d/1laPxkgL2XnpgTw7xihRosQc5JvJVLPV8/view?usp=drivesdk</t>
  </si>
  <si>
    <t>https://drive.google.com/file/d/1VmX5w3Tmuh7nnC-eSA044myKnydrCeWz/view?usp=drivesdk</t>
  </si>
  <si>
    <t>https://drive.google.com/file/d/1L57c6Vvy-vu0l-x7c5YhQT_fy2k031Wy/view?usp=sharing</t>
  </si>
  <si>
    <t>https://drive.google.com/file/d/1W8RFxcdANIFuWHtok8w73oDOb2W1sGuL/view?usp=sharing</t>
  </si>
  <si>
    <t>https://drive.google.com/file/d/1HDTaGBJjUB_WoblDd_TksvI3o1Hy9Is3/view?usp=drive_link</t>
  </si>
  <si>
    <t>https://drive.google.com/file/d/1N2PXzDlIGsWE7phFzK_u-qMHblfjYQbk/view?usp=drive_link</t>
  </si>
  <si>
    <t>Brochure</t>
  </si>
  <si>
    <t>https://drive.google.com/file/d/1uNyKphwNezMK1Lm4Hqcm5IPzWr_jtlyF/view?usp=drive_link</t>
  </si>
  <si>
    <t>Private Placement Memorandum</t>
  </si>
  <si>
    <t>https://drive.google.com/file/d/16cd8pC_b-WS59ewsU42d45tkqd91Ofjy/view?usp=drive_link</t>
  </si>
  <si>
    <t>https://drive.google.com/file/d/14Pqs5RNbk1lH4QQRDfue8a6LtwTYgn3a/view?usp=drive_link</t>
  </si>
  <si>
    <t>https://drive.google.com/file/d/1Ho3sp3QU20pMFd8Mk02v8Jq4noM9J2vS/view?usp=drive_link</t>
  </si>
  <si>
    <t>https://drive.google.com/file/d/1Wxy66dQmdoOZuVCjo_hKqzfpUlDqiCPo/view?usp=drive_link</t>
  </si>
  <si>
    <t>https://drive.google.com/file/d/1m3DKKBLX4nxxwiML4grEKkms2MHbXHVx/view?usp=drive_link</t>
  </si>
  <si>
    <t>Property Video</t>
  </si>
  <si>
    <t>https://vimeo.com/1200835673?fl=ip&amp;fe=ec</t>
  </si>
  <si>
    <t>1031 DST Educational Materials</t>
  </si>
  <si>
    <t>https://drive.google.com/file/d/1kmsbBy5GeCoUt2WyJd7lZN0YQazB5S3B/view?usp=drive_link</t>
  </si>
  <si>
    <t>Sponsor Track Record</t>
  </si>
  <si>
    <t>https://drive.google.com/file/d/1DVh4Y_2HIwxxG5kQ2UEMhENtgjceEuAo/view?usp=drive_link</t>
  </si>
  <si>
    <t>Sponsor Corporate Brochure</t>
  </si>
  <si>
    <t>https://drive.google.com/file/d/1ymHvGXPa2EDXrtaLIOL3bXe35d3ePzhL/view?usp=drive_link</t>
  </si>
  <si>
    <t>Prospectus</t>
  </si>
  <si>
    <t>https://drive.google.com/file/d/1NKZGajoUppsPN7EpIy792zlSRlqMqvS8/view?usp=sharing</t>
  </si>
  <si>
    <t>Prospectus Supplement #1</t>
  </si>
  <si>
    <t>https://drive.google.com/file/d/1_Mv1C1vftMvjL-b_hEC2GscktH27godY/view?usp=sharing</t>
  </si>
  <si>
    <t>https://drive.google.com/file/d/1buJaSmOkB6fv3Mf55xzh_fq168E3Bp2g/view?usp=sharing</t>
  </si>
  <si>
    <t>https://drive.google.com/file/d/1BdT4eA6pG3sl79CSo4SGkqCNDiC6fJ_Q/view?usp=sharing</t>
  </si>
  <si>
    <t>https://drive.google.com/file/d/1kt25sCbp50oQnXB3GqJGYt2mo4rAdwng/view?usp=sharing</t>
  </si>
  <si>
    <t>https://drive.google.com/file/d/1UuTNJpT3z4GNIFH5DXoAdbp4rIOkybXk/view?usp=sharing</t>
  </si>
  <si>
    <t>https://drive.google.com/file/d/1PnvJ5SvA9vCA9Od3xD6bJApfs1CRNA1k/view?usp=sharing</t>
  </si>
  <si>
    <t>https://drive.google.com/file/d/1si1xgFOzfITn2O9e0qOgJp1xHRWOLlW1/view?usp=sharing</t>
  </si>
  <si>
    <t>https://drive.google.com/file/d/16XNzQebXdboPMhUFLivy6Qzx24BHf9hR/view?usp=sharing</t>
  </si>
  <si>
    <t>White Paper</t>
  </si>
  <si>
    <t>https://drive.google.com/file/d/1DAXxlelTPUYaynncNzxbdz8h5GNWL8J6/view?usp=sharing</t>
  </si>
  <si>
    <t>https://drive.google.com/file/d/1vIgBWbyp3fUPL6nPibYonP9PYfkfg4um/view?usp=sharing</t>
  </si>
  <si>
    <t>Pitch Deck</t>
  </si>
  <si>
    <t>https://drive.google.com/file/d/1i9yQdw0pS1JdLf2CXPpTSZk2Ild6fFfj/view?usp=sharing</t>
  </si>
  <si>
    <t>https://drive.google.com/file/d/1Hl6i-tcrWUPIHhD_eZgPCyL2aSROcCUv/view?usp=sharing</t>
  </si>
  <si>
    <t>https://drive.google.com/file/d/1iM4SGawIBGCNlry2e9YmxFPSQPkfyRIQ/view?usp=sharing</t>
  </si>
  <si>
    <t>2026 Q1 Report</t>
  </si>
  <si>
    <t>https://drive.google.com/file/d/14YJHIDf-zV-4_76nVjmPSm0NIoxFeoSB/view?usp=sharing</t>
  </si>
  <si>
    <t>https://drive.google.com/file/d/1SSlSDbup3B0_MbTuITzeFMCjwEN3G_Xu/view?usp=sharing</t>
  </si>
  <si>
    <t>Property Tour Video</t>
  </si>
  <si>
    <t>https://drive.google.com/file/d/1Y0QkHtklf_NWOD2ky34JXc3L2O9ATFyN/view?usp=sharing</t>
  </si>
  <si>
    <t>https://drive.google.com/file/d/1x-jbcPdlV-5i8rELrw4MU_NdzSO-q8tC/view?usp=sharing</t>
  </si>
  <si>
    <t>https://drive.google.com/file/d/1u31ugG6s2qTRllhQGf7ZbPlvWjzK8vKP/view?usp=sharing</t>
  </si>
  <si>
    <t>https://drive.google.com/file/d/16tkiNgAJivsOsqYsQWsnB0bmqVietyHn/view?usp=sharing</t>
  </si>
  <si>
    <t>Average Max</t>
  </si>
  <si>
    <t>Average Growth</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</si>
</sst>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
    <numFmt numFmtId="165" formatCode="M/d/yyyy"/>
    <numFmt numFmtId="166" formatCode="#,### &quot;Deals&quot;"/>
    <numFmt numFmtId="167" formatCode="#.##x"/>
    <numFmt numFmtId="168" formatCode="#,###.## &quot;Years&quot;"/>
    <numFmt numFmtId="169" formatCode="[&gt;=1000000000000]$0.00,,,,&quot;T&quot;;[&gt;=1000000000]$0.00,,,&quot;B&quot;;$0.00,,&quot;M&quot;"/>
    <numFmt numFmtId="170" formatCode="#,##0 &quot;Deals&quot;"/>
    <numFmt numFmtId="171" formatCode="[&gt;=1000000000000]$0.0#,,,,\T;[&gt;=1000000000]$0.0#,,,\B;$0.0#,,\M"/>
  </numFmts>
  <fonts count="7">
    <font>
      <sz val="10.0"/>
      <color rgb="FF000000"/>
      <name val="Arial"/>
      <scheme val="minor"/>
    </font>
    <font>
      <b/>
      <color theme="1"/>
      <name val="Arial"/>
      <scheme val="minor"/>
    </font>
    <font>
      <color theme="1"/>
      <name val="Arial"/>
      <scheme val="minor"/>
    </font>
    <font>
      <u/>
      <color rgb="FF0000FF"/>
    </font>
    <font>
      <u/>
      <color rgb="FF0000FF"/>
    </font>
    <font>
      <u/>
      <color rgb="FF0000FF"/>
    </font>
    <font>
      <sz val="10.0"/>
      <color rgb="FF2E4250"/>
      <name val="&quot;Roboto FlexVariable&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0" xfId="0" applyAlignment="1" applyFont="1" applyNumberFormat="1">
      <alignment readingOrder="0"/>
    </xf>
    <xf borderId="0" fillId="0" fontId="2" numFmtId="49" xfId="0" applyAlignment="1" applyFont="1" applyNumberFormat="1">
      <alignment readingOrder="0"/>
    </xf>
    <xf borderId="0" fillId="0" fontId="2" numFmtId="10" xfId="0" applyFont="1" applyNumberFormat="1"/>
    <xf borderId="0" fillId="0" fontId="3" numFmtId="0" xfId="0" applyAlignment="1" applyFont="1">
      <alignment readingOrder="0"/>
    </xf>
    <xf borderId="0" fillId="0" fontId="2" numFmtId="0" xfId="0" applyAlignment="1" applyFont="1">
      <alignment readingOrder="0"/>
    </xf>
    <xf borderId="0" fillId="0" fontId="4" numFmtId="0" xfId="0" applyFont="1"/>
    <xf borderId="0" fillId="0" fontId="2" numFmtId="0" xfId="0" applyFont="1"/>
    <xf borderId="0" fillId="0" fontId="2" numFmtId="169" xfId="0" applyFont="1" applyNumberFormat="1"/>
    <xf borderId="0" fillId="0" fontId="2" numFmtId="170" xfId="0" applyFont="1" applyNumberFormat="1"/>
    <xf borderId="0" fillId="0" fontId="2" numFmtId="167" xfId="0" applyFont="1" applyNumberFormat="1"/>
    <xf borderId="0" fillId="0" fontId="2" numFmtId="168" xfId="0" applyFont="1" applyNumberFormat="1"/>
    <xf borderId="0" fillId="0" fontId="5" numFmtId="0" xfId="0" applyAlignment="1" applyFont="1">
      <alignment readingOrder="0"/>
    </xf>
    <xf borderId="0" fillId="2" fontId="6" numFmtId="0" xfId="0" applyAlignment="1" applyFill="1" applyFont="1">
      <alignment horizontal="left" readingOrder="0"/>
    </xf>
    <xf borderId="0" fillId="0" fontId="2" numFmtId="164" xfId="0" applyFont="1" applyNumberFormat="1"/>
    <xf borderId="0" fillId="0" fontId="2" numFmtId="165" xfId="0" applyFont="1" applyNumberFormat="1"/>
    <xf borderId="0" fillId="0" fontId="2" numFmtId="166" xfId="0" applyFont="1" applyNumberFormat="1"/>
    <xf borderId="0" fillId="0" fontId="2" numFmtId="167" xfId="0" applyFont="1" applyNumberFormat="1"/>
    <xf borderId="0" fillId="0" fontId="2" numFmtId="168" xfId="0" applyFont="1" applyNumberFormat="1"/>
    <xf borderId="0" fillId="0" fontId="2" numFmtId="171" xfId="0" applyFont="1" applyNumberFormat="1"/>
    <xf borderId="0" fillId="0" fontId="1" numFmtId="0" xfId="0" applyFont="1"/>
    <xf borderId="0" fillId="0" fontId="2" numFmtId="10" xfId="0" applyFont="1" applyNumberFormat="1"/>
    <xf borderId="0" fillId="0" fontId="2"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h3.googleusercontent.com/d/1sZh6aZNrWY6_Y3TH8p8E8mt65ZNdLj2A=s0" TargetMode="External"/><Relationship Id="rId42" Type="http://schemas.openxmlformats.org/officeDocument/2006/relationships/hyperlink" Target="https://lh3.googleusercontent.com/d/1EL7A8S0seMAymN73emiKqk7wQJKSHHwa=s0" TargetMode="External"/><Relationship Id="rId41" Type="http://schemas.openxmlformats.org/officeDocument/2006/relationships/hyperlink" Target="https://lh3.googleusercontent.com/d/1fyWOqubdt6wUydKZ6R_P95sW0uEU1UY5=s0" TargetMode="External"/><Relationship Id="rId44" Type="http://schemas.openxmlformats.org/officeDocument/2006/relationships/hyperlink" Target="https://lh3.googleusercontent.com/d/1atuBoA7MzJbPGg7GjRbc-2RlWG2viNFO=s0" TargetMode="External"/><Relationship Id="rId43" Type="http://schemas.openxmlformats.org/officeDocument/2006/relationships/hyperlink" Target="https://lh3.googleusercontent.com/d/1wIFzSKE502eyrrgocMUc69TLO-hu9BAN=s0" TargetMode="External"/><Relationship Id="rId46" Type="http://schemas.openxmlformats.org/officeDocument/2006/relationships/hyperlink" Target="https://lh3.googleusercontent.com/d/1ksjBO_AbIAWFfNx3S_i59KGxwqfUMMAg=s0" TargetMode="External"/><Relationship Id="rId45" Type="http://schemas.openxmlformats.org/officeDocument/2006/relationships/hyperlink" Target="https://lh3.googleusercontent.com/d/1gjt9sYqnBK30kafE_NvtEYfA0ru0itwa=s0" TargetMode="External"/><Relationship Id="rId1" Type="http://schemas.openxmlformats.org/officeDocument/2006/relationships/hyperlink" Target="https://drive.google.com/file/d/1UpckdXDq8HJjnUzTg9n_WOvsJA0k1qGf/view?usp=sharing" TargetMode="External"/><Relationship Id="rId2" Type="http://schemas.openxmlformats.org/officeDocument/2006/relationships/hyperlink" Target="https://img.logo.dev/aeifunds.com?token=pk_FIVsDKgZTvCedVXXtt2rEg&amp;size=200&amp;retina=true" TargetMode="External"/><Relationship Id="rId3" Type="http://schemas.openxmlformats.org/officeDocument/2006/relationships/hyperlink" Target="https://drive.google.com/file/d/1-val7swkH1VPNam90f34CrzczJjcQaHO/view?usp=sharing" TargetMode="External"/><Relationship Id="rId4" Type="http://schemas.openxmlformats.org/officeDocument/2006/relationships/hyperlink" Target="https://lh3.googleusercontent.com/d/1GCvzEMexmpTgjlyyGJUhAnO2MFsnLqaV" TargetMode="External"/><Relationship Id="rId9" Type="http://schemas.openxmlformats.org/officeDocument/2006/relationships/hyperlink" Target="http://amazon.com/" TargetMode="External"/><Relationship Id="rId48" Type="http://schemas.openxmlformats.org/officeDocument/2006/relationships/hyperlink" Target="https://lh3.googleusercontent.com/d/1H6yv3uRWH0tvnjoC9GQCiB2a5eZ4XbcP=s0" TargetMode="External"/><Relationship Id="rId47" Type="http://schemas.openxmlformats.org/officeDocument/2006/relationships/hyperlink" Target="https://lh3.googleusercontent.com/d/1FHvMy9UvkQNnVJJAB3S9D06syO_Tnhhk=s0" TargetMode="External"/><Relationship Id="rId49" Type="http://schemas.openxmlformats.org/officeDocument/2006/relationships/hyperlink" Target="https://lh3.googleusercontent.com/d/1QUMo-ojJ7J7Y4l1w4JY-Pw6nf0Jy6byj=s0" TargetMode="External"/><Relationship Id="rId5" Type="http://schemas.openxmlformats.org/officeDocument/2006/relationships/hyperlink" Target="https://drive.google.com/file/d/1SYLj4lsZa73K392bDZMcdABsto2FWap9/view?usp=sharing" TargetMode="External"/><Relationship Id="rId6" Type="http://schemas.openxmlformats.org/officeDocument/2006/relationships/hyperlink" Target="https://drive.google.com/file/d/1DlAEjC2ku2pfRp6bY4ULgY41HtnLzfVb/view?usp=sharing" TargetMode="External"/><Relationship Id="rId7" Type="http://schemas.openxmlformats.org/officeDocument/2006/relationships/hyperlink" Target="https://lh3.googleusercontent.com/d/1c1Pdo3bRQdhIdMVlnFyaF36rQSG-IO1k" TargetMode="External"/><Relationship Id="rId8" Type="http://schemas.openxmlformats.org/officeDocument/2006/relationships/hyperlink" Target="http://amazon.com/" TargetMode="External"/><Relationship Id="rId31" Type="http://schemas.openxmlformats.org/officeDocument/2006/relationships/hyperlink" Target="https://lh3.googleusercontent.com/d/1JkqhF99raEFNfMXb_nl2AaP7PG0Lmh19" TargetMode="External"/><Relationship Id="rId30" Type="http://schemas.openxmlformats.org/officeDocument/2006/relationships/hyperlink" Target="https://drive.google.com/file/d/1rdurO1qY6vAjQAHA6mSQqD7VCN0VgYob/view?usp=sharing" TargetMode="External"/><Relationship Id="rId33" Type="http://schemas.openxmlformats.org/officeDocument/2006/relationships/hyperlink" Target="https://lh3.googleusercontent.com/d/1VRR4CuSy4Ugk4MD0g8dZsdmPGMot8Dcw" TargetMode="External"/><Relationship Id="rId32" Type="http://schemas.openxmlformats.org/officeDocument/2006/relationships/hyperlink" Target="https://drive.google.com/file/d/1TdvSzDrJzQMgl-Pz1Qx4geNikr2Lud4L/view?usp=sharing" TargetMode="External"/><Relationship Id="rId35" Type="http://schemas.openxmlformats.org/officeDocument/2006/relationships/hyperlink" Target="https://lh3.googleusercontent.com/d/1WBZ_e81HmNfZ67lsbHDmQY-7RoDfgTBA" TargetMode="External"/><Relationship Id="rId34" Type="http://schemas.openxmlformats.org/officeDocument/2006/relationships/hyperlink" Target="https://lh3.googleusercontent.com/d/1hVy0pJGp1NBQ7plv-HE83aCQna55A9OR" TargetMode="External"/><Relationship Id="rId37" Type="http://schemas.openxmlformats.org/officeDocument/2006/relationships/hyperlink" Target="https://lh3.googleusercontent.com/d/1B59bXHp6z_7rNJGyHz2lNu_XKF9yhRpn=s0" TargetMode="External"/><Relationship Id="rId36" Type="http://schemas.openxmlformats.org/officeDocument/2006/relationships/hyperlink" Target="https://drive.google.com/file/d/1ksYyUHr3LEBLUD4z68M4E-9x4tScjRNQ/view?usp=sharing" TargetMode="External"/><Relationship Id="rId39" Type="http://schemas.openxmlformats.org/officeDocument/2006/relationships/hyperlink" Target="https://lh3.googleusercontent.com/d/1xcJQo5yqAG5Bx-_ZLkZwe64ruQaIzSq5=s0" TargetMode="External"/><Relationship Id="rId38" Type="http://schemas.openxmlformats.org/officeDocument/2006/relationships/hyperlink" Target="https://lh3.googleusercontent.com/d/1y5lCVcwSGDfdfPH-URuHfCwlJkBVovJ7=s0" TargetMode="External"/><Relationship Id="rId62" Type="http://schemas.openxmlformats.org/officeDocument/2006/relationships/hyperlink" Target="https://drive.google.com/file/d/1a3GsNR8OxpcCyqvUkVQdSrtbDj9inowi/view?usp=sharing" TargetMode="External"/><Relationship Id="rId61" Type="http://schemas.openxmlformats.org/officeDocument/2006/relationships/hyperlink" Target="https://drive.google.com/file/d/1bgeCXzrd6qp98alpeh1TrJxQVWqGWSsZ/view?usp=sharing" TargetMode="External"/><Relationship Id="rId20" Type="http://schemas.openxmlformats.org/officeDocument/2006/relationships/hyperlink" Target="https://drive.google.com/file/d/1omOzSnEon3I7S2NdG3ip_OtT2xqBuTPk/view?usp=sharing" TargetMode="External"/><Relationship Id="rId64" Type="http://schemas.openxmlformats.org/officeDocument/2006/relationships/hyperlink" Target="https://drive.google.com/file/d/19ToebjpfJVbSuBj-jap6_JRAhSRf8LTH/view?usp=sharing" TargetMode="External"/><Relationship Id="rId63" Type="http://schemas.openxmlformats.org/officeDocument/2006/relationships/hyperlink" Target="https://drive.google.com/file/d/10tM5R1wEtKi9JwL6x5Y0NSkd2S0wML-v/view?usp=sharing" TargetMode="External"/><Relationship Id="rId22" Type="http://schemas.openxmlformats.org/officeDocument/2006/relationships/hyperlink" Target="https://drive.google.com/file/d/14TW5JX5X4JShfMJ5Q9ZNuYF-unKL0gGR/view?usp=sharing" TargetMode="External"/><Relationship Id="rId66" Type="http://schemas.openxmlformats.org/officeDocument/2006/relationships/hyperlink" Target="https://drive.google.com/file/d/1-bmZOvUfrugWnT-qb7UQapLdhCEh9Pt9/view?usp=sharing" TargetMode="External"/><Relationship Id="rId21" Type="http://schemas.openxmlformats.org/officeDocument/2006/relationships/hyperlink" Target="https://drive.google.com/file/d/1Nx4bKTXSCLsQW_UJjAC_tb8ONN47gYgq/view?usp=sharing" TargetMode="External"/><Relationship Id="rId65" Type="http://schemas.openxmlformats.org/officeDocument/2006/relationships/hyperlink" Target="https://drive.google.com/file/d/1vZqeNQWgZQ511nnKFmJLMcbPe4HepiAi/view?usp=sharing" TargetMode="External"/><Relationship Id="rId24" Type="http://schemas.openxmlformats.org/officeDocument/2006/relationships/hyperlink" Target="http://2nd.md/" TargetMode="External"/><Relationship Id="rId68" Type="http://schemas.openxmlformats.org/officeDocument/2006/relationships/drawing" Target="../drawings/drawing1.xml"/><Relationship Id="rId23" Type="http://schemas.openxmlformats.org/officeDocument/2006/relationships/hyperlink" Target="https://drive.google.com/file/d/10N4GHnAWC8KnlbWvIyZUmBqbglrQsW8y/view?usp=sharing" TargetMode="External"/><Relationship Id="rId67" Type="http://schemas.openxmlformats.org/officeDocument/2006/relationships/hyperlink" Target="https://drive.google.com/file/d/1rJdzAcWfhw8mdJymZ3vyX-OTgnhU9rMr/view?usp=sharing" TargetMode="External"/><Relationship Id="rId60" Type="http://schemas.openxmlformats.org/officeDocument/2006/relationships/hyperlink" Target="https://drive.google.com/file/d/1g9GfXdmKGzdVtY43HOxezAlDYwVxyij0/view?usp=sharing" TargetMode="External"/><Relationship Id="rId26" Type="http://schemas.openxmlformats.org/officeDocument/2006/relationships/hyperlink" Target="https://drive.google.com/file/d/1pEkFZGQjyKuwlM6n2jKw94ctum63_F7J/view?usp=sharing" TargetMode="External"/><Relationship Id="rId25" Type="http://schemas.openxmlformats.org/officeDocument/2006/relationships/hyperlink" Target="https://drive.google.com/file/d/19iBj6JXIDNgL45jv7TXpEtIPLIzMZmYX/view?usp=sharing" TargetMode="External"/><Relationship Id="rId28" Type="http://schemas.openxmlformats.org/officeDocument/2006/relationships/hyperlink" Target="https://lh3.googleusercontent.com/d/1qqDLDEfk7CZipiD3L_dpqZlctO2fuco0" TargetMode="External"/><Relationship Id="rId27" Type="http://schemas.openxmlformats.org/officeDocument/2006/relationships/hyperlink" Target="https://lh3.googleusercontent.com/d/1i6vBRgzsfRKYr2wFruo6NfXc4vE7Jpvo" TargetMode="External"/><Relationship Id="rId29" Type="http://schemas.openxmlformats.org/officeDocument/2006/relationships/hyperlink" Target="https://lh3.googleusercontent.com/d/1nJEcVKy6pe-PQwabSzXydcOpYDYrvAPr" TargetMode="External"/><Relationship Id="rId51" Type="http://schemas.openxmlformats.org/officeDocument/2006/relationships/hyperlink" Target="https://drive.google.com/file/d/130m6Um_1Bqj3CUHKW9A-eDiNHtXRus3Z/view?usp=sharing" TargetMode="External"/><Relationship Id="rId50" Type="http://schemas.openxmlformats.org/officeDocument/2006/relationships/hyperlink" Target="https://lh3.googleusercontent.com/d/1Sa4h6yRiMxOyIJnqBl10VSA3LRa52Htk=s0" TargetMode="External"/><Relationship Id="rId53" Type="http://schemas.openxmlformats.org/officeDocument/2006/relationships/hyperlink" Target="https://drive.google.com/file/d/1h6xRzEJj6WrKWcYaVK8ZPob2PS14Tx9w/view?usp=sharing" TargetMode="External"/><Relationship Id="rId52" Type="http://schemas.openxmlformats.org/officeDocument/2006/relationships/hyperlink" Target="https://drive.google.com/file/d/170i7qkdzNt5nMjqA3xuswfF2BKEm6Fx-/view?usp=sharing" TargetMode="External"/><Relationship Id="rId11" Type="http://schemas.openxmlformats.org/officeDocument/2006/relationships/hyperlink" Target="https://lh3.googleusercontent.com/d/1xO96McQnNjSgKdvqpX8IjOJbNwbyVxL1" TargetMode="External"/><Relationship Id="rId55" Type="http://schemas.openxmlformats.org/officeDocument/2006/relationships/hyperlink" Target="https://drive.google.com/file/d/1ZacX6uBpIdUQ-EaO6OBjB5tRKFkHTYGv/view?usp=sharing" TargetMode="External"/><Relationship Id="rId10" Type="http://schemas.openxmlformats.org/officeDocument/2006/relationships/hyperlink" Target="https://lh3.googleusercontent.com/d/1AgkmSZx56AVVBdJWPqlDqfYNMqSiQ0sq" TargetMode="External"/><Relationship Id="rId54" Type="http://schemas.openxmlformats.org/officeDocument/2006/relationships/hyperlink" Target="https://drive.google.com/file/d/1BR1drbEjYZc1WEGMyPXpQXfmHowCj9IV/view?usp=sharing" TargetMode="External"/><Relationship Id="rId13" Type="http://schemas.openxmlformats.org/officeDocument/2006/relationships/hyperlink" Target="https://drive.google.com/file/d/1yzlNMlrLLF0QvOpMI1WRQfL2c1xUiGG2/view?usp=sharing" TargetMode="External"/><Relationship Id="rId57" Type="http://schemas.openxmlformats.org/officeDocument/2006/relationships/hyperlink" Target="https://drive.google.com/file/d/1S41XEQMoIj914NT7dgWiHe7K9AzFTOb1/view?usp=sharing" TargetMode="External"/><Relationship Id="rId12" Type="http://schemas.openxmlformats.org/officeDocument/2006/relationships/hyperlink" Target="https://drive.google.com/file/d/1m482JRkcE8IzqWa604lKtvUl4fTBH45F/view?usp=sharing" TargetMode="External"/><Relationship Id="rId56" Type="http://schemas.openxmlformats.org/officeDocument/2006/relationships/hyperlink" Target="https://drive.google.com/file/d/1Z0F6nQ1jT-K7wCiqXGkL_SolWCyHApRw/view?usp=sharing" TargetMode="External"/><Relationship Id="rId15" Type="http://schemas.openxmlformats.org/officeDocument/2006/relationships/hyperlink" Target="https://lh3.googleusercontent.com/d/1D2M3mHX5vm_5EdGcho3-i9Py-KqBqmvv" TargetMode="External"/><Relationship Id="rId59" Type="http://schemas.openxmlformats.org/officeDocument/2006/relationships/hyperlink" Target="https://drive.google.com/file/d/1SgHJtAGl9-PPRpPjPxHpKxUcXxWnXdZP/view?usp=sharing" TargetMode="External"/><Relationship Id="rId14" Type="http://schemas.openxmlformats.org/officeDocument/2006/relationships/hyperlink" Target="https://drive.google.com/file/d/1d1-4SuX32UpB2w3VvGO2kwoCis6n2sj9/view?usp=sharing" TargetMode="External"/><Relationship Id="rId58" Type="http://schemas.openxmlformats.org/officeDocument/2006/relationships/hyperlink" Target="https://drive.google.com/file/d/1e-UDVp0Fx6J11zUBJxqzw93FORxoTmOk/view?usp=sharing" TargetMode="External"/><Relationship Id="rId17" Type="http://schemas.openxmlformats.org/officeDocument/2006/relationships/hyperlink" Target="https://drive.google.com/file/d/1KLhX3b8jJT97sJ5o2TvUb0ahiiV-ugjX/view?usp=sharing" TargetMode="External"/><Relationship Id="rId16" Type="http://schemas.openxmlformats.org/officeDocument/2006/relationships/hyperlink" Target="https://drive.google.com/file/d/1i91BiYn7XZtKB0-u7yKPmdaWTp0c0rDr/view?usp=sharing" TargetMode="External"/><Relationship Id="rId19" Type="http://schemas.openxmlformats.org/officeDocument/2006/relationships/hyperlink" Target="https://lh3.googleusercontent.com/d/1qaAAF4uCmeZCSGAExcm3tFIsZmOLcUpC" TargetMode="External"/><Relationship Id="rId18" Type="http://schemas.openxmlformats.org/officeDocument/2006/relationships/hyperlink" Target="https://drive.google.com/file/d/10HERuChCxkCJSzpyZ5N0PxDwRQvCas7F/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mhnABtyz-PbmN2S93Xrx-B-pGy4IJLM_/view?usp=drivesdk" TargetMode="External"/><Relationship Id="rId42" Type="http://schemas.openxmlformats.org/officeDocument/2006/relationships/hyperlink" Target="https://drive.google.com/file/d/1Gu3FvQN0V3BISB_p6l52t4AATvhC5mpl/view?usp=drivesdk" TargetMode="External"/><Relationship Id="rId41" Type="http://schemas.openxmlformats.org/officeDocument/2006/relationships/hyperlink" Target="https://drive.google.com/file/d/1pGoWTlkbML65Dnt_NEw4tF3iSN076kL0/view?usp=drivesdk" TargetMode="External"/><Relationship Id="rId44" Type="http://schemas.openxmlformats.org/officeDocument/2006/relationships/hyperlink" Target="https://drive.google.com/file/d/161lu15xhrAq_7oto7_zpcEUhQn-F-uHI/view?usp=drivesdk" TargetMode="External"/><Relationship Id="rId43" Type="http://schemas.openxmlformats.org/officeDocument/2006/relationships/hyperlink" Target="https://drive.google.com/file/d/140NBJ9316OIvKuIKJizF2lAJDpBE7Q3I/view?usp=drivesdk" TargetMode="External"/><Relationship Id="rId46" Type="http://schemas.openxmlformats.org/officeDocument/2006/relationships/hyperlink" Target="https://drive.google.com/file/d/1NshAmRlqTgFbMetBzWL9mK1inXL73Lb5/view?usp=drivesdk" TargetMode="External"/><Relationship Id="rId45" Type="http://schemas.openxmlformats.org/officeDocument/2006/relationships/hyperlink" Target="https://drive.google.com/file/d/1vn-ikv8aGVGjmFH2zbrlGCiiCa-AWAIa/view?usp=drivesdk" TargetMode="External"/><Relationship Id="rId107" Type="http://schemas.openxmlformats.org/officeDocument/2006/relationships/hyperlink" Target="https://drive.google.com/file/d/1othdSzCT6zm_oXEERgfzHZwWaQTEZqUD/view?usp=drivesdk" TargetMode="External"/><Relationship Id="rId106" Type="http://schemas.openxmlformats.org/officeDocument/2006/relationships/hyperlink" Target="https://drive.google.com/file/d/1WVqdbiaFM40wTcO2h7KnlRUNBaVmd3KF/view?usp=drivesdk" TargetMode="External"/><Relationship Id="rId105" Type="http://schemas.openxmlformats.org/officeDocument/2006/relationships/hyperlink" Target="https://drive.google.com/file/d/1SXHsGyMj0AyrP4YVDSyxyCgQ91AY-hZY/view?usp=drivesdk" TargetMode="External"/><Relationship Id="rId104" Type="http://schemas.openxmlformats.org/officeDocument/2006/relationships/hyperlink" Target="https://drive.google.com/file/d/1Wtml0LBIMJZlmO2JgGgw0lppyOCJpIB9/view?usp=drivesdk" TargetMode="External"/><Relationship Id="rId109" Type="http://schemas.openxmlformats.org/officeDocument/2006/relationships/hyperlink" Target="https://drive.google.com/file/d/1Q3E6gOlqNq-cPnectcRfUVI-IzT0f-p3/view?usp=drivesdk" TargetMode="External"/><Relationship Id="rId108" Type="http://schemas.openxmlformats.org/officeDocument/2006/relationships/hyperlink" Target="https://drive.google.com/file/d/18g5sM5Q7j8bmdSj0Jqi6HTMrX9Az3Y6S/view?usp=drivesdk" TargetMode="External"/><Relationship Id="rId48" Type="http://schemas.openxmlformats.org/officeDocument/2006/relationships/hyperlink" Target="https://drive.google.com/file/d/1u6bjRoNgQPWnTSo9c5G_nf2vAiS6JHmW/view?usp=drivesdk" TargetMode="External"/><Relationship Id="rId47" Type="http://schemas.openxmlformats.org/officeDocument/2006/relationships/hyperlink" Target="https://drive.google.com/file/d/1sNhtVCKsbLSXR_A82bs_vjFdZrQEuLhr/view?usp=drivesdk" TargetMode="External"/><Relationship Id="rId49" Type="http://schemas.openxmlformats.org/officeDocument/2006/relationships/hyperlink" Target="https://drive.google.com/file/d/1e20KcMiSk8tEjXNvau2Ggk2DQqZ2l364/view?usp=drivesdk" TargetMode="External"/><Relationship Id="rId103" Type="http://schemas.openxmlformats.org/officeDocument/2006/relationships/hyperlink" Target="https://drive.google.com/file/d/1tpH2NsL-59pnMcv3-GswYO-VManKg08O/view?usp=drivesdk" TargetMode="External"/><Relationship Id="rId102" Type="http://schemas.openxmlformats.org/officeDocument/2006/relationships/hyperlink" Target="https://drive.google.com/file/d/1dy4FeFGoVahGLGTbqfcx6itvug9rx3-5/view?usp=drivesdk" TargetMode="External"/><Relationship Id="rId101" Type="http://schemas.openxmlformats.org/officeDocument/2006/relationships/hyperlink" Target="https://drive.google.com/file/d/18yh91GRSbYaJFS_vbseiNc_NQd87kMx-/view?usp=drivesdk" TargetMode="External"/><Relationship Id="rId100" Type="http://schemas.openxmlformats.org/officeDocument/2006/relationships/hyperlink" Target="https://drive.google.com/file/d/1fCGl8daAgz3oeTfD-xUZn_h4cVu1eJIt/view?usp=drivesdk" TargetMode="External"/><Relationship Id="rId31" Type="http://schemas.openxmlformats.org/officeDocument/2006/relationships/hyperlink" Target="https://drive.google.com/file/d/1p9exG6mwz_BX17s8dGnPrVeEWuDVuz-1/view?usp=drivesdk" TargetMode="External"/><Relationship Id="rId30" Type="http://schemas.openxmlformats.org/officeDocument/2006/relationships/hyperlink" Target="https://drive.google.com/file/d/1xa5gqQc32UbGZuU3pF8aztZ0xcDPNhB5/view?usp=drivesdk" TargetMode="External"/><Relationship Id="rId33" Type="http://schemas.openxmlformats.org/officeDocument/2006/relationships/hyperlink" Target="https://drive.google.com/file/d/1ZFFERljWjhzqB4qU_UP3T0as_Tp_ngYF/view?usp=drivesdk" TargetMode="External"/><Relationship Id="rId32" Type="http://schemas.openxmlformats.org/officeDocument/2006/relationships/hyperlink" Target="https://drive.google.com/file/d/11MLV1_TDGqIvz8dgNDRj8S1wCfnsTFKs/view?usp=drivesdk" TargetMode="External"/><Relationship Id="rId35" Type="http://schemas.openxmlformats.org/officeDocument/2006/relationships/hyperlink" Target="https://drive.google.com/file/d/1BnkXIQ0XYhSBkkUN9JxP26d6AIMAhpi0/view?usp=drivesdk" TargetMode="External"/><Relationship Id="rId34" Type="http://schemas.openxmlformats.org/officeDocument/2006/relationships/hyperlink" Target="https://drive.google.com/file/d/1VER27SqLotlMWFVr4GHF6LmMdUNq5gpb/view?usp=drivesdk" TargetMode="External"/><Relationship Id="rId37" Type="http://schemas.openxmlformats.org/officeDocument/2006/relationships/hyperlink" Target="https://drive.google.com/file/d/1ZS5Wyb5zoemamBulyOEV9wVBOxy59pwc/view?usp=drivesdk" TargetMode="External"/><Relationship Id="rId36" Type="http://schemas.openxmlformats.org/officeDocument/2006/relationships/hyperlink" Target="https://drive.google.com/file/d/13ILL9z8efyICBWqQlrkBMqI8G5Fy3-s2/view?usp=drivesdk" TargetMode="External"/><Relationship Id="rId39" Type="http://schemas.openxmlformats.org/officeDocument/2006/relationships/hyperlink" Target="https://drive.google.com/file/d/1X2IHH-twbPlEoZO580twOTtTrOFKqrEs/view?usp=drivesdk" TargetMode="External"/><Relationship Id="rId38" Type="http://schemas.openxmlformats.org/officeDocument/2006/relationships/hyperlink" Target="https://drive.google.com/file/d/1Bg9V1ax0qsdKOU76EUl9LKpVd4oQ4Xaw/view?usp=drivesdk" TargetMode="External"/><Relationship Id="rId20" Type="http://schemas.openxmlformats.org/officeDocument/2006/relationships/hyperlink" Target="https://drive.google.com/file/d/1AUUdOqu1q2cHBgLBhh-8Hwhxk5h_BU-g/view?usp=drivesdk" TargetMode="External"/><Relationship Id="rId22" Type="http://schemas.openxmlformats.org/officeDocument/2006/relationships/hyperlink" Target="https://drive.google.com/file/d/1Hi_WFlqiAxOyE6uSYAX6nBxt1RpzsDB8/view?usp=drivesdk" TargetMode="External"/><Relationship Id="rId21" Type="http://schemas.openxmlformats.org/officeDocument/2006/relationships/hyperlink" Target="https://drive.google.com/file/d/1hwMpxsu37NGzYmEC4GMG3wSTsLKNjpLZ/view?usp=drivesdk" TargetMode="External"/><Relationship Id="rId24" Type="http://schemas.openxmlformats.org/officeDocument/2006/relationships/hyperlink" Target="https://drive.google.com/file/d/1gU9GX_aXYbXhSdI0cEQOO52X47QUgZqa/view?usp=drivesdk" TargetMode="External"/><Relationship Id="rId23" Type="http://schemas.openxmlformats.org/officeDocument/2006/relationships/hyperlink" Target="https://drive.google.com/file/d/1V3C7QYPZw6MAE3e-yX6130oV8gvxYS2A/view?usp=drivesdk" TargetMode="External"/><Relationship Id="rId129" Type="http://schemas.openxmlformats.org/officeDocument/2006/relationships/hyperlink" Target="https://drive.google.com/file/d/1Wxy66dQmdoOZuVCjo_hKqzfpUlDqiCPo/view?usp=drive_link" TargetMode="External"/><Relationship Id="rId128" Type="http://schemas.openxmlformats.org/officeDocument/2006/relationships/hyperlink" Target="https://drive.google.com/file/d/1Ho3sp3QU20pMFd8Mk02v8Jq4noM9J2vS/view?usp=drive_link" TargetMode="External"/><Relationship Id="rId127" Type="http://schemas.openxmlformats.org/officeDocument/2006/relationships/hyperlink" Target="https://drive.google.com/file/d/14Pqs5RNbk1lH4QQRDfue8a6LtwTYgn3a/view?usp=drive_link" TargetMode="External"/><Relationship Id="rId126" Type="http://schemas.openxmlformats.org/officeDocument/2006/relationships/hyperlink" Target="https://drive.google.com/file/d/16cd8pC_b-WS59ewsU42d45tkqd91Ofjy/view?usp=drive_link" TargetMode="External"/><Relationship Id="rId26" Type="http://schemas.openxmlformats.org/officeDocument/2006/relationships/hyperlink" Target="https://drive.google.com/file/d/1WIP1WcRs9Tm8BvzJC74eyb6uuRDDqq0Y/view?usp=drivesdk" TargetMode="External"/><Relationship Id="rId121" Type="http://schemas.openxmlformats.org/officeDocument/2006/relationships/hyperlink" Target="https://drive.google.com/file/d/1L57c6Vvy-vu0l-x7c5YhQT_fy2k031Wy/view?usp=sharing" TargetMode="External"/><Relationship Id="rId25" Type="http://schemas.openxmlformats.org/officeDocument/2006/relationships/hyperlink" Target="https://drive.google.com/file/d/11g3UD1Gfynu7IKiLXl9RhdMaj9tg8GOT/view?usp=drivesdk" TargetMode="External"/><Relationship Id="rId120" Type="http://schemas.openxmlformats.org/officeDocument/2006/relationships/hyperlink" Target="https://drive.google.com/file/d/1VmX5w3Tmuh7nnC-eSA044myKnydrCeWz/view?usp=drivesdk" TargetMode="External"/><Relationship Id="rId28" Type="http://schemas.openxmlformats.org/officeDocument/2006/relationships/hyperlink" Target="https://drive.google.com/file/d/1lhwe6gFHltTm5WohbI3QXfV-ii43IFjn/view?usp=drivesdk" TargetMode="External"/><Relationship Id="rId27" Type="http://schemas.openxmlformats.org/officeDocument/2006/relationships/hyperlink" Target="https://drive.google.com/file/d/17NmexRJksTRx1cmVP3OarFovMQ6AbCwx/view?usp=drivesdk" TargetMode="External"/><Relationship Id="rId125" Type="http://schemas.openxmlformats.org/officeDocument/2006/relationships/hyperlink" Target="https://drive.google.com/file/d/1uNyKphwNezMK1Lm4Hqcm5IPzWr_jtlyF/view?usp=drive_link" TargetMode="External"/><Relationship Id="rId29" Type="http://schemas.openxmlformats.org/officeDocument/2006/relationships/hyperlink" Target="https://drive.google.com/file/d/1eK9mnLpZlWp1a-zLbsoB_wmRaSbfYLnS/view?usp=drivesdk" TargetMode="External"/><Relationship Id="rId124" Type="http://schemas.openxmlformats.org/officeDocument/2006/relationships/hyperlink" Target="https://drive.google.com/file/d/1N2PXzDlIGsWE7phFzK_u-qMHblfjYQbk/view?usp=drive_link" TargetMode="External"/><Relationship Id="rId123" Type="http://schemas.openxmlformats.org/officeDocument/2006/relationships/hyperlink" Target="https://drive.google.com/file/d/1HDTaGBJjUB_WoblDd_TksvI3o1Hy9Is3/view?usp=drive_link" TargetMode="External"/><Relationship Id="rId122" Type="http://schemas.openxmlformats.org/officeDocument/2006/relationships/hyperlink" Target="https://drive.google.com/file/d/1W8RFxcdANIFuWHtok8w73oDOb2W1sGuL/view?usp=sharing" TargetMode="External"/><Relationship Id="rId95" Type="http://schemas.openxmlformats.org/officeDocument/2006/relationships/hyperlink" Target="https://drive.google.com/file/d/1l0HxtFZ1c-eGFh6Z6gKyNyCeY7hevqlc/view?usp=drivesdk" TargetMode="External"/><Relationship Id="rId94" Type="http://schemas.openxmlformats.org/officeDocument/2006/relationships/hyperlink" Target="https://drive.google.com/file/d/1SOdQKmYl0j7MOHBaLoFIQVbcuz9ZqUxI/view?usp=drivesdk" TargetMode="External"/><Relationship Id="rId97" Type="http://schemas.openxmlformats.org/officeDocument/2006/relationships/hyperlink" Target="https://drive.google.com/file/d/1Le5uUZKyKwBnUUZbmVRhoBb2DKIKORNk/view?usp=drivesdk" TargetMode="External"/><Relationship Id="rId96" Type="http://schemas.openxmlformats.org/officeDocument/2006/relationships/hyperlink" Target="https://drive.google.com/file/d/123A_JpAovzaDRbusueBSjRybheE752pj/view?usp=drivesdk" TargetMode="External"/><Relationship Id="rId11" Type="http://schemas.openxmlformats.org/officeDocument/2006/relationships/hyperlink" Target="https://drive.google.com/file/d/1gCpTE6GTk7d1O8yhiOzp47DBv6AM-Zv2/view?usp=drivesdk" TargetMode="External"/><Relationship Id="rId99" Type="http://schemas.openxmlformats.org/officeDocument/2006/relationships/hyperlink" Target="https://drive.google.com/file/d/1__QNWeYz59_xXyuuva4-w-Lh-DTgbSTv/view?usp=drivesdk" TargetMode="External"/><Relationship Id="rId10" Type="http://schemas.openxmlformats.org/officeDocument/2006/relationships/hyperlink" Target="https://drive.google.com/file/d/1HAh9TVW17Ya-hMaluyTGUzRYnuxV-PSw/view?usp=drivesdk" TargetMode="External"/><Relationship Id="rId98" Type="http://schemas.openxmlformats.org/officeDocument/2006/relationships/hyperlink" Target="https://drive.google.com/file/d/1hOk7AZ7kPUxXwbOrUKfa1p9-5sKi17yl/view?usp=drivesdk" TargetMode="External"/><Relationship Id="rId13" Type="http://schemas.openxmlformats.org/officeDocument/2006/relationships/hyperlink" Target="https://drive.google.com/file/d/1iLTEDanZw2FNqC3Nbti60CsF9KMdkE1P/view?usp=drivesdk" TargetMode="External"/><Relationship Id="rId12" Type="http://schemas.openxmlformats.org/officeDocument/2006/relationships/hyperlink" Target="https://drive.google.com/file/d/112R39PlNQr6jLulVctKCXpl56I1wRZrP/view?usp=drivesdk" TargetMode="External"/><Relationship Id="rId91" Type="http://schemas.openxmlformats.org/officeDocument/2006/relationships/hyperlink" Target="https://drive.google.com/file/d/1qDtPUwgiw9xAN4DqT21PvJzGScwCykJ3/view?usp=drivesdk" TargetMode="External"/><Relationship Id="rId90" Type="http://schemas.openxmlformats.org/officeDocument/2006/relationships/hyperlink" Target="https://drive.google.com/file/d/155Ezz-PrJ1u2Vzpwil4ADmUM9i0md4sC/view?usp=drivesdk" TargetMode="External"/><Relationship Id="rId93" Type="http://schemas.openxmlformats.org/officeDocument/2006/relationships/hyperlink" Target="https://drive.google.com/file/d/1rWHX8ZXAK1JjNWAgvSG9WPRFtMO99ZOQ/view?usp=drivesdk" TargetMode="External"/><Relationship Id="rId92" Type="http://schemas.openxmlformats.org/officeDocument/2006/relationships/hyperlink" Target="https://drive.google.com/file/d/1Ms-GFk7dMLd4mZalCAxvGXl-gYdRZXp3/view?usp=drivesdk" TargetMode="External"/><Relationship Id="rId118" Type="http://schemas.openxmlformats.org/officeDocument/2006/relationships/hyperlink" Target="https://drive.google.com/file/d/147ZMdrDdzNN_m3wrjFzaja8P8Rdi36IH/view?usp=drivesdk" TargetMode="External"/><Relationship Id="rId117" Type="http://schemas.openxmlformats.org/officeDocument/2006/relationships/hyperlink" Target="https://drive.google.com/file/d/1f-uWrE_sJLzC-rxt8ilomIGdNNoZsefg/view?usp=drivesdk" TargetMode="External"/><Relationship Id="rId116" Type="http://schemas.openxmlformats.org/officeDocument/2006/relationships/hyperlink" Target="https://drive.google.com/file/d/1RAAYY6QjUqAoJcf0mkoMBi0s2fGEX55S/view?usp=drivesdk" TargetMode="External"/><Relationship Id="rId115" Type="http://schemas.openxmlformats.org/officeDocument/2006/relationships/hyperlink" Target="https://drive.google.com/file/d/1JibBrL85DGzzUNmr4F0guAXApvtP0tVi/view?usp=drivesdk" TargetMode="External"/><Relationship Id="rId119" Type="http://schemas.openxmlformats.org/officeDocument/2006/relationships/hyperlink" Target="https://drive.google.com/file/d/1laPxkgL2XnpgTw7xihRosQc5JvJVLPV8/view?usp=drivesdk" TargetMode="External"/><Relationship Id="rId15" Type="http://schemas.openxmlformats.org/officeDocument/2006/relationships/hyperlink" Target="https://drive.google.com/file/d/1TU6QW9EnrLVRunS-ozl23V8McSBU4sNj/view?usp=drivesdk" TargetMode="External"/><Relationship Id="rId110" Type="http://schemas.openxmlformats.org/officeDocument/2006/relationships/hyperlink" Target="https://drive.google.com/file/d/1lOrFtFwG-Yo9NENrB9ytYJ9F0uYBcrKN/view?usp=drivesdk" TargetMode="External"/><Relationship Id="rId14" Type="http://schemas.openxmlformats.org/officeDocument/2006/relationships/hyperlink" Target="https://drive.google.com/file/d/1rQqwqZUl-WmVudLNaE8iPTBi1cN629nv/view?usp=drivesdk" TargetMode="External"/><Relationship Id="rId17" Type="http://schemas.openxmlformats.org/officeDocument/2006/relationships/hyperlink" Target="https://drive.google.com/file/d/1ZLBXPAzwZfNZt5ESKYWZYAzitcys1KY4/view?usp=drivesdk" TargetMode="External"/><Relationship Id="rId16" Type="http://schemas.openxmlformats.org/officeDocument/2006/relationships/hyperlink" Target="https://drive.google.com/file/d/1Ngtg88rv_Ufu7qPLalbCMaLRrZPqyHpW/view?usp=drivesdk" TargetMode="External"/><Relationship Id="rId19" Type="http://schemas.openxmlformats.org/officeDocument/2006/relationships/hyperlink" Target="https://drive.google.com/file/d/1ljIq1fM7ZceJU5ceDTMVQpXjvBaIRFwK/view?usp=drivesdk" TargetMode="External"/><Relationship Id="rId114" Type="http://schemas.openxmlformats.org/officeDocument/2006/relationships/hyperlink" Target="https://drive.google.com/file/d/10V_kFHr7d9Idkbpsadsl3A-y25pP5bzN/view?usp=drivesdk" TargetMode="External"/><Relationship Id="rId18" Type="http://schemas.openxmlformats.org/officeDocument/2006/relationships/hyperlink" Target="https://drive.google.com/file/d/1CJuU_jKHxAlOGzv36B6En8h_c0Lx1nFU/view?usp=drivesdk" TargetMode="External"/><Relationship Id="rId113" Type="http://schemas.openxmlformats.org/officeDocument/2006/relationships/hyperlink" Target="https://drive.google.com/file/d/1yKvgptMZHDHZVJwy_X13Fd551mVA9nmi/view?usp=drivesdk" TargetMode="External"/><Relationship Id="rId112" Type="http://schemas.openxmlformats.org/officeDocument/2006/relationships/hyperlink" Target="https://drive.google.com/file/d/1DmvHPF3dsu6sAGXZ8-8gypYAdqSBRa-I/view?usp=drivesdk" TargetMode="External"/><Relationship Id="rId111" Type="http://schemas.openxmlformats.org/officeDocument/2006/relationships/hyperlink" Target="https://drive.google.com/file/d/1PGtKFQjjjUnbO_bnKbK7A61OiFrpyJ5Y/view?usp=drivesdk" TargetMode="External"/><Relationship Id="rId84" Type="http://schemas.openxmlformats.org/officeDocument/2006/relationships/hyperlink" Target="https://drive.google.com/file/d/1Nt4i_5s1Gn6XD_CHdsfRWXC2JGbauNwY/view?usp=drivesdk" TargetMode="External"/><Relationship Id="rId83" Type="http://schemas.openxmlformats.org/officeDocument/2006/relationships/hyperlink" Target="https://drive.google.com/file/d/17Jo39_o8b0jr48cQbAG2N4q3EkBNmRUM/view?usp=drivesdk" TargetMode="External"/><Relationship Id="rId86" Type="http://schemas.openxmlformats.org/officeDocument/2006/relationships/hyperlink" Target="https://drive.google.com/file/d/1aCQRKKFtUvEt4gbqGyJKxZKTOn3rGgEL/view?usp=drivesdk" TargetMode="External"/><Relationship Id="rId85" Type="http://schemas.openxmlformats.org/officeDocument/2006/relationships/hyperlink" Target="https://drive.google.com/file/d/1tKnvbkramE8z7kBN5XeL4KZbMW4UZ9y_/view?usp=drivesdk" TargetMode="External"/><Relationship Id="rId88" Type="http://schemas.openxmlformats.org/officeDocument/2006/relationships/hyperlink" Target="https://drive.google.com/file/d/1O_EyNYbvnQnyMx3t5KUJRWulEwWPAS-B/view?usp=drivesdk" TargetMode="External"/><Relationship Id="rId150" Type="http://schemas.openxmlformats.org/officeDocument/2006/relationships/hyperlink" Target="https://drive.google.com/file/d/1SSlSDbup3B0_MbTuITzeFMCjwEN3G_Xu/view?usp=sharing" TargetMode="External"/><Relationship Id="rId87" Type="http://schemas.openxmlformats.org/officeDocument/2006/relationships/hyperlink" Target="https://drive.google.com/file/d/1r5bfTXTaa0vPpSkzgNBt_JbajMZbcEt9/view?usp=drivesdk" TargetMode="External"/><Relationship Id="rId89" Type="http://schemas.openxmlformats.org/officeDocument/2006/relationships/hyperlink" Target="https://drive.google.com/file/d/1Vf6S3I6N74SjA56XEtu1er7kQAWqAUvN/view?usp=drivesdk" TargetMode="External"/><Relationship Id="rId80" Type="http://schemas.openxmlformats.org/officeDocument/2006/relationships/hyperlink" Target="https://drive.google.com/file/d/111sAV-oM5YY6MMRAqaOCGrlw8fNn8Epj/view?usp=drivesdk" TargetMode="External"/><Relationship Id="rId82" Type="http://schemas.openxmlformats.org/officeDocument/2006/relationships/hyperlink" Target="https://drive.google.com/file/d/1gmSooRQAeWCnUYYWcWySgnjq9PceQnfH/view?usp=drivesdk" TargetMode="External"/><Relationship Id="rId81" Type="http://schemas.openxmlformats.org/officeDocument/2006/relationships/hyperlink" Target="https://drive.google.com/file/d/1zZPQOfmpARknwqPssbd1ZCvqdW5ekWqJ/view?usp=drivesdk" TargetMode="External"/><Relationship Id="rId1" Type="http://schemas.openxmlformats.org/officeDocument/2006/relationships/hyperlink" Target="https://drive.google.com/file/d/1MwIlrSy2YzfK6WMdsA4OGHHbp1whl-hx/view?usp=drivesdk" TargetMode="External"/><Relationship Id="rId2" Type="http://schemas.openxmlformats.org/officeDocument/2006/relationships/hyperlink" Target="https://drive.google.com/file/d/17LgvlT-Cg3VfFXAY7Tphbb_lj3Jd0_Vz/view?usp=drivesdk" TargetMode="External"/><Relationship Id="rId3" Type="http://schemas.openxmlformats.org/officeDocument/2006/relationships/hyperlink" Target="https://drive.google.com/file/d/1JQ2itTnW3UUL-5mPL5gBrSH_zUkH4rkS/view?usp=drivesdk" TargetMode="External"/><Relationship Id="rId149" Type="http://schemas.openxmlformats.org/officeDocument/2006/relationships/hyperlink" Target="https://drive.google.com/file/d/14YJHIDf-zV-4_76nVjmPSm0NIoxFeoSB/view?usp=sharing" TargetMode="External"/><Relationship Id="rId4" Type="http://schemas.openxmlformats.org/officeDocument/2006/relationships/hyperlink" Target="https://drive.google.com/file/d/1jJsc_bgdXbIyP0Ons21Xa0S6YU4jbI4I/view?usp=drivesdk" TargetMode="External"/><Relationship Id="rId148" Type="http://schemas.openxmlformats.org/officeDocument/2006/relationships/hyperlink" Target="https://drive.google.com/file/d/1iM4SGawIBGCNlry2e9YmxFPSQPkfyRIQ/view?usp=sharing" TargetMode="External"/><Relationship Id="rId9" Type="http://schemas.openxmlformats.org/officeDocument/2006/relationships/hyperlink" Target="https://drive.google.com/file/d/1Xlh58Di85PUwokZaWyX994VGVkMuB6xH/view?usp=drivesdk" TargetMode="External"/><Relationship Id="rId143" Type="http://schemas.openxmlformats.org/officeDocument/2006/relationships/hyperlink" Target="https://drive.google.com/file/d/16XNzQebXdboPMhUFLivy6Qzx24BHf9hR/view?usp=sharing" TargetMode="External"/><Relationship Id="rId142" Type="http://schemas.openxmlformats.org/officeDocument/2006/relationships/hyperlink" Target="https://drive.google.com/file/d/1si1xgFOzfITn2O9e0qOgJp1xHRWOLlW1/view?usp=sharing" TargetMode="External"/><Relationship Id="rId141" Type="http://schemas.openxmlformats.org/officeDocument/2006/relationships/hyperlink" Target="https://drive.google.com/file/d/1PnvJ5SvA9vCA9Od3xD6bJApfs1CRNA1k/view?usp=sharing" TargetMode="External"/><Relationship Id="rId140" Type="http://schemas.openxmlformats.org/officeDocument/2006/relationships/hyperlink" Target="https://drive.google.com/file/d/1UuTNJpT3z4GNIFH5DXoAdbp4rIOkybXk/view?usp=sharing" TargetMode="External"/><Relationship Id="rId5" Type="http://schemas.openxmlformats.org/officeDocument/2006/relationships/hyperlink" Target="https://drive.google.com/file/d/1Y7xBJsUpkF2jpZo67AnJungpf8vPY-Gk/view?usp=drivesdk" TargetMode="External"/><Relationship Id="rId147" Type="http://schemas.openxmlformats.org/officeDocument/2006/relationships/hyperlink" Target="https://drive.google.com/file/d/1Hl6i-tcrWUPIHhD_eZgPCyL2aSROcCUv/view?usp=sharing" TargetMode="External"/><Relationship Id="rId6" Type="http://schemas.openxmlformats.org/officeDocument/2006/relationships/hyperlink" Target="https://drive.google.com/file/d/1yDsOVV79Y9h7SfgZyXmhZuXtnI2BgSmK/view?usp=drivesdk" TargetMode="External"/><Relationship Id="rId146" Type="http://schemas.openxmlformats.org/officeDocument/2006/relationships/hyperlink" Target="https://drive.google.com/file/d/1i9yQdw0pS1JdLf2CXPpTSZk2Ild6fFfj/view?usp=sharing" TargetMode="External"/><Relationship Id="rId7" Type="http://schemas.openxmlformats.org/officeDocument/2006/relationships/hyperlink" Target="https://drive.google.com/file/d/1uez1V1dSbJrAg4Wn2B468CLLk_7YV2Nm/view?usp=drivesdk" TargetMode="External"/><Relationship Id="rId145" Type="http://schemas.openxmlformats.org/officeDocument/2006/relationships/hyperlink" Target="https://drive.google.com/file/d/1vIgBWbyp3fUPL6nPibYonP9PYfkfg4um/view?usp=sharing" TargetMode="External"/><Relationship Id="rId8" Type="http://schemas.openxmlformats.org/officeDocument/2006/relationships/hyperlink" Target="https://drive.google.com/file/d/1MXb4ER6kURl8-FWCYHTQa8IXqXo2vvKW/view?usp=drivesdk" TargetMode="External"/><Relationship Id="rId144" Type="http://schemas.openxmlformats.org/officeDocument/2006/relationships/hyperlink" Target="https://drive.google.com/file/d/1DAXxlelTPUYaynncNzxbdz8h5GNWL8J6/view?usp=sharing" TargetMode="External"/><Relationship Id="rId73" Type="http://schemas.openxmlformats.org/officeDocument/2006/relationships/hyperlink" Target="https://drive.google.com/file/d/14mu2ha8PHAFfYLQleWdclP2wHOBLG0_M/view?usp=drivesdk" TargetMode="External"/><Relationship Id="rId72" Type="http://schemas.openxmlformats.org/officeDocument/2006/relationships/hyperlink" Target="https://drive.google.com/file/d/1JICKHrB-dDKEuuWR74hdzjduZeJpEwPJ/view?usp=drivesdk" TargetMode="External"/><Relationship Id="rId75" Type="http://schemas.openxmlformats.org/officeDocument/2006/relationships/hyperlink" Target="https://drive.google.com/file/d/1gbzuK0JNGM6RzZvhddJId4StpQJ-iQsN/view?usp=drivesdk" TargetMode="External"/><Relationship Id="rId74" Type="http://schemas.openxmlformats.org/officeDocument/2006/relationships/hyperlink" Target="https://drive.google.com/file/d/1i5D1TcG_QLkq8Dj_Z4sK0TSCDI6AhTod/view?usp=drivesdk" TargetMode="External"/><Relationship Id="rId77" Type="http://schemas.openxmlformats.org/officeDocument/2006/relationships/hyperlink" Target="https://drive.google.com/file/d/1n6mQ8e1o4QcpGsvwRuqrizaotzpg-X6Z/view?usp=drivesdk" TargetMode="External"/><Relationship Id="rId76" Type="http://schemas.openxmlformats.org/officeDocument/2006/relationships/hyperlink" Target="https://drive.google.com/file/d/1o2FBl_r9V2We04fUmaT3dqzjU0tId9gd/view?usp=drivesdk" TargetMode="External"/><Relationship Id="rId79" Type="http://schemas.openxmlformats.org/officeDocument/2006/relationships/hyperlink" Target="https://drive.google.com/file/d/1EPqc2KyWRWJ7BHhLoNHwkK7sOCHCbtQZ/view?usp=drivesdk" TargetMode="External"/><Relationship Id="rId78" Type="http://schemas.openxmlformats.org/officeDocument/2006/relationships/hyperlink" Target="https://drive.google.com/file/d/13ezF4CZmqFTLLOuVdfL0Dioven64GDZI/view?usp=drivesdk" TargetMode="External"/><Relationship Id="rId71" Type="http://schemas.openxmlformats.org/officeDocument/2006/relationships/hyperlink" Target="https://drive.google.com/file/d/1U2LJbsEmwzVNX6bhCUpELdnWApxDVxa0/view?usp=drivesdk" TargetMode="External"/><Relationship Id="rId70" Type="http://schemas.openxmlformats.org/officeDocument/2006/relationships/hyperlink" Target="https://drive.google.com/file/d/1hcCGLTfaeGfiWI_eY8A87kODIMWrHpoU/view?usp=drivesdk" TargetMode="External"/><Relationship Id="rId139" Type="http://schemas.openxmlformats.org/officeDocument/2006/relationships/hyperlink" Target="https://drive.google.com/file/d/1kt25sCbp50oQnXB3GqJGYt2mo4rAdwng/view?usp=sharing" TargetMode="External"/><Relationship Id="rId138" Type="http://schemas.openxmlformats.org/officeDocument/2006/relationships/hyperlink" Target="https://drive.google.com/file/d/1BdT4eA6pG3sl79CSo4SGkqCNDiC6fJ_Q/view?usp=sharing" TargetMode="External"/><Relationship Id="rId137" Type="http://schemas.openxmlformats.org/officeDocument/2006/relationships/hyperlink" Target="https://drive.google.com/file/d/1buJaSmOkB6fv3Mf55xzh_fq168E3Bp2g/view?usp=sharing" TargetMode="External"/><Relationship Id="rId132" Type="http://schemas.openxmlformats.org/officeDocument/2006/relationships/hyperlink" Target="https://drive.google.com/file/d/1kmsbBy5GeCoUt2WyJd7lZN0YQazB5S3B/view?usp=drive_link" TargetMode="External"/><Relationship Id="rId131" Type="http://schemas.openxmlformats.org/officeDocument/2006/relationships/hyperlink" Target="https://vimeo.com/1200835673?fl=ip&amp;fe=ec" TargetMode="External"/><Relationship Id="rId130" Type="http://schemas.openxmlformats.org/officeDocument/2006/relationships/hyperlink" Target="https://drive.google.com/file/d/1m3DKKBLX4nxxwiML4grEKkms2MHbXHVx/view?usp=drive_link" TargetMode="External"/><Relationship Id="rId136" Type="http://schemas.openxmlformats.org/officeDocument/2006/relationships/hyperlink" Target="https://drive.google.com/file/d/1_Mv1C1vftMvjL-b_hEC2GscktH27godY/view?usp=sharing" TargetMode="External"/><Relationship Id="rId135" Type="http://schemas.openxmlformats.org/officeDocument/2006/relationships/hyperlink" Target="https://drive.google.com/file/d/1NKZGajoUppsPN7EpIy792zlSRlqMqvS8/view?usp=sharing" TargetMode="External"/><Relationship Id="rId134" Type="http://schemas.openxmlformats.org/officeDocument/2006/relationships/hyperlink" Target="https://drive.google.com/file/d/1ymHvGXPa2EDXrtaLIOL3bXe35d3ePzhL/view?usp=drive_link" TargetMode="External"/><Relationship Id="rId133" Type="http://schemas.openxmlformats.org/officeDocument/2006/relationships/hyperlink" Target="https://drive.google.com/file/d/1DVh4Y_2HIwxxG5kQ2UEMhENtgjceEuAo/view?usp=drive_link" TargetMode="External"/><Relationship Id="rId62" Type="http://schemas.openxmlformats.org/officeDocument/2006/relationships/hyperlink" Target="https://drive.google.com/file/d/1FZuztpex129Xvrn2-jmIqHEMuUekD24c/view?usp=drivesdk" TargetMode="External"/><Relationship Id="rId61" Type="http://schemas.openxmlformats.org/officeDocument/2006/relationships/hyperlink" Target="https://drive.google.com/file/d/1s3_eGBLHW4F1aZ934DF_T-kgaBdMbFTI/view?usp=drivesdk" TargetMode="External"/><Relationship Id="rId64" Type="http://schemas.openxmlformats.org/officeDocument/2006/relationships/hyperlink" Target="https://drive.google.com/file/d/1UmZAuVbZYF-7iRuEHih3cG1FvF1xuB-l/view?usp=drivesdk" TargetMode="External"/><Relationship Id="rId63" Type="http://schemas.openxmlformats.org/officeDocument/2006/relationships/hyperlink" Target="https://drive.google.com/file/d/1yVTtNwZxicp-ZTv8Wq_BAf6zhPUEiunq/view?usp=drivesdk" TargetMode="External"/><Relationship Id="rId66" Type="http://schemas.openxmlformats.org/officeDocument/2006/relationships/hyperlink" Target="https://drive.google.com/file/d/130EatwQME7A4H3Vu8HOTbAGbkcbMJE5O/view?usp=drivesdk" TargetMode="External"/><Relationship Id="rId65" Type="http://schemas.openxmlformats.org/officeDocument/2006/relationships/hyperlink" Target="https://drive.google.com/file/d/1JLtTcAaftyQtpBeXd9AOuZQkkMkOTTaa/view?usp=drivesdk" TargetMode="External"/><Relationship Id="rId68" Type="http://schemas.openxmlformats.org/officeDocument/2006/relationships/hyperlink" Target="https://drive.google.com/file/d/1aTZPGPHmLZUyXfy--LDprssVHtoAdNqn/view?usp=drivesdk" TargetMode="External"/><Relationship Id="rId67" Type="http://schemas.openxmlformats.org/officeDocument/2006/relationships/hyperlink" Target="https://drive.google.com/file/d/1oqj4FCss6h3gvKgf_-Ijw6Cmv8qaCj_g/view?usp=drivesdk" TargetMode="External"/><Relationship Id="rId60" Type="http://schemas.openxmlformats.org/officeDocument/2006/relationships/hyperlink" Target="https://drive.google.com/file/d/1AfmoDgo8_ExMT9ou0rloWvZ5jz8bheY3/view?usp=drivesdk" TargetMode="External"/><Relationship Id="rId69" Type="http://schemas.openxmlformats.org/officeDocument/2006/relationships/hyperlink" Target="https://drive.google.com/file/d/1v79ZxaxGNUc8Nif8C0h5msoRYPiAkqkn/view?usp=drivesdk" TargetMode="External"/><Relationship Id="rId51" Type="http://schemas.openxmlformats.org/officeDocument/2006/relationships/hyperlink" Target="https://drive.google.com/file/d/1p8GD6yc8V1fCbBRvuCDhGPnWTFcJidZl/view?usp=drivesdk" TargetMode="External"/><Relationship Id="rId50" Type="http://schemas.openxmlformats.org/officeDocument/2006/relationships/hyperlink" Target="https://drive.google.com/file/d/14I0SrPzBGW8wqbs6rJAlhAkSHZfrU3bI/view?usp=drivesdk" TargetMode="External"/><Relationship Id="rId53" Type="http://schemas.openxmlformats.org/officeDocument/2006/relationships/hyperlink" Target="https://drive.google.com/file/d/17kklIUbAJy9USBZNlg-ydfCdvz8eqc_2/view?usp=drivesdk" TargetMode="External"/><Relationship Id="rId52" Type="http://schemas.openxmlformats.org/officeDocument/2006/relationships/hyperlink" Target="https://drive.google.com/file/d/1ltIkEQQWUMuTHRVIKllnJf35i9s4NINv/view?usp=drivesdk" TargetMode="External"/><Relationship Id="rId55" Type="http://schemas.openxmlformats.org/officeDocument/2006/relationships/hyperlink" Target="https://drive.google.com/file/d/16MRSZECmwtiwaIHKItLX0MyUXP-rk0G1/view?usp=drivesdk" TargetMode="External"/><Relationship Id="rId54" Type="http://schemas.openxmlformats.org/officeDocument/2006/relationships/hyperlink" Target="https://drive.google.com/file/d/1NiEZoneJfzgKUpfXPk4fQPuOiD_O0FxP/view?usp=drivesdk" TargetMode="External"/><Relationship Id="rId57" Type="http://schemas.openxmlformats.org/officeDocument/2006/relationships/hyperlink" Target="https://drive.google.com/file/d/11kCM8eJLUw3uzBK5kr2R-626n2IhoBiW/view?usp=drivesdk" TargetMode="External"/><Relationship Id="rId56" Type="http://schemas.openxmlformats.org/officeDocument/2006/relationships/hyperlink" Target="https://drive.google.com/file/d/12L_jjb0v_RUX4dQLAObwZf3yxPfqNArA/view?usp=drivesdk" TargetMode="External"/><Relationship Id="rId59" Type="http://schemas.openxmlformats.org/officeDocument/2006/relationships/hyperlink" Target="https://drive.google.com/file/d/1O4Q3wmKe3kfq0ocI-exemBMcSUEsYzih/view?usp=drivesdk" TargetMode="External"/><Relationship Id="rId154" Type="http://schemas.openxmlformats.org/officeDocument/2006/relationships/hyperlink" Target="https://drive.google.com/file/d/16tkiNgAJivsOsqYsQWsnB0bmqVietyHn/view?usp=sharing" TargetMode="External"/><Relationship Id="rId58" Type="http://schemas.openxmlformats.org/officeDocument/2006/relationships/hyperlink" Target="https://drive.google.com/file/d/1O-oh0yVzp8x1VEprdoYnSAPb2KeyAd2I/view?usp=drivesdk" TargetMode="External"/><Relationship Id="rId153" Type="http://schemas.openxmlformats.org/officeDocument/2006/relationships/hyperlink" Target="https://drive.google.com/file/d/1u31ugG6s2qTRllhQGf7ZbPlvWjzK8vKP/view?usp=sharing" TargetMode="External"/><Relationship Id="rId152" Type="http://schemas.openxmlformats.org/officeDocument/2006/relationships/hyperlink" Target="https://drive.google.com/file/d/1x-jbcPdlV-5i8rELrw4MU_NdzSO-q8tC/view?usp=sharing" TargetMode="External"/><Relationship Id="rId151" Type="http://schemas.openxmlformats.org/officeDocument/2006/relationships/hyperlink" Target="https://drive.google.com/file/d/1Y0QkHtklf_NWOD2ky34JXc3L2O9ATFyN/view?usp=sharing" TargetMode="External"/><Relationship Id="rId15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img.logo.dev/carterfunds.com?token=pk_FIVsDKgZTvCedVXXtt2rEg&amp;size=200&amp;retina=true" TargetMode="External"/><Relationship Id="rId42" Type="http://schemas.openxmlformats.org/officeDocument/2006/relationships/hyperlink" Target="https://img.logo.dev/cliffwater.com?token=pk_FIVsDKgZTvCedVXXtt2rEg&amp;size=200&amp;retina=true" TargetMode="External"/><Relationship Id="rId41" Type="http://schemas.openxmlformats.org/officeDocument/2006/relationships/hyperlink" Target="http://cliffwater.com" TargetMode="External"/><Relationship Id="rId44" Type="http://schemas.openxmlformats.org/officeDocument/2006/relationships/hyperlink" Target="https://img.logo.dev/crhmi.com?token=pk_FIVsDKgZTvCedVXXtt2rEg&amp;size=200&amp;retina=true" TargetMode="External"/><Relationship Id="rId43" Type="http://schemas.openxmlformats.org/officeDocument/2006/relationships/hyperlink" Target="http://crhmi.com" TargetMode="External"/><Relationship Id="rId46" Type="http://schemas.openxmlformats.org/officeDocument/2006/relationships/hyperlink" Target="https://img.logo.dev/corepacific.com?token=pk_FIVsDKgZTvCedVXXtt2rEg&amp;size=200&amp;retina=true" TargetMode="External"/><Relationship Id="rId45" Type="http://schemas.openxmlformats.org/officeDocument/2006/relationships/hyperlink" Target="http://corepacific.com" TargetMode="External"/><Relationship Id="rId107" Type="http://schemas.openxmlformats.org/officeDocument/2006/relationships/hyperlink" Target="http://moodynational.com" TargetMode="External"/><Relationship Id="rId106" Type="http://schemas.openxmlformats.org/officeDocument/2006/relationships/hyperlink" Target="https://img.logo.dev/miraeasset.com?token=pk_FIVsDKgZTvCedVXXtt2rEg&amp;size=200&amp;retina=true" TargetMode="External"/><Relationship Id="rId105" Type="http://schemas.openxmlformats.org/officeDocument/2006/relationships/hyperlink" Target="http://miraeasset.com" TargetMode="External"/><Relationship Id="rId104" Type="http://schemas.openxmlformats.org/officeDocument/2006/relationships/hyperlink" Target="https://img.logo.dev/madisonrealty.com?token=pk_FIVsDKgZTvCedVXXtt2rEg&amp;size=200&amp;retina=true" TargetMode="External"/><Relationship Id="rId109" Type="http://schemas.openxmlformats.org/officeDocument/2006/relationships/hyperlink" Target="http://nasinvestmentsolutions.com" TargetMode="External"/><Relationship Id="rId108" Type="http://schemas.openxmlformats.org/officeDocument/2006/relationships/hyperlink" Target="https://img.logo.dev/moodynational.com?token=pk_FIVsDKgZTvCedVXXtt2rEg&amp;size=200&amp;retina=true" TargetMode="External"/><Relationship Id="rId48" Type="http://schemas.openxmlformats.org/officeDocument/2006/relationships/hyperlink" Target="https://img.logo.dev/covecapitalinvestments.com?token=pk_FIVsDKgZTvCedVXXtt2rEg&amp;size=200&amp;retina=true" TargetMode="External"/><Relationship Id="rId47" Type="http://schemas.openxmlformats.org/officeDocument/2006/relationships/hyperlink" Target="http://covecapitalinvestments.com" TargetMode="External"/><Relationship Id="rId49" Type="http://schemas.openxmlformats.org/officeDocument/2006/relationships/hyperlink" Target="http://croataninvestments.com" TargetMode="External"/><Relationship Id="rId103" Type="http://schemas.openxmlformats.org/officeDocument/2006/relationships/hyperlink" Target="http://madisonrealty.com" TargetMode="External"/><Relationship Id="rId102" Type="http://schemas.openxmlformats.org/officeDocument/2006/relationships/hyperlink" Target="https://img.logo.dev/madisoncapgroup.com?token=pk_FIVsDKgZTvCedVXXtt2rEg&amp;size=200&amp;retina=true" TargetMode="External"/><Relationship Id="rId101" Type="http://schemas.openxmlformats.org/officeDocument/2006/relationships/hyperlink" Target="http://madisoncapgroup.com" TargetMode="External"/><Relationship Id="rId100" Type="http://schemas.openxmlformats.org/officeDocument/2006/relationships/hyperlink" Target="https://img.logo.dev/livingstonstreetcapital.com?token=pk_FIVsDKgZTvCedVXXtt2rEg&amp;size=200&amp;retina=true" TargetMode="External"/><Relationship Id="rId31" Type="http://schemas.openxmlformats.org/officeDocument/2006/relationships/hyperlink" Target="http://caicap.com" TargetMode="External"/><Relationship Id="rId30" Type="http://schemas.openxmlformats.org/officeDocument/2006/relationships/hyperlink" Target="https://img.logo.dev/brookfield.com?token=pk_FIVsDKgZTvCedVXXtt2rEg&amp;size=200&amp;retina=true" TargetMode="External"/><Relationship Id="rId33" Type="http://schemas.openxmlformats.org/officeDocument/2006/relationships/hyperlink" Target="http://cantor.com" TargetMode="External"/><Relationship Id="rId32" Type="http://schemas.openxmlformats.org/officeDocument/2006/relationships/hyperlink" Target="https://img.logo.dev/caicap.com?token=pk_FIVsDKgZTvCedVXXtt2rEg&amp;size=200&amp;retina=true" TargetMode="External"/><Relationship Id="rId35" Type="http://schemas.openxmlformats.org/officeDocument/2006/relationships/hyperlink" Target="http://cantorsilverstein.com" TargetMode="External"/><Relationship Id="rId34" Type="http://schemas.openxmlformats.org/officeDocument/2006/relationships/hyperlink" Target="https://img.logo.dev/cantor.com?token=pk_FIVsDKgZTvCedVXXtt2rEg&amp;size=200&amp;retina=true" TargetMode="External"/><Relationship Id="rId37" Type="http://schemas.openxmlformats.org/officeDocument/2006/relationships/hyperlink" Target="http://capitalsq.com" TargetMode="External"/><Relationship Id="rId36" Type="http://schemas.openxmlformats.org/officeDocument/2006/relationships/hyperlink" Target="https://img.logo.dev/cantorsilverstein.com?token=pk_FIVsDKgZTvCedVXXtt2rEg&amp;size=200&amp;retina=true" TargetMode="External"/><Relationship Id="rId39" Type="http://schemas.openxmlformats.org/officeDocument/2006/relationships/hyperlink" Target="http://carterfunds.com" TargetMode="External"/><Relationship Id="rId38" Type="http://schemas.openxmlformats.org/officeDocument/2006/relationships/hyperlink" Target="https://img.logo.dev/capitalsq.com?token=pk_FIVsDKgZTvCedVXXtt2rEg&amp;size=200&amp;retina=true" TargetMode="External"/><Relationship Id="rId20" Type="http://schemas.openxmlformats.org/officeDocument/2006/relationships/hyperlink" Target="https://img.logo.dev/blackstone.com?token=pk_FIVsDKgZTvCedVXXtt2rEg&amp;size=200&amp;retina=true" TargetMode="External"/><Relationship Id="rId22" Type="http://schemas.openxmlformats.org/officeDocument/2006/relationships/hyperlink" Target="https://img.logo.dev/blueowl.com?token=pk_FIVsDKgZTvCedVXXtt2rEg&amp;size=200&amp;retina=true" TargetMode="External"/><Relationship Id="rId21" Type="http://schemas.openxmlformats.org/officeDocument/2006/relationships/hyperlink" Target="http://blueowl.com" TargetMode="External"/><Relationship Id="rId24" Type="http://schemas.openxmlformats.org/officeDocument/2006/relationships/hyperlink" Target="https://img.logo.dev/bluerockexchange.com?token=pk_FIVsDKgZTvCedVXXtt2rEg&amp;size=200&amp;retina=true" TargetMode="External"/><Relationship Id="rId23" Type="http://schemas.openxmlformats.org/officeDocument/2006/relationships/hyperlink" Target="http://bluerockexchange.com" TargetMode="External"/><Relationship Id="rId129" Type="http://schemas.openxmlformats.org/officeDocument/2006/relationships/hyperlink" Target="http://peachtreegroup.com" TargetMode="External"/><Relationship Id="rId128" Type="http://schemas.openxmlformats.org/officeDocument/2006/relationships/hyperlink" Target="https://img.logo.dev/passco.com?token=pk_FIVsDKgZTvCedVXXtt2rEg&amp;size=200&amp;retina=true" TargetMode="External"/><Relationship Id="rId127" Type="http://schemas.openxmlformats.org/officeDocument/2006/relationships/hyperlink" Target="http://passco.com" TargetMode="External"/><Relationship Id="rId126" Type="http://schemas.openxmlformats.org/officeDocument/2006/relationships/hyperlink" Target="https://img.logo.dev/pacificoakcapitaladvisors.com?token=pk_FIVsDKgZTvCedVXXtt2rEg&amp;size=200&amp;retina=true" TargetMode="External"/><Relationship Id="rId26" Type="http://schemas.openxmlformats.org/officeDocument/2006/relationships/hyperlink" Target="https://img.logo.dev/bonaventure.com?token=pk_FIVsDKgZTvCedVXXtt2rEg&amp;size=200&amp;retina=true" TargetMode="External"/><Relationship Id="rId121" Type="http://schemas.openxmlformats.org/officeDocument/2006/relationships/hyperlink" Target="http://olympusproperty.com" TargetMode="External"/><Relationship Id="rId25" Type="http://schemas.openxmlformats.org/officeDocument/2006/relationships/hyperlink" Target="http://bonaventure.com" TargetMode="External"/><Relationship Id="rId120" Type="http://schemas.openxmlformats.org/officeDocument/2006/relationships/hyperlink" Target="https://img.logo.dev/nuveen.com?token=pk_FIVsDKgZTvCedVXXtt2rEg&amp;size=200&amp;retina=true" TargetMode="External"/><Relationship Id="rId28" Type="http://schemas.openxmlformats.org/officeDocument/2006/relationships/hyperlink" Target="https://img.logo.dev/bridgeviewre.com?token=pk_FIVsDKgZTvCedVXXtt2rEg&amp;size=200&amp;retina=true" TargetMode="External"/><Relationship Id="rId27" Type="http://schemas.openxmlformats.org/officeDocument/2006/relationships/hyperlink" Target="http://bridgeviewre.com" TargetMode="External"/><Relationship Id="rId125" Type="http://schemas.openxmlformats.org/officeDocument/2006/relationships/hyperlink" Target="http://pacificoakcapitaladvisors.com" TargetMode="External"/><Relationship Id="rId29" Type="http://schemas.openxmlformats.org/officeDocument/2006/relationships/hyperlink" Target="http://brookfield.com" TargetMode="External"/><Relationship Id="rId124" Type="http://schemas.openxmlformats.org/officeDocument/2006/relationships/hyperlink" Target="https://img.logo.dev/origininvestments.com?token=pk_FIVsDKgZTvCedVXXtt2rEg&amp;size=200&amp;retina=true" TargetMode="External"/><Relationship Id="rId123" Type="http://schemas.openxmlformats.org/officeDocument/2006/relationships/hyperlink" Target="http://origininvestments.com" TargetMode="External"/><Relationship Id="rId122" Type="http://schemas.openxmlformats.org/officeDocument/2006/relationships/hyperlink" Target="https://img.logo.dev/olympusproperty.com?token=pk_FIVsDKgZTvCedVXXtt2rEg&amp;size=200&amp;retina=true" TargetMode="External"/><Relationship Id="rId95" Type="http://schemas.openxmlformats.org/officeDocument/2006/relationships/hyperlink" Target="http://kkr.com" TargetMode="External"/><Relationship Id="rId94" Type="http://schemas.openxmlformats.org/officeDocument/2006/relationships/hyperlink" Target="https://img.logo.dev/kingsbarn.com?token=pk_FIVsDKgZTvCedVXXtt2rEg&amp;size=200&amp;retina=true" TargetMode="External"/><Relationship Id="rId97" Type="http://schemas.openxmlformats.org/officeDocument/2006/relationships/hyperlink" Target="http://lasalle.com" TargetMode="External"/><Relationship Id="rId96" Type="http://schemas.openxmlformats.org/officeDocument/2006/relationships/hyperlink" Target="https://img.logo.dev/kkr.com?token=pk_FIVsDKgZTvCedVXXtt2rEg&amp;size=200&amp;retina=true" TargetMode="External"/><Relationship Id="rId11" Type="http://schemas.openxmlformats.org/officeDocument/2006/relationships/hyperlink" Target="http://aresmgmt.com" TargetMode="External"/><Relationship Id="rId99" Type="http://schemas.openxmlformats.org/officeDocument/2006/relationships/hyperlink" Target="http://livingstonstreetcapital.com" TargetMode="External"/><Relationship Id="rId10" Type="http://schemas.openxmlformats.org/officeDocument/2006/relationships/hyperlink" Target="https://img.logo.dev/arctrust.com?token=pk_FIVsDKgZTvCedVXXtt2rEg&amp;size=200&amp;retina=true" TargetMode="External"/><Relationship Id="rId98" Type="http://schemas.openxmlformats.org/officeDocument/2006/relationships/hyperlink" Target="https://img.logo.dev/lasalle.com?token=pk_FIVsDKgZTvCedVXXtt2rEg&amp;size=200&amp;retina=true" TargetMode="External"/><Relationship Id="rId13" Type="http://schemas.openxmlformats.org/officeDocument/2006/relationships/hyperlink" Target="http://arrimuscapital.com" TargetMode="External"/><Relationship Id="rId12" Type="http://schemas.openxmlformats.org/officeDocument/2006/relationships/hyperlink" Target="https://img.logo.dev/aresmgmt.com?token=pk_FIVsDKgZTvCedVXXtt2rEg&amp;size=200&amp;retina=true" TargetMode="External"/><Relationship Id="rId91" Type="http://schemas.openxmlformats.org/officeDocument/2006/relationships/hyperlink" Target="http://knpre.com" TargetMode="External"/><Relationship Id="rId90" Type="http://schemas.openxmlformats.org/officeDocument/2006/relationships/hyperlink" Target="https://img.logo.dev/kpi1031.com?token=pk_FIVsDKgZTvCedVXXtt2rEg&amp;size=200&amp;retina=true" TargetMode="External"/><Relationship Id="rId93" Type="http://schemas.openxmlformats.org/officeDocument/2006/relationships/hyperlink" Target="http://kingsbarn.com" TargetMode="External"/><Relationship Id="rId92" Type="http://schemas.openxmlformats.org/officeDocument/2006/relationships/hyperlink" Target="https://img.logo.dev/knpre.com?token=pk_FIVsDKgZTvCedVXXtt2rEg&amp;size=200&amp;retina=true" TargetMode="External"/><Relationship Id="rId118" Type="http://schemas.openxmlformats.org/officeDocument/2006/relationships/hyperlink" Target="https://img.logo.dev/nexpoint.com?token=pk_FIVsDKgZTvCedVXXtt2rEg&amp;size=200&amp;retina=true" TargetMode="External"/><Relationship Id="rId117" Type="http://schemas.openxmlformats.org/officeDocument/2006/relationships/hyperlink" Target="http://nexpoint.com" TargetMode="External"/><Relationship Id="rId116" Type="http://schemas.openxmlformats.org/officeDocument/2006/relationships/hyperlink" Target="https://img.logo.dev/netleasecapital.com?token=pk_FIVsDKgZTvCedVXXtt2rEg&amp;size=200&amp;retina=true" TargetMode="External"/><Relationship Id="rId115" Type="http://schemas.openxmlformats.org/officeDocument/2006/relationships/hyperlink" Target="http://netleasecapital.com" TargetMode="External"/><Relationship Id="rId119" Type="http://schemas.openxmlformats.org/officeDocument/2006/relationships/hyperlink" Target="http://nuveen.com" TargetMode="External"/><Relationship Id="rId15" Type="http://schemas.openxmlformats.org/officeDocument/2006/relationships/hyperlink" Target="http://bakertilly.com" TargetMode="External"/><Relationship Id="rId110" Type="http://schemas.openxmlformats.org/officeDocument/2006/relationships/hyperlink" Target="https://img.logo.dev/nasinvestmentsolutions.com?token=pk_FIVsDKgZTvCedVXXtt2rEg&amp;size=200&amp;retina=true" TargetMode="External"/><Relationship Id="rId14" Type="http://schemas.openxmlformats.org/officeDocument/2006/relationships/hyperlink" Target="https://img.logo.dev/arrimuscapital.com?token=pk_FIVsDKgZTvCedVXXtt2rEg&amp;size=200&amp;retina=true" TargetMode="External"/><Relationship Id="rId17" Type="http://schemas.openxmlformats.org/officeDocument/2006/relationships/hyperlink" Target="http://beaconreg.com" TargetMode="External"/><Relationship Id="rId16" Type="http://schemas.openxmlformats.org/officeDocument/2006/relationships/hyperlink" Target="https://img.logo.dev/bakertilly.com?token=pk_FIVsDKgZTvCedVXXtt2rEg&amp;size=200&amp;retina=true" TargetMode="External"/><Relationship Id="rId19" Type="http://schemas.openxmlformats.org/officeDocument/2006/relationships/hyperlink" Target="http://blackstone.com" TargetMode="External"/><Relationship Id="rId114" Type="http://schemas.openxmlformats.org/officeDocument/2006/relationships/hyperlink" Target="https://img.logo.dev/nelsonpartners.com?token=pk_FIVsDKgZTvCedVXXtt2rEg&amp;size=200&amp;retina=true" TargetMode="External"/><Relationship Id="rId18" Type="http://schemas.openxmlformats.org/officeDocument/2006/relationships/hyperlink" Target="https://img.logo.dev/beaconreg.com?token=pk_FIVsDKgZTvCedVXXtt2rEg&amp;size=200&amp;retina=true" TargetMode="External"/><Relationship Id="rId113" Type="http://schemas.openxmlformats.org/officeDocument/2006/relationships/hyperlink" Target="http://nelsonpartners.com" TargetMode="External"/><Relationship Id="rId112" Type="http://schemas.openxmlformats.org/officeDocument/2006/relationships/hyperlink" Target="https://img.logo.dev/nelsonbrothers.com?token=pk_FIVsDKgZTvCedVXXtt2rEg&amp;size=200&amp;retina=true" TargetMode="External"/><Relationship Id="rId111" Type="http://schemas.openxmlformats.org/officeDocument/2006/relationships/hyperlink" Target="http://nelsonbrothers.com" TargetMode="External"/><Relationship Id="rId84" Type="http://schemas.openxmlformats.org/officeDocument/2006/relationships/hyperlink" Target="https://img.logo.dev/invesco.com?token=pk_FIVsDKgZTvCedVXXtt2rEg&amp;size=200&amp;retina=true" TargetMode="External"/><Relationship Id="rId83" Type="http://schemas.openxmlformats.org/officeDocument/2006/relationships/hyperlink" Target="http://invesco.com" TargetMode="External"/><Relationship Id="rId86" Type="http://schemas.openxmlformats.org/officeDocument/2006/relationships/hyperlink" Target="https://img.logo.dev/jpmorgan.com?token=pk_FIVsDKgZTvCedVXXtt2rEg&amp;size=200&amp;retina=true" TargetMode="External"/><Relationship Id="rId85" Type="http://schemas.openxmlformats.org/officeDocument/2006/relationships/hyperlink" Target="http://jpmorgan.com" TargetMode="External"/><Relationship Id="rId88" Type="http://schemas.openxmlformats.org/officeDocument/2006/relationships/hyperlink" Target="https://img.logo.dev/jllipt.com?token=pk_FIVsDKgZTvCedVXXtt2rEg&amp;size=200&amp;retina=true" TargetMode="External"/><Relationship Id="rId150" Type="http://schemas.openxmlformats.org/officeDocument/2006/relationships/hyperlink" Target="https://img.logo.dev/starwoodcapital.com?token=pk_FIVsDKgZTvCedVXXtt2rEg&amp;size=200&amp;retina=true" TargetMode="External"/><Relationship Id="rId87" Type="http://schemas.openxmlformats.org/officeDocument/2006/relationships/hyperlink" Target="http://jllipt.com" TargetMode="External"/><Relationship Id="rId89" Type="http://schemas.openxmlformats.org/officeDocument/2006/relationships/hyperlink" Target="http://kpi1031.com" TargetMode="External"/><Relationship Id="rId80" Type="http://schemas.openxmlformats.org/officeDocument/2006/relationships/hyperlink" Target="https://img.logo.dev/hpaxchange.com?token=pk_FIVsDKgZTvCedVXXtt2rEg&amp;size=200&amp;retina=true" TargetMode="External"/><Relationship Id="rId82" Type="http://schemas.openxmlformats.org/officeDocument/2006/relationships/hyperlink" Target="https://img.logo.dev/inlandprivatecapital.com?token=pk_FIVsDKgZTvCedVXXtt2rEg&amp;size=200&amp;retina=true" TargetMode="External"/><Relationship Id="rId81" Type="http://schemas.openxmlformats.org/officeDocument/2006/relationships/hyperlink" Target="http://inlandprivatecapital.com" TargetMode="External"/><Relationship Id="rId1" Type="http://schemas.openxmlformats.org/officeDocument/2006/relationships/hyperlink" Target="http://1031crowdfunding.com" TargetMode="External"/><Relationship Id="rId2" Type="http://schemas.openxmlformats.org/officeDocument/2006/relationships/hyperlink" Target="https://img.logo.dev/1031crowdfunding.com?token=pk_FIVsDKgZTvCedVXXtt2rEg&amp;size=200&amp;retina=true" TargetMode="External"/><Relationship Id="rId3" Type="http://schemas.openxmlformats.org/officeDocument/2006/relationships/hyperlink" Target="http://aeifunds.com" TargetMode="External"/><Relationship Id="rId149" Type="http://schemas.openxmlformats.org/officeDocument/2006/relationships/hyperlink" Target="http://starwoodcapital.com" TargetMode="External"/><Relationship Id="rId4" Type="http://schemas.openxmlformats.org/officeDocument/2006/relationships/hyperlink" Target="https://img.logo.dev/aeifunds.com?token=pk_FIVsDKgZTvCedVXXtt2rEg&amp;size=200&amp;retina=true" TargetMode="External"/><Relationship Id="rId148" Type="http://schemas.openxmlformats.org/officeDocument/2006/relationships/hyperlink" Target="https://img.logo.dev/starboard-realty.com?token=pk_FIVsDKgZTvCedVXXtt2rEg&amp;size=200&amp;retina=true" TargetMode="External"/><Relationship Id="rId9" Type="http://schemas.openxmlformats.org/officeDocument/2006/relationships/hyperlink" Target="http://arctrust.com" TargetMode="External"/><Relationship Id="rId143" Type="http://schemas.openxmlformats.org/officeDocument/2006/relationships/hyperlink" Target="http://smartstop.com" TargetMode="External"/><Relationship Id="rId142" Type="http://schemas.openxmlformats.org/officeDocument/2006/relationships/hyperlink" Target="https://img.logo.dev/silversteinproperties.com?token=pk_FIVsDKgZTvCedVXXtt2rEg&amp;size=200&amp;retina=true" TargetMode="External"/><Relationship Id="rId141" Type="http://schemas.openxmlformats.org/officeDocument/2006/relationships/hyperlink" Target="http://silversteinproperties.com" TargetMode="External"/><Relationship Id="rId140" Type="http://schemas.openxmlformats.org/officeDocument/2006/relationships/hyperlink" Target="https://img.logo.dev/sealynet.com?token=pk_FIVsDKgZTvCedVXXtt2rEg&amp;size=200&amp;retina=true" TargetMode="External"/><Relationship Id="rId5" Type="http://schemas.openxmlformats.org/officeDocument/2006/relationships/hyperlink" Target="http://americancapitalgroup.com" TargetMode="External"/><Relationship Id="rId147" Type="http://schemas.openxmlformats.org/officeDocument/2006/relationships/hyperlink" Target="http://starboard-realty.com" TargetMode="External"/><Relationship Id="rId6" Type="http://schemas.openxmlformats.org/officeDocument/2006/relationships/hyperlink" Target="https://img.logo.dev/americancapitalgroup.com?token=pk_FIVsDKgZTvCedVXXtt2rEg&amp;size=200&amp;retina=true" TargetMode="External"/><Relationship Id="rId146" Type="http://schemas.openxmlformats.org/officeDocument/2006/relationships/hyperlink" Target="https://img.logo.dev/spartan-investors.com?token=pk_FIVsDKgZTvCedVXXtt2rEg&amp;size=200&amp;retina=true" TargetMode="External"/><Relationship Id="rId7" Type="http://schemas.openxmlformats.org/officeDocument/2006/relationships/hyperlink" Target="http://apollo.com" TargetMode="External"/><Relationship Id="rId145" Type="http://schemas.openxmlformats.org/officeDocument/2006/relationships/hyperlink" Target="http://spartan-investors.com" TargetMode="External"/><Relationship Id="rId8" Type="http://schemas.openxmlformats.org/officeDocument/2006/relationships/hyperlink" Target="https://img.logo.dev/apollo.com?token=pk_FIVsDKgZTvCedVXXtt2rEg&amp;size=200&amp;retina=true" TargetMode="External"/><Relationship Id="rId144" Type="http://schemas.openxmlformats.org/officeDocument/2006/relationships/hyperlink" Target="https://img.logo.dev/smartstop.com?token=pk_FIVsDKgZTvCedVXXtt2rEg&amp;size=200&amp;retina=true" TargetMode="External"/><Relationship Id="rId73" Type="http://schemas.openxmlformats.org/officeDocument/2006/relationships/hyperlink" Target="http://griffincapital.com" TargetMode="External"/><Relationship Id="rId72" Type="http://schemas.openxmlformats.org/officeDocument/2006/relationships/hyperlink" Target="https://img.logo.dev/greystar.com?token=pk_FIVsDKgZTvCedVXXtt2rEg&amp;size=200&amp;retina=true" TargetMode="External"/><Relationship Id="rId75" Type="http://schemas.openxmlformats.org/officeDocument/2006/relationships/hyperlink" Target="http://hamiltonptinv.com" TargetMode="External"/><Relationship Id="rId74" Type="http://schemas.openxmlformats.org/officeDocument/2006/relationships/hyperlink" Target="https://img.logo.dev/griffincapital.com?token=pk_FIVsDKgZTvCedVXXtt2rEg&amp;size=200&amp;retina=true" TargetMode="External"/><Relationship Id="rId77" Type="http://schemas.openxmlformats.org/officeDocument/2006/relationships/hyperlink" Target="http://hines.com" TargetMode="External"/><Relationship Id="rId76" Type="http://schemas.openxmlformats.org/officeDocument/2006/relationships/hyperlink" Target="https://img.logo.dev/hamiltonptinv.com?token=pk_FIVsDKgZTvCedVXXtt2rEg&amp;size=200&amp;retina=true" TargetMode="External"/><Relationship Id="rId79" Type="http://schemas.openxmlformats.org/officeDocument/2006/relationships/hyperlink" Target="http://hpaxchange.com" TargetMode="External"/><Relationship Id="rId78" Type="http://schemas.openxmlformats.org/officeDocument/2006/relationships/hyperlink" Target="https://img.logo.dev/hines.com?token=pk_FIVsDKgZTvCedVXXtt2rEg&amp;size=200&amp;retina=true" TargetMode="External"/><Relationship Id="rId71" Type="http://schemas.openxmlformats.org/officeDocument/2006/relationships/hyperlink" Target="http://greystar.com" TargetMode="External"/><Relationship Id="rId70" Type="http://schemas.openxmlformats.org/officeDocument/2006/relationships/hyperlink" Target="https://img.logo.dev/goldmansachs.com?token=pk_FIVsDKgZTvCedVXXtt2rEg&amp;size=200&amp;retina=true" TargetMode="External"/><Relationship Id="rId139" Type="http://schemas.openxmlformats.org/officeDocument/2006/relationships/hyperlink" Target="http://sealynet.com" TargetMode="External"/><Relationship Id="rId138" Type="http://schemas.openxmlformats.org/officeDocument/2006/relationships/hyperlink" Target="https://img.logo.dev/rkprop.com?token=pk_FIVsDKgZTvCedVXXtt2rEg&amp;size=200&amp;retina=true" TargetMode="External"/><Relationship Id="rId137" Type="http://schemas.openxmlformats.org/officeDocument/2006/relationships/hyperlink" Target="http://rkprop.com" TargetMode="External"/><Relationship Id="rId132" Type="http://schemas.openxmlformats.org/officeDocument/2006/relationships/hyperlink" Target="https://img.logo.dev/pgim.com?token=pk_FIVsDKgZTvCedVXXtt2rEg&amp;size=200&amp;retina=true" TargetMode="External"/><Relationship Id="rId131" Type="http://schemas.openxmlformats.org/officeDocument/2006/relationships/hyperlink" Target="http://pgim.com" TargetMode="External"/><Relationship Id="rId130" Type="http://schemas.openxmlformats.org/officeDocument/2006/relationships/hyperlink" Target="https://img.logo.dev/peachtreegroup.com?token=pk_FIVsDKgZTvCedVXXtt2rEg&amp;size=200&amp;retina=true" TargetMode="External"/><Relationship Id="rId136" Type="http://schemas.openxmlformats.org/officeDocument/2006/relationships/hyperlink" Target="https://img.logo.dev/resourceroyalty.com?token=pk_FIVsDKgZTvCedVXXtt2rEg&amp;size=200&amp;retina=true" TargetMode="External"/><Relationship Id="rId135" Type="http://schemas.openxmlformats.org/officeDocument/2006/relationships/hyperlink" Target="http://resourceroyalty.com" TargetMode="External"/><Relationship Id="rId134" Type="http://schemas.openxmlformats.org/officeDocument/2006/relationships/hyperlink" Target="https://img.logo.dev/platformventures.com?token=pk_FIVsDKgZTvCedVXXtt2rEg&amp;size=200&amp;retina=true" TargetMode="External"/><Relationship Id="rId133" Type="http://schemas.openxmlformats.org/officeDocument/2006/relationships/hyperlink" Target="http://platformventures.com" TargetMode="External"/><Relationship Id="rId62" Type="http://schemas.openxmlformats.org/officeDocument/2006/relationships/hyperlink" Target="https://img.logo.dev/ten31xchange.com?token=pk_FIVsDKgZTvCedVXXtt2rEg&amp;size=200&amp;retina=true" TargetMode="External"/><Relationship Id="rId61" Type="http://schemas.openxmlformats.org/officeDocument/2006/relationships/hyperlink" Target="http://ten31xchange.com" TargetMode="External"/><Relationship Id="rId64" Type="http://schemas.openxmlformats.org/officeDocument/2006/relationships/hyperlink" Target="https://img.logo.dev/fsinvestments.com?token=pk_FIVsDKgZTvCedVXXtt2rEg&amp;size=200&amp;retina=true" TargetMode="External"/><Relationship Id="rId63" Type="http://schemas.openxmlformats.org/officeDocument/2006/relationships/hyperlink" Target="http://fsinvestments.com" TargetMode="External"/><Relationship Id="rId66" Type="http://schemas.openxmlformats.org/officeDocument/2006/relationships/hyperlink" Target="https://img.logo.dev/gkdevelopment.com?token=pk_FIVsDKgZTvCedVXXtt2rEg&amp;size=200&amp;retina=true" TargetMode="External"/><Relationship Id="rId65" Type="http://schemas.openxmlformats.org/officeDocument/2006/relationships/hyperlink" Target="http://gkdevelopment.com" TargetMode="External"/><Relationship Id="rId171" Type="http://schemas.openxmlformats.org/officeDocument/2006/relationships/drawing" Target="../drawings/drawing4.xml"/><Relationship Id="rId68" Type="http://schemas.openxmlformats.org/officeDocument/2006/relationships/hyperlink" Target="https://img.logo.dev/gostoreit.com?token=pk_FIVsDKgZTvCedVXXtt2rEg&amp;size=200&amp;retina=true" TargetMode="External"/><Relationship Id="rId170" Type="http://schemas.openxmlformats.org/officeDocument/2006/relationships/hyperlink" Target="https://logo.clearbit.com/idealcapgroup.com" TargetMode="External"/><Relationship Id="rId67" Type="http://schemas.openxmlformats.org/officeDocument/2006/relationships/hyperlink" Target="http://gostoreit.com" TargetMode="External"/><Relationship Id="rId60" Type="http://schemas.openxmlformats.org/officeDocument/2006/relationships/hyperlink" Target="https://img.logo.dev/fortress.com?token=pk_FIVsDKgZTvCedVXXtt2rEg&amp;size=200&amp;retina=true" TargetMode="External"/><Relationship Id="rId165" Type="http://schemas.openxmlformats.org/officeDocument/2006/relationships/hyperlink" Target="http://newstar-am.com" TargetMode="External"/><Relationship Id="rId69" Type="http://schemas.openxmlformats.org/officeDocument/2006/relationships/hyperlink" Target="http://goldmansachs.com" TargetMode="External"/><Relationship Id="rId164" Type="http://schemas.openxmlformats.org/officeDocument/2006/relationships/hyperlink" Target="https://img.logo.dev/olympusproperty.com?token=pk_FIVsDKgZTvCedVXXtt2rEg&amp;size=200&amp;retina=true" TargetMode="External"/><Relationship Id="rId163" Type="http://schemas.openxmlformats.org/officeDocument/2006/relationships/hyperlink" Target="http://olympusproperty.com" TargetMode="External"/><Relationship Id="rId162" Type="http://schemas.openxmlformats.org/officeDocument/2006/relationships/hyperlink" Target="https://img.logo.dev/walton.com?token=pk_FIVsDKgZTvCedVXXtt2rEg&amp;size=200&amp;retina=true" TargetMode="External"/><Relationship Id="rId169" Type="http://schemas.openxmlformats.org/officeDocument/2006/relationships/hyperlink" Target="http://idealcapgroup.com" TargetMode="External"/><Relationship Id="rId168" Type="http://schemas.openxmlformats.org/officeDocument/2006/relationships/hyperlink" Target="https://img.logo.dev/thewyomingreserve.com?token=pk_FIVsDKgZTvCedVXXtt2rEg&amp;size=200&amp;retina=true" TargetMode="External"/><Relationship Id="rId167" Type="http://schemas.openxmlformats.org/officeDocument/2006/relationships/hyperlink" Target="http://thewyomingreserve.com" TargetMode="External"/><Relationship Id="rId166" Type="http://schemas.openxmlformats.org/officeDocument/2006/relationships/hyperlink" Target="https://img.logo.dev/newstar-am.com?token=pk_FIVsDKgZTvCedVXXtt2rEg&amp;size=200&amp;retina=true" TargetMode="External"/><Relationship Id="rId51" Type="http://schemas.openxmlformats.org/officeDocument/2006/relationships/hyperlink" Target="http://cunat.com" TargetMode="External"/><Relationship Id="rId50" Type="http://schemas.openxmlformats.org/officeDocument/2006/relationships/hyperlink" Target="https://img.logo.dev/croataninvestments.com?token=pk_FIVsDKgZTvCedVXXtt2rEg&amp;size=200&amp;retina=true" TargetMode="External"/><Relationship Id="rId53" Type="http://schemas.openxmlformats.org/officeDocument/2006/relationships/hyperlink" Target="http://denholtz.com" TargetMode="External"/><Relationship Id="rId52" Type="http://schemas.openxmlformats.org/officeDocument/2006/relationships/hyperlink" Target="https://img.logo.dev/cunat.com?token=pk_FIVsDKgZTvCedVXXtt2rEg&amp;size=200&amp;retina=true" TargetMode="External"/><Relationship Id="rId55" Type="http://schemas.openxmlformats.org/officeDocument/2006/relationships/hyperlink" Target="https://www.erpfunds.com/" TargetMode="External"/><Relationship Id="rId161" Type="http://schemas.openxmlformats.org/officeDocument/2006/relationships/hyperlink" Target="http://walton.com" TargetMode="External"/><Relationship Id="rId54" Type="http://schemas.openxmlformats.org/officeDocument/2006/relationships/hyperlink" Target="https://img.logo.dev/denholtz.com?token=pk_FIVsDKgZTvCedVXXtt2rEg&amp;size=200&amp;retina=true" TargetMode="External"/><Relationship Id="rId160" Type="http://schemas.openxmlformats.org/officeDocument/2006/relationships/hyperlink" Target="https://img.logo.dev/virtuapartners.com?token=pk_FIVsDKgZTvCedVXXtt2rEg&amp;size=200&amp;retina=true" TargetMode="External"/><Relationship Id="rId57" Type="http://schemas.openxmlformats.org/officeDocument/2006/relationships/hyperlink" Target="http://exchangeright.com" TargetMode="External"/><Relationship Id="rId56" Type="http://schemas.openxmlformats.org/officeDocument/2006/relationships/hyperlink" Target="https://img.logo.dev/erpfunds.com?token=pk_FIVsDKgZTvCedVXXtt2rEg&amp;size=200&amp;retina=true" TargetMode="External"/><Relationship Id="rId159" Type="http://schemas.openxmlformats.org/officeDocument/2006/relationships/hyperlink" Target="http://virtuapartners.com" TargetMode="External"/><Relationship Id="rId59" Type="http://schemas.openxmlformats.org/officeDocument/2006/relationships/hyperlink" Target="http://fortress.com" TargetMode="External"/><Relationship Id="rId154" Type="http://schemas.openxmlformats.org/officeDocument/2006/relationships/hyperlink" Target="https://img.logo.dev/timeequities.com?token=pk_FIVsDKgZTvCedVXXtt2rEg&amp;size=200&amp;retina=true" TargetMode="External"/><Relationship Id="rId58" Type="http://schemas.openxmlformats.org/officeDocument/2006/relationships/hyperlink" Target="https://img.logo.dev/exchangeright.com?token=pk_FIVsDKgZTvCedVXXtt2rEg&amp;size=200&amp;retina=true" TargetMode="External"/><Relationship Id="rId153" Type="http://schemas.openxmlformats.org/officeDocument/2006/relationships/hyperlink" Target="http://timeequities.com" TargetMode="External"/><Relationship Id="rId152" Type="http://schemas.openxmlformats.org/officeDocument/2006/relationships/hyperlink" Target="https://img.logo.dev/syndicatedequities.com?token=pk_FIVsDKgZTvCedVXXtt2rEg&amp;size=200&amp;retina=true" TargetMode="External"/><Relationship Id="rId151" Type="http://schemas.openxmlformats.org/officeDocument/2006/relationships/hyperlink" Target="http://syndicatedequities.com" TargetMode="External"/><Relationship Id="rId158" Type="http://schemas.openxmlformats.org/officeDocument/2006/relationships/hyperlink" Target="https://img.logo.dev/urbancatalyst.com?token=pk_FIVsDKgZTvCedVXXtt2rEg&amp;size=200&amp;retina=true" TargetMode="External"/><Relationship Id="rId157" Type="http://schemas.openxmlformats.org/officeDocument/2006/relationships/hyperlink" Target="http://urbancatalyst.com" TargetMode="External"/><Relationship Id="rId156" Type="http://schemas.openxmlformats.org/officeDocument/2006/relationships/hyperlink" Target="https://img.logo.dev/trilogyreg.com?token=pk_FIVsDKgZTvCedVXXtt2rEg&amp;size=200&amp;retina=true" TargetMode="External"/><Relationship Id="rId155" Type="http://schemas.openxmlformats.org/officeDocument/2006/relationships/hyperlink" Target="http://trilogyreg.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8.0"/>
    <col customWidth="1" min="2" max="2" width="21.13"/>
    <col customWidth="1" min="9" max="9" width="13.75"/>
    <col customWidth="1" min="11" max="11" width="17.75"/>
    <col customWidth="1" min="17" max="17" width="15.63"/>
    <col customWidth="1" min="18" max="18" width="18.75"/>
    <col customWidth="1" min="48" max="48" width="22.63"/>
    <col customWidth="1" min="57" max="57" width="13.13"/>
    <col customWidth="1" min="58" max="58" width="11.0"/>
    <col customWidth="1" min="59" max="79" width="12.25"/>
  </cols>
  <sheetData>
    <row r="1">
      <c r="A1" s="1" t="s">
        <v>0</v>
      </c>
      <c r="B1" s="1" t="s">
        <v>1</v>
      </c>
      <c r="C1" s="1" t="s">
        <v>2</v>
      </c>
      <c r="D1" s="1" t="s">
        <v>3</v>
      </c>
      <c r="E1" s="1" t="s">
        <v>4</v>
      </c>
      <c r="F1" s="1" t="s">
        <v>5</v>
      </c>
      <c r="G1" s="1" t="s">
        <v>6</v>
      </c>
      <c r="H1" s="1" t="s">
        <v>7</v>
      </c>
      <c r="I1" s="2"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4" t="s">
        <v>62</v>
      </c>
      <c r="BL1" s="5" t="s">
        <v>63</v>
      </c>
      <c r="BM1" s="6" t="s">
        <v>64</v>
      </c>
      <c r="BN1" s="7" t="s">
        <v>65</v>
      </c>
      <c r="BO1" s="5" t="s">
        <v>66</v>
      </c>
      <c r="BP1" s="1" t="s">
        <v>67</v>
      </c>
      <c r="BQ1" s="1" t="s">
        <v>68</v>
      </c>
      <c r="BR1" s="1" t="s">
        <v>69</v>
      </c>
      <c r="BS1" s="1" t="s">
        <v>70</v>
      </c>
      <c r="BT1" s="1" t="s">
        <v>71</v>
      </c>
      <c r="BU1" s="1" t="s">
        <v>72</v>
      </c>
      <c r="BV1" s="1" t="s">
        <v>73</v>
      </c>
      <c r="BW1" s="1" t="s">
        <v>74</v>
      </c>
      <c r="BX1" s="1" t="s">
        <v>75</v>
      </c>
      <c r="BY1" s="1" t="s">
        <v>76</v>
      </c>
      <c r="BZ1" s="1" t="s">
        <v>77</v>
      </c>
      <c r="CA1" s="1" t="s">
        <v>78</v>
      </c>
    </row>
    <row r="2">
      <c r="A2" s="8" t="s">
        <v>79</v>
      </c>
      <c r="B2" s="8" t="s">
        <v>80</v>
      </c>
      <c r="C2" s="8" t="s">
        <v>81</v>
      </c>
      <c r="D2" s="8" t="s">
        <v>82</v>
      </c>
      <c r="E2" s="9">
        <v>5.05E7</v>
      </c>
      <c r="F2" s="9">
        <v>5.05E7</v>
      </c>
      <c r="G2" s="9">
        <v>0.0</v>
      </c>
      <c r="H2" s="8" t="s">
        <v>83</v>
      </c>
      <c r="I2" s="9">
        <v>2.5680857E7</v>
      </c>
      <c r="J2" s="10">
        <v>46169.0</v>
      </c>
      <c r="K2" s="11">
        <f t="shared" ref="K2:K48" si="1">(I2/F2)</f>
        <v>0.5085318218</v>
      </c>
      <c r="L2" s="8" t="s">
        <v>84</v>
      </c>
      <c r="M2" s="8" t="s">
        <v>85</v>
      </c>
      <c r="N2" s="12" t="str">
        <f>IFERROR(__xludf.DUMMYFUNCTION("TEXTJOIN("", "", TRUE, SORT(TRANSPOSE(SPLIT(M2, "", ""))))"),"AZ, CT, TX")</f>
        <v>AZ, CT, TX</v>
      </c>
      <c r="O2" s="12" t="s">
        <v>86</v>
      </c>
      <c r="P2" s="8" t="s">
        <v>87</v>
      </c>
      <c r="Q2" s="8" t="s">
        <v>88</v>
      </c>
      <c r="R2" s="8" t="s">
        <v>89</v>
      </c>
      <c r="S2" s="8" t="s">
        <v>90</v>
      </c>
      <c r="T2" s="8" t="s">
        <v>91</v>
      </c>
      <c r="U2" s="8" t="s">
        <v>92</v>
      </c>
      <c r="V2" s="8" t="s">
        <v>93</v>
      </c>
      <c r="W2" s="8" t="s">
        <v>94</v>
      </c>
      <c r="X2" s="8" t="s">
        <v>95</v>
      </c>
      <c r="Y2" s="8" t="s">
        <v>96</v>
      </c>
      <c r="Z2" s="8" t="s">
        <v>97</v>
      </c>
      <c r="AA2" s="8" t="s">
        <v>98</v>
      </c>
      <c r="AB2" s="11">
        <v>0.05</v>
      </c>
      <c r="AC2" s="11">
        <v>0.0504</v>
      </c>
      <c r="AD2" s="11">
        <v>0.0507</v>
      </c>
      <c r="AE2" s="11">
        <v>0.0535</v>
      </c>
      <c r="AF2" s="11">
        <v>0.0547</v>
      </c>
      <c r="AG2" s="11">
        <v>0.0563</v>
      </c>
      <c r="AH2" s="11">
        <v>0.0576</v>
      </c>
      <c r="AI2" s="11">
        <v>0.059</v>
      </c>
      <c r="AJ2" s="11">
        <v>0.0603</v>
      </c>
      <c r="AK2" s="11">
        <v>0.0614</v>
      </c>
      <c r="AL2" s="11">
        <v>0.0554</v>
      </c>
      <c r="AM2" s="8" t="s">
        <v>99</v>
      </c>
      <c r="AN2" s="13">
        <f t="shared" ref="AN2:AN64" si="2">IFERROR((AB2 * ((1 - VALUE(SUBSTITUTE(H2, " LTV", ""))) + 0.02)) + (PMT(0.0535/12, 25*12, -VALUE(SUBSTITUTE(H2, " LTV", ""))) * 12) + (0.02/10) + (0.03/10) + 0.02, "N/A")</f>
        <v>0.076</v>
      </c>
      <c r="AO2" s="8" t="s">
        <v>100</v>
      </c>
      <c r="AP2" s="8" t="s">
        <v>101</v>
      </c>
      <c r="AQ2" s="8" t="s">
        <v>101</v>
      </c>
      <c r="AR2" s="8" t="s">
        <v>101</v>
      </c>
      <c r="AS2" s="8" t="s">
        <v>101</v>
      </c>
      <c r="AT2" s="12" t="s">
        <v>102</v>
      </c>
      <c r="AV2" s="14" t="s">
        <v>103</v>
      </c>
      <c r="AW2" s="15"/>
      <c r="AX2" s="9">
        <v>100000.0</v>
      </c>
      <c r="AY2" s="16" t="str">
        <f>IFERROR(__xludf.DUMMYFUNCTION("IF(ISBLANK(AV2), """", IF(REGEXMATCH(AV2, ""/file/d/""), ""https://lh3.googleusercontent.com/d/"" &amp; REGEXEXTRACT(AV2, ""/d/([a-zA-Z0-9_-]+)""), AV2))"),"https://lh3.googleusercontent.com/d/1UpckdXDq8HJjnUzTg9n_WOvsJA0k1qGf")</f>
        <v>https://lh3.googleusercontent.com/d/1UpckdXDq8HJjnUzTg9n_WOvsJA0k1qGf</v>
      </c>
      <c r="AZ2" s="13">
        <f t="shared" ref="AZ2:AZ64" si="3">IF(AM2="Not Disclosed", AB2 + ((14545 / 100000) * (0.32 / (1 - 0.32))), AM2)</f>
        <v>0.1184470588</v>
      </c>
      <c r="BA2" s="17" t="str">
        <f t="shared" ref="BA2:BA64" si="4">if(AM2="Not Disclosed", "Est. Tax-Adjusted Yield⁹", "Tax-Adjusted Yield")</f>
        <v>Est. Tax-Adjusted Yield⁹</v>
      </c>
      <c r="BB2" s="17" t="str">
        <f t="shared" ref="BB2:BB64" si="5">if(AW2="", "Offering Documents Available By Request", "Download Offering Documents")</f>
        <v>Offering Documents Available By Request</v>
      </c>
      <c r="BC2" s="8" t="s">
        <v>104</v>
      </c>
      <c r="BD2" s="8" t="s">
        <v>105</v>
      </c>
      <c r="BE2" s="8" t="s">
        <v>106</v>
      </c>
      <c r="BF2" s="17" t="str">
        <f t="shared" ref="BF2:BF48" si="6">"Learn More About "&amp;B2</f>
        <v>Learn More About AEI Capital Corporation</v>
      </c>
      <c r="BG2" s="17" t="str">
        <f t="shared" ref="BG2:BG48" si="7">"Learn More About "&amp;L2&amp;" Properties"</f>
        <v>Learn More About Healthcare Properties</v>
      </c>
      <c r="BH2" s="17">
        <f t="array" ref="BH2">IFERROR(XLOOKUP($B2, 'Sponsor Connection'!$A:$A, 'Sponsor Connection'!$B:$B), )</f>
        <v>1970</v>
      </c>
      <c r="BI2" s="17" t="str">
        <f t="array" ref="BI2">IFERROR(XLOOKUP($B2, 'Sponsor Connection'!$A:$A, 'Sponsor Connection'!$D:$D), )</f>
        <v>AEI is among the longest-tenured names in the net-lease 1031 space, tracing its lineage to 1970 and to what it describes as one of the earliest securitized fractional-ownership structures. The firm's franchise is built on debt-free, all-cash ownership of single-tenant retail, restaurant and healthcare properties leased to credit-quality operators—a conservative posture that strips refinancing and foreclosure risk out of the capital stack and has carried it through multiple real estate cycles. With decades of completed full-cycle programs behind it, AEI markets stability and longevity over scale or sector breadth, a profile that resonates with risk-averse exchangers prioritizing capital preservation over yield.</v>
      </c>
      <c r="BJ2" s="18">
        <f t="array" ref="BJ2">IF($B2="", "", LET(aum, IFERROR(XLOOKUP($B2, 'Sponsor Connection'!$A:$A, 'Sponsor Connection'!$C:$C), ""), IF(OR(aum="", aum=0), "Not Reported", aum)))</f>
        <v>1610000000</v>
      </c>
      <c r="BK2" s="19">
        <f t="array" ref="BK2">IF(ISBLANK($B2), "", LET(val, IFERROR(XLOOKUP($B2, 'Sponsor Connection'!$A:$A, 'Sponsor Connection'!$M:$M), ""), IF(OR(ISBLANK(val), val="", val=0), "Not Reported", val)))</f>
        <v>48</v>
      </c>
      <c r="BL2" s="13">
        <f t="array" ref="BL2">IF(ISBLANK($B2), "", LET(val, IFERROR(XLOOKUP($B2, 'Sponsor Connection'!$A:$A, 'Sponsor Connection'!$N:$N), ""), IF(val="", "Not Reported", val)))</f>
        <v>0.06746666667</v>
      </c>
      <c r="BM2" s="20">
        <f t="array" ref="BM2">IF(ISBLANK($B2), "", LET(val, IFERROR(XLOOKUP($B2, 'Sponsor Connection'!$A:$A, 'Sponsor Connection'!$O:$O), ""), IF(val="", "Not Reported", val)))</f>
        <v>1.548125</v>
      </c>
      <c r="BN2" s="21">
        <f t="array" ref="BN2">IF(ISBLANK($B2), "", LET(val, IFERROR(XLOOKUP($B2, 'Sponsor Connection'!$A:$A, 'Sponsor Connection'!$P:$P), ""), IF(val="", "Not Reported", val)))</f>
        <v>13.31541667</v>
      </c>
      <c r="BO2" s="13">
        <f t="array" ref="BO2">IF(ISBLANK($B2), "", LET(val, IFERROR(XLOOKUP($B2, 'Sponsor Connection'!$A:$A, 'Sponsor Connection'!$Q:$Q), ""), IF(val="", "Not Reported", val)))</f>
        <v>1</v>
      </c>
      <c r="BP2" s="22" t="s">
        <v>107</v>
      </c>
      <c r="BQ2" s="13">
        <f t="shared" ref="BQ2:BQ64" si="8">AL2</f>
        <v>0.0554</v>
      </c>
      <c r="BR2" s="13">
        <f>IFERROR(VLOOKUP(L2, Benchmarks!$A$2:$D$15, 2, FALSE), "Not Analyzed")</f>
        <v>0.0641</v>
      </c>
      <c r="BS2" s="17" t="str">
        <f t="shared" ref="BS2:BS64" si="9">IFERROR(IF(OR(ISBLANK(BQ2), ISBLANK(BR2)), "", IF(ABS(BQ2-BR2)/BQ2 &lt;= 0.1, "Meets Average", IF(BQ2 &gt; BR2, "Above Average", "Below Average"))), "Not Analyzed")</f>
        <v>Below Average</v>
      </c>
      <c r="BT2" s="13">
        <f t="shared" ref="BT2:BT64" si="10">iferror((BW2-AB2)/AB2, 0)</f>
        <v>0.228</v>
      </c>
      <c r="BU2" s="13">
        <f>IFERROR(VLOOKUP(L2, Benchmarks!$A$2:$D$15, 4, FALSE), "Not Analyzed")</f>
        <v>0.1543005464</v>
      </c>
      <c r="BV2" s="17" t="str">
        <f t="shared" ref="BV2:BV64" si="11">IFERROR(IF(OR(ISBLANK(BT2), ISBLANK(BU2)), "", IF(ABS(BT2-BU2)/BT2 &lt;= 0.1, "Meets Average", IF(BT2 &gt; BU2, "Above Average", "Below Average"))), "Not Analyzed")</f>
        <v>Above Average</v>
      </c>
      <c r="BW2" s="13">
        <f t="shared" ref="BW2:BW64" si="12">max(AB2:AK2)</f>
        <v>0.0614</v>
      </c>
      <c r="BX2" s="13">
        <f>IFERROR(VLOOKUP(L2, Benchmarks!$A$2:$D$15, 3, FALSE), "Not Analyzed")</f>
        <v>0.07025</v>
      </c>
      <c r="BY2" s="17" t="str">
        <f t="shared" ref="BY2:BY64" si="13">IFERROR(IF(OR(ISBLANK(BW2), ISBLANK(BX2)), "", IF(ABS(BW2-BX2)/BW2 &lt;= 0.1, "Meets Average", IF(BW2 &gt; BX2, "Above Average", "Below Average"))), "Not Analyzed")</f>
        <v>Below Average</v>
      </c>
      <c r="BZ2" s="17" t="str">
        <f t="shared" ref="BZ2:BZ48" si="14">"Investment: " &amp; A2 &amp; " | Sponsor: " &amp; B2 &amp; " | Structure: " &amp; C2 &amp; " | Status: " &amp; D2 &amp; " | LTV: " &amp; H2 &amp; " | Availability: " &amp; K2 &amp; " | Location: " &amp; N2 &amp; " | Strategy: " &amp; P2 &amp; " | 721 Exchange Exit: " &amp; Q2 &amp; " | Estimated Hold: " &amp; R2 &amp; " | Cap Rate Equivalent: " &amp; AN2 &amp; " | Minimum Investment: " &amp; AX2</f>
        <v>Investment: AEI Healthcare Portfolio VII DST | Sponsor: AEI Capital Corporation | Structure: Delaware Statutory Trust (DST) | Status: Available | LTV: 0.00% LTV | Availability: 0.508531821782178 | Location: AZ, CT, TX | Strategy: Core | 721 Exchange Exit: Optional | Estimated Hold: 10 years | Cap Rate Equivalent: 0.076 | Minimum Investment: 100000</v>
      </c>
      <c r="CA2" s="17" t="str">
        <f>A2&amp;" ("&amp;H2&amp;")"&amp;CHAR(10)&amp;CHAR(10)&amp;"AEI Healthcare Portfolio VII is a debt-free Delaware Statutory Trust holding three purpose-built, single-tenant outpatient medical office assets across Arizona, Texas, and Connecticut, net-leased to healthcare operators on terms running to 2037-2042. Cont"&amp;"ractual 2.0%-2.5% annual escalators and tenant-reimbursed insurance produce escalating net-lease income with minimal trust-level expense. The all-cash structure carries no refinancing or interest-rate exposure, positioning the offering as a core, income-o"&amp;"riented vehicle underpinned by secular outpatient-care migration and aging demographics."&amp;CHAR(10)&amp;CHAR(10)&amp;"&gt;&gt; Download Offering Documents"&amp;CHAR(10)&amp;"https://www.baker1031.com/sponsors/aei-capital-corporation"</f>
        <v>AEI Healthcare Portfolio VII DST (0.00% LTV)
AEI Healthcare Portfolio VII is a debt-free Delaware Statutory Trust holding three purpose-built, single-tenant outpatient medical office assets across Arizona, Texas, and Connecticut, net-leased to healthcare operators on terms running to 2037-2042. Contractual 2.0%-2.5% annual escalators and tenant-reimbursed insurance produce escalating net-lease income with minimal trust-level expense. The all-cash structure carries no refinancing or interest-rate exposure, positioning the offering as a core, income-oriented vehicle underpinned by secular outpatient-care migration and aging demographics.
&gt;&gt; Download Offering Documents
https://www.baker1031.com/sponsors/aei-capital-corporation</v>
      </c>
    </row>
    <row r="3">
      <c r="A3" s="8" t="s">
        <v>108</v>
      </c>
      <c r="B3" s="8" t="s">
        <v>109</v>
      </c>
      <c r="C3" s="8" t="s">
        <v>81</v>
      </c>
      <c r="D3" s="8" t="s">
        <v>82</v>
      </c>
      <c r="E3" s="9">
        <v>6.4766336E7</v>
      </c>
      <c r="F3" s="9">
        <v>6.4766336E7</v>
      </c>
      <c r="G3" s="9">
        <v>0.0</v>
      </c>
      <c r="H3" s="8" t="s">
        <v>83</v>
      </c>
      <c r="I3" s="9">
        <v>4.1797727E7</v>
      </c>
      <c r="J3" s="10">
        <v>46113.0</v>
      </c>
      <c r="K3" s="11">
        <f t="shared" si="1"/>
        <v>0.6453619207</v>
      </c>
      <c r="L3" s="8" t="s">
        <v>110</v>
      </c>
      <c r="M3" s="8" t="s">
        <v>111</v>
      </c>
      <c r="N3" s="12" t="str">
        <f>IFERROR(__xludf.DUMMYFUNCTION("TEXTJOIN("", "", TRUE, SORT(TRANSPOSE(SPLIT(M3, "", ""))))"),"FL, TX")</f>
        <v>FL, TX</v>
      </c>
      <c r="O3" s="12" t="s">
        <v>112</v>
      </c>
      <c r="P3" s="8" t="s">
        <v>113</v>
      </c>
      <c r="Q3" s="8" t="s">
        <v>88</v>
      </c>
      <c r="R3" s="8" t="s">
        <v>89</v>
      </c>
      <c r="S3" s="8" t="s">
        <v>114</v>
      </c>
      <c r="T3" s="8" t="s">
        <v>115</v>
      </c>
      <c r="U3" s="8" t="s">
        <v>116</v>
      </c>
      <c r="V3" s="8" t="s">
        <v>117</v>
      </c>
      <c r="W3" s="8" t="s">
        <v>118</v>
      </c>
      <c r="X3" s="8" t="s">
        <v>119</v>
      </c>
      <c r="Y3" s="8" t="s">
        <v>120</v>
      </c>
      <c r="Z3" s="8" t="s">
        <v>121</v>
      </c>
      <c r="AA3" s="8" t="s">
        <v>122</v>
      </c>
      <c r="AB3" s="11">
        <v>0.0441</v>
      </c>
      <c r="AC3" s="11">
        <v>0.0451</v>
      </c>
      <c r="AD3" s="11">
        <v>0.0455</v>
      </c>
      <c r="AE3" s="11">
        <v>0.0461</v>
      </c>
      <c r="AF3" s="11">
        <v>0.0464</v>
      </c>
      <c r="AG3" s="11">
        <v>0.047</v>
      </c>
      <c r="AH3" s="11">
        <v>0.0481</v>
      </c>
      <c r="AI3" s="11">
        <v>0.0486</v>
      </c>
      <c r="AJ3" s="11">
        <v>0.0496</v>
      </c>
      <c r="AK3" s="11">
        <v>0.0506</v>
      </c>
      <c r="AL3" s="11">
        <v>0.0471</v>
      </c>
      <c r="AM3" s="11">
        <v>0.0616</v>
      </c>
      <c r="AN3" s="13">
        <f t="shared" si="2"/>
        <v>0.069982</v>
      </c>
      <c r="AO3" s="8" t="s">
        <v>100</v>
      </c>
      <c r="AP3" s="8" t="s">
        <v>101</v>
      </c>
      <c r="AQ3" s="8" t="s">
        <v>101</v>
      </c>
      <c r="AR3" s="8" t="s">
        <v>101</v>
      </c>
      <c r="AS3" s="8" t="s">
        <v>101</v>
      </c>
      <c r="AT3" s="12" t="s">
        <v>102</v>
      </c>
      <c r="AU3" s="8" t="s">
        <v>123</v>
      </c>
      <c r="AV3" s="22" t="s">
        <v>124</v>
      </c>
      <c r="AW3" s="15"/>
      <c r="AX3" s="9">
        <v>100000.0</v>
      </c>
      <c r="AY3" s="16" t="str">
        <f>IFERROR(__xludf.DUMMYFUNCTION("IF(ISBLANK(AV3), """", IF(REGEXMATCH(AV3, ""/file/d/""), ""https://lh3.googleusercontent.com/d/"" &amp; REGEXEXTRACT(AV3, ""/d/([a-zA-Z0-9_-]+)""), AV3))"),"https://lh3.googleusercontent.com/d/1-val7swkH1VPNam90f34CrzczJjcQaHO")</f>
        <v>https://lh3.googleusercontent.com/d/1-val7swkH1VPNam90f34CrzczJjcQaHO</v>
      </c>
      <c r="AZ3" s="13">
        <f t="shared" si="3"/>
        <v>0.0616</v>
      </c>
      <c r="BA3" s="17" t="str">
        <f t="shared" si="4"/>
        <v>Tax-Adjusted Yield</v>
      </c>
      <c r="BB3" s="17" t="str">
        <f t="shared" si="5"/>
        <v>Offering Documents Available By Request</v>
      </c>
      <c r="BC3" s="8" t="s">
        <v>125</v>
      </c>
      <c r="BD3" s="8" t="s">
        <v>126</v>
      </c>
      <c r="BE3" s="8" t="s">
        <v>127</v>
      </c>
      <c r="BF3" s="17" t="str">
        <f t="shared" si="6"/>
        <v>Learn More About SmartStop</v>
      </c>
      <c r="BG3" s="17" t="str">
        <f t="shared" si="7"/>
        <v>Learn More About Self-Storage Properties</v>
      </c>
      <c r="BH3" s="17">
        <f t="array" ref="BH3">IFERROR(XLOOKUP($B3, 'Sponsor Connection'!$A:$A, 'Sponsor Connection'!$B:$B), )</f>
        <v>2013</v>
      </c>
      <c r="BI3" s="17" t="str">
        <f t="array" ref="BI3">IFERROR(XLOOKUP($B3, 'Sponsor Connection'!$A:$A, 'Sponsor Connection'!$D:$D), )</f>
        <v>SmartStop is a self-storage REIT (NYSE: SMA) that completed an $810 million IPO in April 2025 and sponsors self-storage DSTs through its broader platform, with assets in the $7 billion-plus range post-listing. Its pure-play self-storage focus, internal management and combined U.S.-and-Canada footprint give it a clean, single-sector thesis, and the recent public listing adds a transparency and liquidity dimension uncommon among DST sponsors. For exchangers, it offers concentrated exposure to a resilient, low-operating-intensity asset class.</v>
      </c>
      <c r="BJ3" s="18">
        <f t="array" ref="BJ3">IF($B3="", "", LET(aum, IFERROR(XLOOKUP($B3, 'Sponsor Connection'!$A:$A, 'Sponsor Connection'!$C:$C), ""), IF(OR(aum="", aum=0), "Not Reported", aum)))</f>
        <v>7000000000</v>
      </c>
      <c r="BK3" s="19" t="str">
        <f t="array" ref="BK3">IF(ISBLANK($B3), "", LET(val, IFERROR(XLOOKUP($B3, 'Sponsor Connection'!$A:$A, 'Sponsor Connection'!$M:$M), ""), IF(OR(ISBLANK(val), val="", val=0), "Not Reported", val)))</f>
        <v>Not Reported</v>
      </c>
      <c r="BL3" s="13" t="str">
        <f t="array" ref="BL3">IF(ISBLANK($B3), "", LET(val, IFERROR(XLOOKUP($B3, 'Sponsor Connection'!$A:$A, 'Sponsor Connection'!$N:$N), ""), IF(val="", "Not Reported", val)))</f>
        <v>No Data</v>
      </c>
      <c r="BM3" s="20" t="str">
        <f t="array" ref="BM3">IF(ISBLANK($B3), "", LET(val, IFERROR(XLOOKUP($B3, 'Sponsor Connection'!$A:$A, 'Sponsor Connection'!$O:$O), ""), IF(val="", "Not Reported", val)))</f>
        <v>No Data</v>
      </c>
      <c r="BN3" s="21" t="str">
        <f t="array" ref="BN3">IF(ISBLANK($B3), "", LET(val, IFERROR(XLOOKUP($B3, 'Sponsor Connection'!$A:$A, 'Sponsor Connection'!$P:$P), ""), IF(val="", "Not Reported", val)))</f>
        <v>No Data</v>
      </c>
      <c r="BO3" s="13" t="str">
        <f t="array" ref="BO3">IF(ISBLANK($B3), "", LET(val, IFERROR(XLOOKUP($B3, 'Sponsor Connection'!$A:$A, 'Sponsor Connection'!$Q:$Q), ""), IF(val="", "Not Reported", val)))</f>
        <v>No Data</v>
      </c>
      <c r="BP3" s="16" t="str">
        <f t="array" ref="BP3">IFERROR(XLOOKUP($B3, 'Sponsor Connection'!$A:$A, 'Sponsor Connection'!$L:$L), )</f>
        <v>https://img.logo.dev/smartstop.com?token=pk_FIVsDKgZTvCedVXXtt2rEg&amp;size=200&amp;retina=true</v>
      </c>
      <c r="BQ3" s="13">
        <f t="shared" si="8"/>
        <v>0.0471</v>
      </c>
      <c r="BR3" s="13">
        <f>IFERROR(VLOOKUP(L3, Benchmarks!$A$2:$D$15, 2, FALSE), "Not Analyzed")</f>
        <v>0.04495</v>
      </c>
      <c r="BS3" s="17" t="str">
        <f t="shared" si="9"/>
        <v>Meets Average</v>
      </c>
      <c r="BT3" s="13">
        <f t="shared" si="10"/>
        <v>0.1473922902</v>
      </c>
      <c r="BU3" s="13">
        <f>IFERROR(VLOOKUP(L3, Benchmarks!$A$2:$D$15, 4, FALSE), "Not Analyzed")</f>
        <v>0.1386961451</v>
      </c>
      <c r="BV3" s="17" t="str">
        <f t="shared" si="11"/>
        <v>Meets Average</v>
      </c>
      <c r="BW3" s="13">
        <f t="shared" si="12"/>
        <v>0.0506</v>
      </c>
      <c r="BX3" s="13">
        <f>IFERROR(VLOOKUP(L3, Benchmarks!$A$2:$D$15, 3, FALSE), "Not Analyzed")</f>
        <v>0.0479</v>
      </c>
      <c r="BY3" s="17" t="str">
        <f t="shared" si="13"/>
        <v>Meets Average</v>
      </c>
      <c r="BZ3" s="17" t="str">
        <f t="shared" si="14"/>
        <v>Investment: Blue Door Property II, DST | Sponsor: SmartStop | Structure: Delaware Statutory Trust (DST) | Status: Available | LTV: 0.00% LTV | Availability: 0.645361920736106 | Location: FL, TX | Strategy: Core-Plus | 721 Exchange Exit: Optional | Estimated Hold: 10 years | Cap Rate Equivalent: 0.069982 | Minimum Investment: 100000</v>
      </c>
      <c r="CA3" s="17" t="str">
        <f>A3&amp;" ("&amp;H3&amp;")"&amp;CHAR(10)&amp;CHAR(10)&amp;"Blue Door Property II is a debt-free DST holding three stabilized SmartStop-branded self-storage facilities (~301,000 SF; 2,281 units) in the Orlando, DFW, and Houston Sun Belt growth corridors at ~91.2% occupancy. The assets are operated under a 10-year "&amp;"affiliated master lease with a base/additional/bonus-rent waterfall and active, month-to-month revenue management. The thesis targets inflation-responsive operating income from necessity-based storage, with an optional Section 721 rollover into the sponso"&amp;"r's affiliated operating partnership."&amp;CHAR(10)&amp;CHAR(10)&amp;"&gt;&gt; Download Offering Documents"&amp;CHAR(10)&amp;"https://www.baker1031.com/sponsors/smartstop"</f>
        <v>Blue Door Property II, DST (0.00% LTV)
Blue Door Property II is a debt-free DST holding three stabilized SmartStop-branded self-storage facilities (~301,000 SF; 2,281 units) in the Orlando, DFW, and Houston Sun Belt growth corridors at ~91.2% occupancy. The assets are operated under a 10-year affiliated master lease with a base/additional/bonus-rent waterfall and active, month-to-month revenue management. The thesis targets inflation-responsive operating income from necessity-based storage, with an optional Section 721 rollover into the sponsor's affiliated operating partnership.
&gt;&gt; Download Offering Documents
https://www.baker1031.com/sponsors/smartstop</v>
      </c>
    </row>
    <row r="4">
      <c r="A4" s="8" t="s">
        <v>128</v>
      </c>
      <c r="B4" s="8" t="s">
        <v>109</v>
      </c>
      <c r="C4" s="8" t="s">
        <v>81</v>
      </c>
      <c r="D4" s="8" t="s">
        <v>82</v>
      </c>
      <c r="E4" s="9">
        <v>5.2636335E7</v>
      </c>
      <c r="F4" s="9">
        <v>2.8444976E7</v>
      </c>
      <c r="G4" s="9">
        <v>2.4191359E7</v>
      </c>
      <c r="H4" s="8" t="s">
        <v>129</v>
      </c>
      <c r="I4" s="9">
        <v>2.8444976E7</v>
      </c>
      <c r="J4" s="10">
        <v>45974.0</v>
      </c>
      <c r="K4" s="11">
        <f t="shared" si="1"/>
        <v>1</v>
      </c>
      <c r="L4" s="8" t="s">
        <v>110</v>
      </c>
      <c r="M4" s="8" t="s">
        <v>130</v>
      </c>
      <c r="N4" s="12" t="str">
        <f>IFERROR(__xludf.DUMMYFUNCTION("TEXTJOIN("", "", TRUE, SORT(TRANSPOSE(SPLIT(M4, "", ""))))"),"AZ, FL, TX")</f>
        <v>AZ, FL, TX</v>
      </c>
      <c r="O4" s="12" t="s">
        <v>131</v>
      </c>
      <c r="P4" s="8" t="s">
        <v>113</v>
      </c>
      <c r="Q4" s="8" t="s">
        <v>88</v>
      </c>
      <c r="R4" s="8" t="s">
        <v>132</v>
      </c>
      <c r="S4" s="8" t="s">
        <v>133</v>
      </c>
      <c r="T4" s="8" t="s">
        <v>134</v>
      </c>
      <c r="U4" s="8" t="s">
        <v>135</v>
      </c>
      <c r="V4" s="8" t="s">
        <v>136</v>
      </c>
      <c r="W4" s="8" t="s">
        <v>137</v>
      </c>
      <c r="X4" s="8" t="s">
        <v>138</v>
      </c>
      <c r="Y4" s="8" t="s">
        <v>139</v>
      </c>
      <c r="Z4" s="8" t="s">
        <v>140</v>
      </c>
      <c r="AA4" s="8" t="s">
        <v>141</v>
      </c>
      <c r="AB4" s="11">
        <v>0.04</v>
      </c>
      <c r="AC4" s="11">
        <v>0.0425</v>
      </c>
      <c r="AD4" s="11">
        <v>0.0427</v>
      </c>
      <c r="AE4" s="11">
        <v>0.0428</v>
      </c>
      <c r="AF4" s="11">
        <v>0.0431</v>
      </c>
      <c r="AG4" s="11">
        <v>0.0432</v>
      </c>
      <c r="AH4" s="11">
        <v>0.0452</v>
      </c>
      <c r="AI4" s="8" t="s">
        <v>142</v>
      </c>
      <c r="AJ4" s="8" t="s">
        <v>142</v>
      </c>
      <c r="AK4" s="8" t="s">
        <v>142</v>
      </c>
      <c r="AL4" s="11">
        <v>0.0428</v>
      </c>
      <c r="AM4" s="11">
        <v>0.0708</v>
      </c>
      <c r="AN4" s="13">
        <f t="shared" si="2"/>
        <v>0.08079189122</v>
      </c>
      <c r="AO4" s="8" t="s">
        <v>143</v>
      </c>
      <c r="AP4" s="8" t="s">
        <v>144</v>
      </c>
      <c r="AQ4" s="8" t="s">
        <v>132</v>
      </c>
      <c r="AR4" s="8" t="s">
        <v>132</v>
      </c>
      <c r="AS4" s="8" t="s">
        <v>145</v>
      </c>
      <c r="AT4" s="12" t="s">
        <v>146</v>
      </c>
      <c r="AU4" s="8" t="s">
        <v>147</v>
      </c>
      <c r="AV4" s="14" t="s">
        <v>148</v>
      </c>
      <c r="AW4" s="15"/>
      <c r="AX4" s="9">
        <v>100000.0</v>
      </c>
      <c r="AY4" s="16" t="str">
        <f>IFERROR(__xludf.DUMMYFUNCTION("IF(ISBLANK(AV4), """", IF(REGEXMATCH(AV4, ""/file/d/""), ""https://lh3.googleusercontent.com/d/"" &amp; REGEXEXTRACT(AV4, ""/d/([a-zA-Z0-9_-]+)""), AV4))"),"https://lh3.googleusercontent.com/d/1GCvzEMexmpTgjlyyGJUhAnO2MFsnLqaV")</f>
        <v>https://lh3.googleusercontent.com/d/1GCvzEMexmpTgjlyyGJUhAnO2MFsnLqaV</v>
      </c>
      <c r="AZ4" s="13">
        <f t="shared" si="3"/>
        <v>0.0708</v>
      </c>
      <c r="BA4" s="17" t="str">
        <f t="shared" si="4"/>
        <v>Tax-Adjusted Yield</v>
      </c>
      <c r="BB4" s="17" t="str">
        <f t="shared" si="5"/>
        <v>Offering Documents Available By Request</v>
      </c>
      <c r="BC4" s="8" t="s">
        <v>149</v>
      </c>
      <c r="BD4" s="8" t="s">
        <v>126</v>
      </c>
      <c r="BE4" s="8" t="s">
        <v>127</v>
      </c>
      <c r="BF4" s="17" t="str">
        <f t="shared" si="6"/>
        <v>Learn More About SmartStop</v>
      </c>
      <c r="BG4" s="17" t="str">
        <f t="shared" si="7"/>
        <v>Learn More About Self-Storage Properties</v>
      </c>
      <c r="BH4" s="17">
        <f t="array" ref="BH4">IFERROR(XLOOKUP($B4, 'Sponsor Connection'!$A:$A, 'Sponsor Connection'!$B:$B), )</f>
        <v>2013</v>
      </c>
      <c r="BI4" s="17" t="str">
        <f t="array" ref="BI4">IFERROR(XLOOKUP($B4, 'Sponsor Connection'!$A:$A, 'Sponsor Connection'!$D:$D), )</f>
        <v>SmartStop is a self-storage REIT (NYSE: SMA) that completed an $810 million IPO in April 2025 and sponsors self-storage DSTs through its broader platform, with assets in the $7 billion-plus range post-listing. Its pure-play self-storage focus, internal management and combined U.S.-and-Canada footprint give it a clean, single-sector thesis, and the recent public listing adds a transparency and liquidity dimension uncommon among DST sponsors. For exchangers, it offers concentrated exposure to a resilient, low-operating-intensity asset class.</v>
      </c>
      <c r="BJ4" s="18">
        <f t="array" ref="BJ4">IF($B4="", "", LET(aum, IFERROR(XLOOKUP($B4, 'Sponsor Connection'!$A:$A, 'Sponsor Connection'!$C:$C), ""), IF(OR(aum="", aum=0), "Not Reported", aum)))</f>
        <v>7000000000</v>
      </c>
      <c r="BK4" s="19" t="str">
        <f t="array" ref="BK4">IF(ISBLANK($B4), "", LET(val, IFERROR(XLOOKUP($B4, 'Sponsor Connection'!$A:$A, 'Sponsor Connection'!$M:$M), ""), IF(OR(ISBLANK(val), val="", val=0), "Not Reported", val)))</f>
        <v>Not Reported</v>
      </c>
      <c r="BL4" s="13" t="str">
        <f t="array" ref="BL4">IF(ISBLANK($B4), "", LET(val, IFERROR(XLOOKUP($B4, 'Sponsor Connection'!$A:$A, 'Sponsor Connection'!$N:$N), ""), IF(val="", "Not Reported", val)))</f>
        <v>No Data</v>
      </c>
      <c r="BM4" s="20" t="str">
        <f t="array" ref="BM4">IF(ISBLANK($B4), "", LET(val, IFERROR(XLOOKUP($B4, 'Sponsor Connection'!$A:$A, 'Sponsor Connection'!$O:$O), ""), IF(val="", "Not Reported", val)))</f>
        <v>No Data</v>
      </c>
      <c r="BN4" s="21" t="str">
        <f t="array" ref="BN4">IF(ISBLANK($B4), "", LET(val, IFERROR(XLOOKUP($B4, 'Sponsor Connection'!$A:$A, 'Sponsor Connection'!$P:$P), ""), IF(val="", "Not Reported", val)))</f>
        <v>No Data</v>
      </c>
      <c r="BO4" s="13" t="str">
        <f t="array" ref="BO4">IF(ISBLANK($B4), "", LET(val, IFERROR(XLOOKUP($B4, 'Sponsor Connection'!$A:$A, 'Sponsor Connection'!$Q:$Q), ""), IF(val="", "Not Reported", val)))</f>
        <v>No Data</v>
      </c>
      <c r="BP4" s="16" t="str">
        <f t="array" ref="BP4">IFERROR(XLOOKUP($B4, 'Sponsor Connection'!$A:$A, 'Sponsor Connection'!$L:$L), )</f>
        <v>https://img.logo.dev/smartstop.com?token=pk_FIVsDKgZTvCedVXXtt2rEg&amp;size=200&amp;retina=true</v>
      </c>
      <c r="BQ4" s="13">
        <f t="shared" si="8"/>
        <v>0.0428</v>
      </c>
      <c r="BR4" s="13">
        <f>IFERROR(VLOOKUP(L4, Benchmarks!$A$2:$D$15, 2, FALSE), "Not Analyzed")</f>
        <v>0.04495</v>
      </c>
      <c r="BS4" s="17" t="str">
        <f t="shared" si="9"/>
        <v>Meets Average</v>
      </c>
      <c r="BT4" s="13">
        <f t="shared" si="10"/>
        <v>0.13</v>
      </c>
      <c r="BU4" s="13">
        <f>IFERROR(VLOOKUP(L4, Benchmarks!$A$2:$D$15, 4, FALSE), "Not Analyzed")</f>
        <v>0.1386961451</v>
      </c>
      <c r="BV4" s="17" t="str">
        <f t="shared" si="11"/>
        <v>Meets Average</v>
      </c>
      <c r="BW4" s="13">
        <f t="shared" si="12"/>
        <v>0.0452</v>
      </c>
      <c r="BX4" s="13">
        <f>IFERROR(VLOOKUP(L4, Benchmarks!$A$2:$D$15, 3, FALSE), "Not Analyzed")</f>
        <v>0.0479</v>
      </c>
      <c r="BY4" s="17" t="str">
        <f t="shared" si="13"/>
        <v>Meets Average</v>
      </c>
      <c r="BZ4" s="17" t="str">
        <f t="shared" si="14"/>
        <v>Investment: Blue Door Property III, DST | Sponsor: SmartStop | Structure: Delaware Statutory Trust (DST) | Status: Available | LTV: 45.96% LTV | Availability: 1 | Location: AZ, FL, TX | Strategy: Core-Plus | 721 Exchange Exit: Optional | Estimated Hold: 7 years | Cap Rate Equivalent: 0.0807918912165384 | Minimum Investment: 100000</v>
      </c>
      <c r="CA4" s="17" t="str">
        <f>A4&amp;" ("&amp;H4&amp;")"&amp;CHAR(10)&amp;CHAR(10)&amp;"Blue Door Property III is a leveraged DST holding three SmartStop-branded self-storage facilities (~1,927 units) across Phoenix, Longwood, and Dallas at ~90% occupancy, financed at 45.96% LTV on separate fixed-rate, interest-only mortgages aggregating $24"&amp;".2M. Each asset is leased to a state-specific affiliated master tenant under a base/additional/bonus-rent waterfall with active revenue management. The thesis targets leveraged, inflation-responsive storage income with an optional Section 721 rollover ahe"&amp;"ad of the November 2032 loan maturity."&amp;CHAR(10)&amp;CHAR(10)&amp;"&gt;&gt; Download Offering Documents"&amp;CHAR(10)&amp;"https://www.baker1031.com/sponsors/smartstop"</f>
        <v>Blue Door Property III, DST (45.96% LTV)
Blue Door Property III is a leveraged DST holding three SmartStop-branded self-storage facilities (~1,927 units) across Phoenix, Longwood, and Dallas at ~90% occupancy, financed at 45.96% LTV on separate fixed-rate, interest-only mortgages aggregating $24.2M. Each asset is leased to a state-specific affiliated master tenant under a base/additional/bonus-rent waterfall with active revenue management. The thesis targets leveraged, inflation-responsive storage income with an optional Section 721 rollover ahead of the November 2032 loan maturity.
&gt;&gt; Download Offering Documents
https://www.baker1031.com/sponsors/smartstop</v>
      </c>
    </row>
    <row r="5">
      <c r="A5" s="8" t="s">
        <v>150</v>
      </c>
      <c r="B5" s="8" t="s">
        <v>151</v>
      </c>
      <c r="C5" s="8" t="s">
        <v>81</v>
      </c>
      <c r="D5" s="8" t="s">
        <v>152</v>
      </c>
      <c r="E5" s="9">
        <v>2.69491892E8</v>
      </c>
      <c r="F5" s="9">
        <v>2.69491892E8</v>
      </c>
      <c r="G5" s="9">
        <v>0.0</v>
      </c>
      <c r="H5" s="8" t="s">
        <v>83</v>
      </c>
      <c r="I5" s="9">
        <v>2.69491892E8</v>
      </c>
      <c r="J5" s="10">
        <v>46028.0</v>
      </c>
      <c r="K5" s="11">
        <f t="shared" si="1"/>
        <v>1</v>
      </c>
      <c r="L5" s="8" t="s">
        <v>153</v>
      </c>
      <c r="M5" s="8" t="s">
        <v>154</v>
      </c>
      <c r="N5" s="12" t="str">
        <f>IFERROR(__xludf.DUMMYFUNCTION("TEXTJOIN("", "", TRUE, SORT(TRANSPOSE(SPLIT(M5, "", ""))))"),"KY, MI, OH")</f>
        <v>KY, MI, OH</v>
      </c>
      <c r="O5" s="12" t="s">
        <v>155</v>
      </c>
      <c r="P5" s="8" t="s">
        <v>87</v>
      </c>
      <c r="Q5" s="8" t="s">
        <v>156</v>
      </c>
      <c r="R5" s="8" t="s">
        <v>157</v>
      </c>
      <c r="S5" s="8" t="s">
        <v>158</v>
      </c>
      <c r="T5" s="8" t="s">
        <v>159</v>
      </c>
      <c r="U5" s="8" t="s">
        <v>160</v>
      </c>
      <c r="V5" s="8" t="s">
        <v>161</v>
      </c>
      <c r="W5" s="8" t="s">
        <v>162</v>
      </c>
      <c r="X5" s="8" t="s">
        <v>163</v>
      </c>
      <c r="Y5" s="8" t="s">
        <v>164</v>
      </c>
      <c r="Z5" s="8" t="s">
        <v>165</v>
      </c>
      <c r="AA5" s="8" t="s">
        <v>166</v>
      </c>
      <c r="AB5" s="11">
        <v>0.0477</v>
      </c>
      <c r="AC5" s="11">
        <v>0.0477</v>
      </c>
      <c r="AD5" s="11">
        <v>0.0477</v>
      </c>
      <c r="AE5" s="11">
        <v>0.0477</v>
      </c>
      <c r="AF5" s="11">
        <v>0.0477</v>
      </c>
      <c r="AG5" s="11">
        <v>0.0515</v>
      </c>
      <c r="AH5" s="11">
        <v>0.0515</v>
      </c>
      <c r="AI5" s="11">
        <v>0.0515</v>
      </c>
      <c r="AJ5" s="11">
        <v>0.0515</v>
      </c>
      <c r="AK5" s="11">
        <v>0.0515</v>
      </c>
      <c r="AL5" s="11">
        <v>0.0496</v>
      </c>
      <c r="AM5" s="8" t="s">
        <v>99</v>
      </c>
      <c r="AN5" s="13">
        <f t="shared" si="2"/>
        <v>0.073654</v>
      </c>
      <c r="AO5" s="8" t="s">
        <v>100</v>
      </c>
      <c r="AP5" s="8" t="s">
        <v>101</v>
      </c>
      <c r="AQ5" s="8" t="s">
        <v>101</v>
      </c>
      <c r="AR5" s="8" t="s">
        <v>101</v>
      </c>
      <c r="AS5" s="8" t="s">
        <v>101</v>
      </c>
      <c r="AT5" s="12" t="s">
        <v>102</v>
      </c>
      <c r="AU5" s="8" t="s">
        <v>167</v>
      </c>
      <c r="AV5" s="22" t="s">
        <v>168</v>
      </c>
      <c r="AW5" s="15"/>
      <c r="AX5" s="9">
        <v>100000.0</v>
      </c>
      <c r="AY5" s="16" t="str">
        <f>IFERROR(__xludf.DUMMYFUNCTION("IF(ISBLANK(AV5), """", IF(REGEXMATCH(AV5, ""/file/d/""), ""https://lh3.googleusercontent.com/d/"" &amp; REGEXEXTRACT(AV5, ""/d/([a-zA-Z0-9_-]+)""), AV5))"),"https://lh3.googleusercontent.com/d/1SYLj4lsZa73K392bDZMcdABsto2FWap9")</f>
        <v>https://lh3.googleusercontent.com/d/1SYLj4lsZa73K392bDZMcdABsto2FWap9</v>
      </c>
      <c r="AZ5" s="13">
        <f t="shared" si="3"/>
        <v>0.1161470588</v>
      </c>
      <c r="BA5" s="17" t="str">
        <f t="shared" si="4"/>
        <v>Est. Tax-Adjusted Yield⁹</v>
      </c>
      <c r="BB5" s="17" t="str">
        <f t="shared" si="5"/>
        <v>Offering Documents Available By Request</v>
      </c>
      <c r="BC5" s="8" t="s">
        <v>169</v>
      </c>
      <c r="BD5" s="8" t="s">
        <v>170</v>
      </c>
      <c r="BE5" s="8" t="s">
        <v>171</v>
      </c>
      <c r="BF5" s="17" t="str">
        <f t="shared" si="6"/>
        <v>Learn More About Blue Owl</v>
      </c>
      <c r="BG5" s="17" t="str">
        <f t="shared" si="7"/>
        <v>Learn More About Industrial Properties</v>
      </c>
      <c r="BH5" s="17">
        <f t="array" ref="BH5">IFERROR(XLOOKUP($B5, 'Sponsor Connection'!$A:$A, 'Sponsor Connection'!$B:$B), )</f>
        <v>2009</v>
      </c>
      <c r="BI5" s="17" t="str">
        <f t="array" ref="BI5">IFERROR(XLOOKUP($B5, 'Sponsor Connection'!$A:$A, 'Sponsor Connection'!$D:$D), )</f>
        <v>Blue Owl Capital is a roughly $273 billion alternatives manager whose net-lease pedigree—anchored by the Oak Street platform it absorbed—feeds its DST/1031 vehicle, Blue Owl Real Estate Exchange (OREX). The strategy is purpose-built around triple-net, sale-leaseback assets leased to creditworthy corporate tenants, a cash-flow-stable profile well suited to exchange investors seeking predictability. With a permanent-capital orientation and a diversified credit-and-real-assets platform behind it, OREX brings institutional sourcing to a niche that rewards tenant credit discipline.</v>
      </c>
      <c r="BJ5" s="18">
        <f t="array" ref="BJ5">IF($B5="", "", LET(aum, IFERROR(XLOOKUP($B5, 'Sponsor Connection'!$A:$A, 'Sponsor Connection'!$C:$C), ""), IF(OR(aum="", aum=0), "Not Reported", aum)))</f>
        <v>273000000000</v>
      </c>
      <c r="BK5" s="19" t="str">
        <f t="array" ref="BK5">IF(ISBLANK($B5), "", LET(val, IFERROR(XLOOKUP($B5, 'Sponsor Connection'!$A:$A, 'Sponsor Connection'!$M:$M), ""), IF(OR(ISBLANK(val), val="", val=0), "Not Reported", val)))</f>
        <v>Not Reported</v>
      </c>
      <c r="BL5" s="13" t="str">
        <f t="array" ref="BL5">IF(ISBLANK($B5), "", LET(val, IFERROR(XLOOKUP($B5, 'Sponsor Connection'!$A:$A, 'Sponsor Connection'!$N:$N), ""), IF(val="", "Not Reported", val)))</f>
        <v>No Data</v>
      </c>
      <c r="BM5" s="20" t="str">
        <f t="array" ref="BM5">IF(ISBLANK($B5), "", LET(val, IFERROR(XLOOKUP($B5, 'Sponsor Connection'!$A:$A, 'Sponsor Connection'!$O:$O), ""), IF(val="", "Not Reported", val)))</f>
        <v>No Data</v>
      </c>
      <c r="BN5" s="21" t="str">
        <f t="array" ref="BN5">IF(ISBLANK($B5), "", LET(val, IFERROR(XLOOKUP($B5, 'Sponsor Connection'!$A:$A, 'Sponsor Connection'!$P:$P), ""), IF(val="", "Not Reported", val)))</f>
        <v>No Data</v>
      </c>
      <c r="BO5" s="13" t="str">
        <f t="array" ref="BO5">IF(ISBLANK($B5), "", LET(val, IFERROR(XLOOKUP($B5, 'Sponsor Connection'!$A:$A, 'Sponsor Connection'!$Q:$Q), ""), IF(val="", "Not Reported", val)))</f>
        <v>No Data</v>
      </c>
      <c r="BP5" s="16" t="str">
        <f t="array" ref="BP5">IFERROR(XLOOKUP($B5, 'Sponsor Connection'!$A:$A, 'Sponsor Connection'!$L:$L), )</f>
        <v>https://img.logo.dev/blueowl.com?token=pk_FIVsDKgZTvCedVXXtt2rEg&amp;size=200&amp;retina=true</v>
      </c>
      <c r="BQ5" s="13">
        <f t="shared" si="8"/>
        <v>0.0496</v>
      </c>
      <c r="BR5" s="13">
        <f>IFERROR(VLOOKUP(L5, Benchmarks!$A$2:$D$15, 2, FALSE), "Not Analyzed")</f>
        <v>0</v>
      </c>
      <c r="BS5" s="17" t="str">
        <f t="shared" si="9"/>
        <v>Above Average</v>
      </c>
      <c r="BT5" s="13">
        <f t="shared" si="10"/>
        <v>0.07966457023</v>
      </c>
      <c r="BU5" s="13">
        <f>IFERROR(VLOOKUP(L5, Benchmarks!$A$2:$D$15, 4, FALSE), "Not Analyzed")</f>
        <v>0.1441469396</v>
      </c>
      <c r="BV5" s="17" t="str">
        <f t="shared" si="11"/>
        <v>Below Average</v>
      </c>
      <c r="BW5" s="13">
        <f t="shared" si="12"/>
        <v>0.0515</v>
      </c>
      <c r="BX5" s="13">
        <f>IFERROR(VLOOKUP(L5, Benchmarks!$A$2:$D$15, 3, FALSE), "Not Analyzed")</f>
        <v>0.05854</v>
      </c>
      <c r="BY5" s="17" t="str">
        <f t="shared" si="13"/>
        <v>Below Average</v>
      </c>
      <c r="BZ5" s="17" t="str">
        <f t="shared" si="14"/>
        <v>Investment: Blue Owl Real Estate Exchange V DST | Sponsor: Blue Owl | Structure: Delaware Statutory Trust (DST) | Status: Coming Soon / Under Review | LTV: 0.00% LTV | Availability: 1 | Location: KY, MI, OH | Strategy: Core | 721 Exchange Exit: Mandatory | Estimated Hold: 2 years | Cap Rate Equivalent: 0.073654 | Minimum Investment: 100000</v>
      </c>
      <c r="CA5" s="17" t="str">
        <f>A5&amp;" ("&amp;H5&amp;")"&amp;CHAR(10)&amp;CHAR(10)&amp;"Blue Owl Real Estate Exchange V is a debt-free DST holding three single-tenant net-leased industrial manufacturing properties leased to subsidiaries of Magna International and Rheinmetall AG on ~20-year base terms. The Bowling Green Metalforming site carr"&amp;"ies a ground-lease and industrial-revenue-bond structure providing tax abatement, and the trust agreements prohibit permanent financing. The thesis is durable, long-duration credit-tenant net-lease income with an optional Section 721 rollover into the per"&amp;"petual-life Blue Owl Real Estate Net Lease Trust."&amp;CHAR(10)&amp;CHAR(10)&amp;"&gt;&gt; Download Offering Documents"&amp;CHAR(10)&amp;"https://www.baker1031.com/sponsors/blue-owl"</f>
        <v>Blue Owl Real Estate Exchange V DST (0.00% LTV)
Blue Owl Real Estate Exchange V is a debt-free DST holding three single-tenant net-leased industrial manufacturing properties leased to subsidiaries of Magna International and Rheinmetall AG on ~20-year base terms. The Bowling Green Metalforming site carries a ground-lease and industrial-revenue-bond structure providing tax abatement, and the trust agreements prohibit permanent financing. The thesis is durable, long-duration credit-tenant net-lease income with an optional Section 721 rollover into the perpetual-life Blue Owl Real Estate Net Lease Trust.
&gt;&gt; Download Offering Documents
https://www.baker1031.com/sponsors/blue-owl</v>
      </c>
    </row>
    <row r="6">
      <c r="A6" s="8" t="s">
        <v>172</v>
      </c>
      <c r="B6" s="8" t="s">
        <v>173</v>
      </c>
      <c r="C6" s="8" t="s">
        <v>81</v>
      </c>
      <c r="D6" s="8" t="s">
        <v>174</v>
      </c>
      <c r="E6" s="9">
        <v>6.8517539E7</v>
      </c>
      <c r="F6" s="9">
        <v>3.7778539E7</v>
      </c>
      <c r="G6" s="9">
        <v>3.0739E7</v>
      </c>
      <c r="H6" s="8" t="s">
        <v>175</v>
      </c>
      <c r="I6" s="9">
        <v>0.0</v>
      </c>
      <c r="J6" s="10">
        <v>46196.0</v>
      </c>
      <c r="K6" s="11">
        <f t="shared" si="1"/>
        <v>0</v>
      </c>
      <c r="L6" s="8" t="s">
        <v>176</v>
      </c>
      <c r="M6" s="8" t="s">
        <v>177</v>
      </c>
      <c r="N6" s="12" t="str">
        <f>IFERROR(__xludf.DUMMYFUNCTION("TEXTJOIN("", "", TRUE, SORT(TRANSPOSE(SPLIT(M6, "", ""))))"),"NC")</f>
        <v>NC</v>
      </c>
      <c r="O6" s="12" t="s">
        <v>178</v>
      </c>
      <c r="P6" s="8" t="s">
        <v>179</v>
      </c>
      <c r="Q6" s="8" t="s">
        <v>156</v>
      </c>
      <c r="R6" s="8" t="s">
        <v>180</v>
      </c>
      <c r="S6" s="8" t="s">
        <v>181</v>
      </c>
      <c r="T6" s="8" t="s">
        <v>182</v>
      </c>
      <c r="U6" s="8" t="s">
        <v>183</v>
      </c>
      <c r="V6" s="8" t="s">
        <v>184</v>
      </c>
      <c r="W6" s="8" t="s">
        <v>185</v>
      </c>
      <c r="X6" s="8" t="s">
        <v>186</v>
      </c>
      <c r="Y6" s="8" t="s">
        <v>187</v>
      </c>
      <c r="Z6" s="8" t="s">
        <v>188</v>
      </c>
      <c r="AA6" s="8" t="s">
        <v>189</v>
      </c>
      <c r="AB6" s="11">
        <v>0.0428</v>
      </c>
      <c r="AC6" s="11">
        <v>0.0427</v>
      </c>
      <c r="AD6" s="11">
        <v>0.0449</v>
      </c>
      <c r="AE6" s="11">
        <v>0.0482</v>
      </c>
      <c r="AF6" s="11">
        <v>0.0515</v>
      </c>
      <c r="AG6" s="11">
        <v>0.0539</v>
      </c>
      <c r="AH6" s="11">
        <v>0.0563</v>
      </c>
      <c r="AI6" s="11">
        <v>0.0587</v>
      </c>
      <c r="AJ6" s="11">
        <v>0.0611</v>
      </c>
      <c r="AK6" s="11">
        <v>0.0633</v>
      </c>
      <c r="AL6" s="11">
        <v>0.0523</v>
      </c>
      <c r="AM6" s="11">
        <v>0.0874</v>
      </c>
      <c r="AN6" s="13">
        <f t="shared" si="2"/>
        <v>0.08203299746</v>
      </c>
      <c r="AO6" s="8" t="s">
        <v>190</v>
      </c>
      <c r="AP6" s="8" t="s">
        <v>191</v>
      </c>
      <c r="AQ6" s="8" t="s">
        <v>89</v>
      </c>
      <c r="AR6" s="8" t="s">
        <v>89</v>
      </c>
      <c r="AS6" s="8" t="s">
        <v>145</v>
      </c>
      <c r="AT6" s="12" t="s">
        <v>192</v>
      </c>
      <c r="AU6" s="8" t="s">
        <v>193</v>
      </c>
      <c r="AV6" s="22" t="s">
        <v>194</v>
      </c>
      <c r="AW6" s="15"/>
      <c r="AX6" s="9">
        <v>100000.0</v>
      </c>
      <c r="AY6" s="16" t="str">
        <f>IFERROR(__xludf.DUMMYFUNCTION("IF(ISBLANK(AV6), """", IF(REGEXMATCH(AV6, ""/file/d/""), ""https://lh3.googleusercontent.com/d/"" &amp; REGEXEXTRACT(AV6, ""/d/([a-zA-Z0-9_-]+)""), AV6))"),"https://lh3.googleusercontent.com/d/1DlAEjC2ku2pfRp6bY4ULgY41HtnLzfVb")</f>
        <v>https://lh3.googleusercontent.com/d/1DlAEjC2ku2pfRp6bY4ULgY41HtnLzfVb</v>
      </c>
      <c r="AZ6" s="13">
        <f t="shared" si="3"/>
        <v>0.0874</v>
      </c>
      <c r="BA6" s="17" t="str">
        <f t="shared" si="4"/>
        <v>Tax-Adjusted Yield</v>
      </c>
      <c r="BB6" s="17" t="str">
        <f t="shared" si="5"/>
        <v>Offering Documents Available By Request</v>
      </c>
      <c r="BC6" s="8" t="s">
        <v>195</v>
      </c>
      <c r="BD6" s="8" t="s">
        <v>196</v>
      </c>
      <c r="BE6" s="8" t="s">
        <v>197</v>
      </c>
      <c r="BF6" s="17" t="str">
        <f t="shared" si="6"/>
        <v>Learn More About Bluerock</v>
      </c>
      <c r="BG6" s="17" t="str">
        <f t="shared" si="7"/>
        <v>Learn More About Multifamily Properties</v>
      </c>
      <c r="BH6" s="17">
        <f t="array" ref="BH6">IFERROR(XLOOKUP($B6, 'Sponsor Connection'!$A:$A, 'Sponsor Connection'!$B:$B), )</f>
        <v>2002</v>
      </c>
      <c r="BI6" s="17" t="str">
        <f t="array" ref="BI6">IFERROR(XLOOKUP($B6, 'Sponsor Connection'!$A:$A, 'Sponsor Connection'!$D:$D), )</f>
        <v>Bluerock has sponsored syndicated 1031 exchanges for more than eighteen years, and its Bluerock Value Exchange (BVEX) arm packages multifamily, industrial and other core sectors into what it markets as 'Premier Exchange Properties.' Backed by a broader Bluerock platform of roughly $19 billion that also spans interval funds, the firm pairs institutional acquisition capability with a long DST track record across multiple cycles. Its national footprint and sector breadth position it as a diversified mid-to-large sponsor rather than a single-asset specialist.</v>
      </c>
      <c r="BJ6" s="18">
        <f t="array" ref="BJ6">IF($B6="", "", LET(aum, IFERROR(XLOOKUP($B6, 'Sponsor Connection'!$A:$A, 'Sponsor Connection'!$C:$C), ""), IF(OR(aum="", aum=0), "Not Reported", aum)))</f>
        <v>19000000000</v>
      </c>
      <c r="BK6" s="19">
        <f t="array" ref="BK6">IF(ISBLANK($B6), "", LET(val, IFERROR(XLOOKUP($B6, 'Sponsor Connection'!$A:$A, 'Sponsor Connection'!$M:$M), ""), IF(OR(ISBLANK(val), val="", val=0), "Not Reported", val)))</f>
        <v>97</v>
      </c>
      <c r="BL6" s="13">
        <f t="array" ref="BL6">IF(ISBLANK($B6), "", LET(val, IFERROR(XLOOKUP($B6, 'Sponsor Connection'!$A:$A, 'Sponsor Connection'!$N:$N), ""), IF(val="", "Not Reported", val)))</f>
        <v>0.2138783505</v>
      </c>
      <c r="BM6" s="20">
        <f t="array" ref="BM6">IF(ISBLANK($B6), "", LET(val, IFERROR(XLOOKUP($B6, 'Sponsor Connection'!$A:$A, 'Sponsor Connection'!$O:$O), ""), IF(val="", "Not Reported", val)))</f>
        <v>1.773608247</v>
      </c>
      <c r="BN6" s="21">
        <f t="array" ref="BN6">IF(ISBLANK($B6), "", LET(val, IFERROR(XLOOKUP($B6, 'Sponsor Connection'!$A:$A, 'Sponsor Connection'!$P:$P), ""), IF(val="", "Not Reported", val)))</f>
        <v>4.004123711</v>
      </c>
      <c r="BO6" s="13">
        <f t="array" ref="BO6">IF(ISBLANK($B6), "", LET(val, IFERROR(XLOOKUP($B6, 'Sponsor Connection'!$A:$A, 'Sponsor Connection'!$Q:$Q), ""), IF(val="", "Not Reported", val)))</f>
        <v>0.9381443299</v>
      </c>
      <c r="BP6" s="16" t="str">
        <f t="array" ref="BP6">IFERROR(XLOOKUP($B6, 'Sponsor Connection'!$A:$A, 'Sponsor Connection'!$L:$L), )</f>
        <v>https://img.logo.dev/bluerockexchange.com?token=pk_FIVsDKgZTvCedVXXtt2rEg&amp;size=200&amp;retina=true</v>
      </c>
      <c r="BQ6" s="13">
        <f t="shared" si="8"/>
        <v>0.0523</v>
      </c>
      <c r="BR6" s="13">
        <f>IFERROR(VLOOKUP(L6, Benchmarks!$A$2:$D$15, 2, FALSE), "Not Analyzed")</f>
        <v>0.050338</v>
      </c>
      <c r="BS6" s="17" t="str">
        <f t="shared" si="9"/>
        <v>Meets Average</v>
      </c>
      <c r="BT6" s="13">
        <f t="shared" si="10"/>
        <v>0.4789719626</v>
      </c>
      <c r="BU6" s="13">
        <f>IFERROR(VLOOKUP(L6, Benchmarks!$A$2:$D$15, 4, FALSE), "Not Analyzed")</f>
        <v>0.2473634914</v>
      </c>
      <c r="BV6" s="17" t="str">
        <f t="shared" si="11"/>
        <v>Above Average</v>
      </c>
      <c r="BW6" s="13">
        <f t="shared" si="12"/>
        <v>0.0633</v>
      </c>
      <c r="BX6" s="13">
        <f>IFERROR(VLOOKUP(L6, Benchmarks!$A$2:$D$15, 3, FALSE), "Not Analyzed")</f>
        <v>0.05289545455</v>
      </c>
      <c r="BY6" s="17" t="str">
        <f t="shared" si="13"/>
        <v>Above Average</v>
      </c>
      <c r="BZ6" s="17" t="str">
        <f t="shared" si="14"/>
        <v>Investment: BR Churchill Downs, DST | Sponsor: Bluerock | Structure: Delaware Statutory Trust (DST) | Status: Closed | LTV: 44.86% LTV | Availability: 0 | Location: NC | Strategy: Value-Add | 721 Exchange Exit: Mandatory | Estimated Hold: 7-10 years | Cap Rate Equivalent: 0.0820329974580921 | Minimum Investment: 100000</v>
      </c>
      <c r="CA6" s="17" t="str">
        <f>A6&amp;" ("&amp;H6&amp;")"&amp;CHAR(10)&amp;CHAR(10)&amp;"BR Churchill Downs is a 272-unit Class B townhome and garden apartment community in the Pinehurst Metro (Aberdeen, NC), acquired in April 2025 for $56.6M, ~$1.3M below appraised value, and financed with a $30.7M KeyBank/Fannie Mae DUS loan (5.13% fixed, i"&amp;"nterest-only, 44.86% LTC). The value-add business plan layers in-unit washer/dryer installation and interior/exterior upgrades atop $1.5M of prior-owner capex under RPM Living management. The Pinehurst Metro sits 70-90 miles from the Charlotte and Raleigh"&amp;"-Durham growth markets, with an optional Section 721 FMV rollover into a Bluerock-affiliated operating partnership."&amp;CHAR(10)&amp;CHAR(10)&amp;"&gt;&gt; Download Offering Documents"&amp;CHAR(10)&amp;"https://www.baker1031.com/sponsors/bluerock"</f>
        <v>BR Churchill Downs, DST (44.86% LTV)
BR Churchill Downs is a 272-unit Class B townhome and garden apartment community in the Pinehurst Metro (Aberdeen, NC), acquired in April 2025 for $56.6M, ~$1.3M below appraised value, and financed with a $30.7M KeyBank/Fannie Mae DUS loan (5.13% fixed, interest-only, 44.86% LTC). The value-add business plan layers in-unit washer/dryer installation and interior/exterior upgrades atop $1.5M of prior-owner capex under RPM Living management. The Pinehurst Metro sits 70-90 miles from the Charlotte and Raleigh-Durham growth markets, with an optional Section 721 FMV rollover into a Bluerock-affiliated operating partnership.
&gt;&gt; Download Offering Documents
https://www.baker1031.com/sponsors/bluerock</v>
      </c>
    </row>
    <row r="7">
      <c r="A7" s="8" t="s">
        <v>198</v>
      </c>
      <c r="B7" s="8" t="s">
        <v>173</v>
      </c>
      <c r="C7" s="8" t="s">
        <v>81</v>
      </c>
      <c r="D7" s="8" t="s">
        <v>199</v>
      </c>
      <c r="E7" s="9">
        <v>6.0051084E7</v>
      </c>
      <c r="F7" s="9">
        <v>6.0051084E7</v>
      </c>
      <c r="G7" s="9">
        <v>0.0</v>
      </c>
      <c r="H7" s="8" t="s">
        <v>83</v>
      </c>
      <c r="I7" s="9">
        <v>7900000.0</v>
      </c>
      <c r="J7" s="10">
        <v>46196.0</v>
      </c>
      <c r="K7" s="11">
        <f t="shared" si="1"/>
        <v>0.131554661</v>
      </c>
      <c r="L7" s="8" t="s">
        <v>153</v>
      </c>
      <c r="M7" s="8" t="s">
        <v>200</v>
      </c>
      <c r="N7" s="12" t="str">
        <f>IFERROR(__xludf.DUMMYFUNCTION("TEXTJOIN("", "", TRUE, SORT(TRANSPOSE(SPLIT(M7, "", ""))))"),"AL, FL, MO, VA")</f>
        <v>AL, FL, MO, VA</v>
      </c>
      <c r="O7" s="12" t="s">
        <v>201</v>
      </c>
      <c r="P7" s="8" t="s">
        <v>113</v>
      </c>
      <c r="Q7" s="8" t="s">
        <v>156</v>
      </c>
      <c r="R7" s="8" t="s">
        <v>180</v>
      </c>
      <c r="S7" s="8" t="s">
        <v>202</v>
      </c>
      <c r="T7" s="8" t="s">
        <v>203</v>
      </c>
      <c r="U7" s="8" t="s">
        <v>204</v>
      </c>
      <c r="V7" s="8" t="s">
        <v>205</v>
      </c>
      <c r="W7" s="8" t="s">
        <v>206</v>
      </c>
      <c r="X7" s="8" t="s">
        <v>207</v>
      </c>
      <c r="Y7" s="8" t="s">
        <v>208</v>
      </c>
      <c r="Z7" s="8" t="s">
        <v>209</v>
      </c>
      <c r="AA7" s="8" t="s">
        <v>210</v>
      </c>
      <c r="AB7" s="11">
        <v>0.0497</v>
      </c>
      <c r="AC7" s="11">
        <v>0.0506</v>
      </c>
      <c r="AD7" s="11">
        <v>0.0517</v>
      </c>
      <c r="AE7" s="11">
        <v>0.0531</v>
      </c>
      <c r="AF7" s="11">
        <v>0.0546</v>
      </c>
      <c r="AG7" s="11">
        <v>0.0557</v>
      </c>
      <c r="AH7" s="11">
        <v>0.0568</v>
      </c>
      <c r="AI7" s="11">
        <v>0.058</v>
      </c>
      <c r="AJ7" s="11">
        <v>0.0595</v>
      </c>
      <c r="AK7" s="11">
        <v>0.0612</v>
      </c>
      <c r="AL7" s="11">
        <v>0.0551</v>
      </c>
      <c r="AM7" s="11">
        <v>0.0687</v>
      </c>
      <c r="AN7" s="13">
        <f t="shared" si="2"/>
        <v>0.075694</v>
      </c>
      <c r="AO7" s="8" t="s">
        <v>100</v>
      </c>
      <c r="AP7" s="8" t="s">
        <v>101</v>
      </c>
      <c r="AQ7" s="8" t="s">
        <v>101</v>
      </c>
      <c r="AR7" s="8" t="s">
        <v>101</v>
      </c>
      <c r="AS7" s="8" t="s">
        <v>101</v>
      </c>
      <c r="AT7" s="12" t="s">
        <v>102</v>
      </c>
      <c r="AU7" s="8" t="s">
        <v>211</v>
      </c>
      <c r="AV7" s="14" t="s">
        <v>212</v>
      </c>
      <c r="AW7" s="15"/>
      <c r="AX7" s="9">
        <v>100000.0</v>
      </c>
      <c r="AY7" s="16" t="str">
        <f>IFERROR(__xludf.DUMMYFUNCTION("IF(ISBLANK(AV7), """", IF(REGEXMATCH(AV7, ""/file/d/""), ""https://lh3.googleusercontent.com/d/"" &amp; REGEXEXTRACT(AV7, ""/d/([a-zA-Z0-9_-]+)""), AV7))"),"https://lh3.googleusercontent.com/d/1c1Pdo3bRQdhIdMVlnFyaF36rQSG-IO1k")</f>
        <v>https://lh3.googleusercontent.com/d/1c1Pdo3bRQdhIdMVlnFyaF36rQSG-IO1k</v>
      </c>
      <c r="AZ7" s="13">
        <f t="shared" si="3"/>
        <v>0.0687</v>
      </c>
      <c r="BA7" s="17" t="str">
        <f t="shared" si="4"/>
        <v>Tax-Adjusted Yield</v>
      </c>
      <c r="BB7" s="17" t="str">
        <f t="shared" si="5"/>
        <v>Offering Documents Available By Request</v>
      </c>
      <c r="BC7" s="8" t="s">
        <v>213</v>
      </c>
      <c r="BD7" s="8" t="s">
        <v>196</v>
      </c>
      <c r="BE7" s="8" t="s">
        <v>171</v>
      </c>
      <c r="BF7" s="17" t="str">
        <f t="shared" si="6"/>
        <v>Learn More About Bluerock</v>
      </c>
      <c r="BG7" s="17" t="str">
        <f t="shared" si="7"/>
        <v>Learn More About Industrial Properties</v>
      </c>
      <c r="BH7" s="17">
        <f t="array" ref="BH7">IFERROR(XLOOKUP($B7, 'Sponsor Connection'!$A:$A, 'Sponsor Connection'!$B:$B), )</f>
        <v>2002</v>
      </c>
      <c r="BI7" s="17" t="str">
        <f t="array" ref="BI7">IFERROR(XLOOKUP($B7, 'Sponsor Connection'!$A:$A, 'Sponsor Connection'!$D:$D), )</f>
        <v>Bluerock has sponsored syndicated 1031 exchanges for more than eighteen years, and its Bluerock Value Exchange (BVEX) arm packages multifamily, industrial and other core sectors into what it markets as 'Premier Exchange Properties.' Backed by a broader Bluerock platform of roughly $19 billion that also spans interval funds, the firm pairs institutional acquisition capability with a long DST track record across multiple cycles. Its national footprint and sector breadth position it as a diversified mid-to-large sponsor rather than a single-asset specialist.</v>
      </c>
      <c r="BJ7" s="18">
        <f t="array" ref="BJ7">IF($B7="", "", LET(aum, IFERROR(XLOOKUP($B7, 'Sponsor Connection'!$A:$A, 'Sponsor Connection'!$C:$C), ""), IF(OR(aum="", aum=0), "Not Reported", aum)))</f>
        <v>19000000000</v>
      </c>
      <c r="BK7" s="19">
        <f t="array" ref="BK7">IF(ISBLANK($B7), "", LET(val, IFERROR(XLOOKUP($B7, 'Sponsor Connection'!$A:$A, 'Sponsor Connection'!$M:$M), ""), IF(OR(ISBLANK(val), val="", val=0), "Not Reported", val)))</f>
        <v>97</v>
      </c>
      <c r="BL7" s="13">
        <f t="array" ref="BL7">IF(ISBLANK($B7), "", LET(val, IFERROR(XLOOKUP($B7, 'Sponsor Connection'!$A:$A, 'Sponsor Connection'!$N:$N), ""), IF(val="", "Not Reported", val)))</f>
        <v>0.2138783505</v>
      </c>
      <c r="BM7" s="20">
        <f t="array" ref="BM7">IF(ISBLANK($B7), "", LET(val, IFERROR(XLOOKUP($B7, 'Sponsor Connection'!$A:$A, 'Sponsor Connection'!$O:$O), ""), IF(val="", "Not Reported", val)))</f>
        <v>1.773608247</v>
      </c>
      <c r="BN7" s="21">
        <f t="array" ref="BN7">IF(ISBLANK($B7), "", LET(val, IFERROR(XLOOKUP($B7, 'Sponsor Connection'!$A:$A, 'Sponsor Connection'!$P:$P), ""), IF(val="", "Not Reported", val)))</f>
        <v>4.004123711</v>
      </c>
      <c r="BO7" s="13">
        <f t="array" ref="BO7">IF(ISBLANK($B7), "", LET(val, IFERROR(XLOOKUP($B7, 'Sponsor Connection'!$A:$A, 'Sponsor Connection'!$Q:$Q), ""), IF(val="", "Not Reported", val)))</f>
        <v>0.9381443299</v>
      </c>
      <c r="BP7" s="16" t="str">
        <f t="array" ref="BP7">IFERROR(XLOOKUP($B7, 'Sponsor Connection'!$A:$A, 'Sponsor Connection'!$L:$L), )</f>
        <v>https://img.logo.dev/bluerockexchange.com?token=pk_FIVsDKgZTvCedVXXtt2rEg&amp;size=200&amp;retina=true</v>
      </c>
      <c r="BQ7" s="13">
        <f t="shared" si="8"/>
        <v>0.0551</v>
      </c>
      <c r="BR7" s="13">
        <f>IFERROR(VLOOKUP(L7, Benchmarks!$A$2:$D$15, 2, FALSE), "Not Analyzed")</f>
        <v>0</v>
      </c>
      <c r="BS7" s="17" t="str">
        <f t="shared" si="9"/>
        <v>Above Average</v>
      </c>
      <c r="BT7" s="13">
        <f t="shared" si="10"/>
        <v>0.23138833</v>
      </c>
      <c r="BU7" s="13">
        <f>IFERROR(VLOOKUP(L7, Benchmarks!$A$2:$D$15, 4, FALSE), "Not Analyzed")</f>
        <v>0.1441469396</v>
      </c>
      <c r="BV7" s="17" t="str">
        <f t="shared" si="11"/>
        <v>Above Average</v>
      </c>
      <c r="BW7" s="13">
        <f t="shared" si="12"/>
        <v>0.0612</v>
      </c>
      <c r="BX7" s="13">
        <f>IFERROR(VLOOKUP(L7, Benchmarks!$A$2:$D$15, 3, FALSE), "Not Analyzed")</f>
        <v>0.05854</v>
      </c>
      <c r="BY7" s="17" t="str">
        <f t="shared" si="13"/>
        <v>Meets Average</v>
      </c>
      <c r="BZ7" s="17" t="str">
        <f t="shared" si="14"/>
        <v>Investment: BR Diversified Industrial Portfolio 7, DST | Sponsor: Bluerock | Structure: Delaware Statutory Trust (DST) | Status: Limited Availability | LTV: 0.00% LTV | Availability: 0.131554661028267 | Location: AL, FL, MO, VA | Strategy: Core-Plus | 721 Exchange Exit: Mandatory | Estimated Hold: 7-10 years | Cap Rate Equivalent: 0.075694 | Minimum Investment: 100000</v>
      </c>
      <c r="CA7" s="17" t="str">
        <f>A7&amp;" ("&amp;H7&amp;")"&amp;CHAR(10)&amp;CHAR(10)&amp;"BR Diversified Industrial Portfolio 7 is a debt-free DST holding five single-tenant industrial properties (~552,438 SF; ~11.7-year WALT) on absolute/triple-net leases to tenants including NVR, BlueLinx, Woodsman, and DESHAZO Automation. The assets were ac"&amp;"quired ~$1.35M below appraised value in Sun Belt and industrial-corridor markets where in-place rents run ~25% below submarket. The thesis is diversified net-lease income with embedded mark-to-market upside and an optional Section 721 FMV rollover into a "&amp;"Bluerock-affiliated operating partnership."&amp;CHAR(10)&amp;CHAR(10)&amp;"&gt;&gt; Download Offering Documents"&amp;CHAR(10)&amp;"https://www.baker1031.com/sponsors/bluerock"</f>
        <v>BR Diversified Industrial Portfolio 7, DST (0.00% LTV)
BR Diversified Industrial Portfolio 7 is a debt-free DST holding five single-tenant industrial properties (~552,438 SF; ~11.7-year WALT) on absolute/triple-net leases to tenants including NVR, BlueLinx, Woodsman, and DESHAZO Automation. The assets were acquired ~$1.35M below appraised value in Sun Belt and industrial-corridor markets where in-place rents run ~25% below submarket. The thesis is diversified net-lease income with embedded mark-to-market upside and an optional Section 721 FMV rollover into a Bluerock-affiliated operating partnership.
&gt;&gt; Download Offering Documents
https://www.baker1031.com/sponsors/bluerock</v>
      </c>
    </row>
    <row r="8">
      <c r="A8" s="8" t="s">
        <v>214</v>
      </c>
      <c r="B8" s="8" t="s">
        <v>215</v>
      </c>
      <c r="C8" s="8" t="s">
        <v>81</v>
      </c>
      <c r="D8" s="8" t="s">
        <v>199</v>
      </c>
      <c r="E8" s="9">
        <v>1.64055365E8</v>
      </c>
      <c r="F8" s="9">
        <v>8.0055365E7</v>
      </c>
      <c r="G8" s="9">
        <v>8.4E7</v>
      </c>
      <c r="H8" s="8" t="s">
        <v>216</v>
      </c>
      <c r="I8" s="9">
        <v>250000.0</v>
      </c>
      <c r="J8" s="10">
        <v>46202.0</v>
      </c>
      <c r="K8" s="11">
        <f t="shared" si="1"/>
        <v>0.0031228388</v>
      </c>
      <c r="L8" s="8" t="s">
        <v>153</v>
      </c>
      <c r="M8" s="8" t="s">
        <v>217</v>
      </c>
      <c r="N8" s="12" t="str">
        <f>IFERROR(__xludf.DUMMYFUNCTION("TEXTJOIN("", "", TRUE, SORT(TRANSPOSE(SPLIT(M8, "", ""))))"),"MA")</f>
        <v>MA</v>
      </c>
      <c r="O8" s="12" t="s">
        <v>155</v>
      </c>
      <c r="P8" s="8" t="s">
        <v>87</v>
      </c>
      <c r="Q8" s="8" t="s">
        <v>156</v>
      </c>
      <c r="R8" s="8" t="s">
        <v>132</v>
      </c>
      <c r="S8" s="14" t="s">
        <v>218</v>
      </c>
      <c r="T8" s="14" t="s">
        <v>219</v>
      </c>
      <c r="U8" s="8" t="s">
        <v>220</v>
      </c>
      <c r="V8" s="8" t="s">
        <v>221</v>
      </c>
      <c r="W8" s="8" t="s">
        <v>222</v>
      </c>
      <c r="X8" s="8" t="s">
        <v>223</v>
      </c>
      <c r="Y8" s="8" t="s">
        <v>224</v>
      </c>
      <c r="Z8" s="8" t="s">
        <v>225</v>
      </c>
      <c r="AA8" s="8" t="s">
        <v>226</v>
      </c>
      <c r="AB8" s="11">
        <v>0.061</v>
      </c>
      <c r="AC8" s="11">
        <v>0.0638</v>
      </c>
      <c r="AD8" s="11">
        <v>0.0669</v>
      </c>
      <c r="AE8" s="11">
        <v>0.07</v>
      </c>
      <c r="AF8" s="11">
        <v>0.0731</v>
      </c>
      <c r="AG8" s="11">
        <v>0.0762</v>
      </c>
      <c r="AH8" s="11">
        <v>0.0796</v>
      </c>
      <c r="AI8" s="8" t="s">
        <v>142</v>
      </c>
      <c r="AJ8" s="8" t="s">
        <v>142</v>
      </c>
      <c r="AK8" s="8" t="s">
        <v>142</v>
      </c>
      <c r="AL8" s="11">
        <v>0.0701</v>
      </c>
      <c r="AM8" s="8" t="s">
        <v>99</v>
      </c>
      <c r="AN8" s="13">
        <f t="shared" si="2"/>
        <v>0.09316914948</v>
      </c>
      <c r="AO8" s="8" t="s">
        <v>227</v>
      </c>
      <c r="AP8" s="8" t="s">
        <v>228</v>
      </c>
      <c r="AQ8" s="8" t="s">
        <v>132</v>
      </c>
      <c r="AR8" s="8" t="s">
        <v>132</v>
      </c>
      <c r="AS8" s="8" t="s">
        <v>145</v>
      </c>
      <c r="AT8" s="12" t="s">
        <v>229</v>
      </c>
      <c r="AU8" s="8" t="s">
        <v>230</v>
      </c>
      <c r="AV8" s="14" t="s">
        <v>231</v>
      </c>
      <c r="AW8" s="15"/>
      <c r="AX8" s="9">
        <v>100000.0</v>
      </c>
      <c r="AY8" s="16" t="str">
        <f>IFERROR(__xludf.DUMMYFUNCTION("IF(ISBLANK(AV8), """", IF(REGEXMATCH(AV8, ""/file/d/""), ""https://lh3.googleusercontent.com/d/"" &amp; REGEXEXTRACT(AV8, ""/d/([a-zA-Z0-9_-]+)""), AV8))"),"https://lh3.googleusercontent.com/d/1AgkmSZx56AVVBdJWPqlDqfYNMqSiQ0sq")</f>
        <v>https://lh3.googleusercontent.com/d/1AgkmSZx56AVVBdJWPqlDqfYNMqSiQ0sq</v>
      </c>
      <c r="AZ8" s="13">
        <f t="shared" si="3"/>
        <v>0.1294470588</v>
      </c>
      <c r="BA8" s="17" t="str">
        <f t="shared" si="4"/>
        <v>Est. Tax-Adjusted Yield⁹</v>
      </c>
      <c r="BB8" s="17" t="str">
        <f t="shared" si="5"/>
        <v>Offering Documents Available By Request</v>
      </c>
      <c r="BC8" s="8" t="s">
        <v>232</v>
      </c>
      <c r="BD8" s="8" t="s">
        <v>233</v>
      </c>
      <c r="BE8" s="8" t="s">
        <v>171</v>
      </c>
      <c r="BF8" s="17" t="str">
        <f t="shared" si="6"/>
        <v>Learn More About Brookfield</v>
      </c>
      <c r="BG8" s="17" t="str">
        <f t="shared" si="7"/>
        <v>Learn More About Industrial Properties</v>
      </c>
      <c r="BH8" s="17">
        <f t="array" ref="BH8">IFERROR(XLOOKUP($B8, 'Sponsor Connection'!$A:$A, 'Sponsor Connection'!$B:$B), )</f>
        <v>1899</v>
      </c>
      <c r="BI8" s="17" t="str">
        <f t="array" ref="BI8">IFERROR(XLOOKUP($B8, 'Sponsor Connection'!$A:$A, 'Sponsor Connection'!$D:$D), )</f>
        <v>Brookfield is a global owner-operator of real assets with well over $1 trillion in AUM and roughly $31 billion in U.S. institutional real estate, and it reaches retail and exchange investors through the Brookfield Real Estate Income Trust. Its competitive advantage is operational rather than financial-engineering: deep in-house operating platforms across infrastructure, renewables and property allow it to drive value at the asset level. Backed by a perpetual-capital base and a 125-year institutional lineage, Brookfield brings owner-operator scale that few sponsors can replicate, with DST/non-traded vehicles a small slice of the whole.</v>
      </c>
      <c r="BJ8" s="18">
        <f t="array" ref="BJ8">IF($B8="", "", LET(aum, IFERROR(XLOOKUP($B8, 'Sponsor Connection'!$A:$A, 'Sponsor Connection'!$C:$C), ""), IF(OR(aum="", aum=0), "Not Reported", aum)))</f>
        <v>1000000000000</v>
      </c>
      <c r="BK8" s="19" t="str">
        <f t="array" ref="BK8">IF(ISBLANK($B8), "", LET(val, IFERROR(XLOOKUP($B8, 'Sponsor Connection'!$A:$A, 'Sponsor Connection'!$M:$M), ""), IF(OR(ISBLANK(val), val="", val=0), "Not Reported", val)))</f>
        <v>Not Reported</v>
      </c>
      <c r="BL8" s="13" t="str">
        <f t="array" ref="BL8">IF(ISBLANK($B8), "", LET(val, IFERROR(XLOOKUP($B8, 'Sponsor Connection'!$A:$A, 'Sponsor Connection'!$N:$N), ""), IF(val="", "Not Reported", val)))</f>
        <v>No Data</v>
      </c>
      <c r="BM8" s="20" t="str">
        <f t="array" ref="BM8">IF(ISBLANK($B8), "", LET(val, IFERROR(XLOOKUP($B8, 'Sponsor Connection'!$A:$A, 'Sponsor Connection'!$O:$O), ""), IF(val="", "Not Reported", val)))</f>
        <v>No Data</v>
      </c>
      <c r="BN8" s="21" t="str">
        <f t="array" ref="BN8">IF(ISBLANK($B8), "", LET(val, IFERROR(XLOOKUP($B8, 'Sponsor Connection'!$A:$A, 'Sponsor Connection'!$P:$P), ""), IF(val="", "Not Reported", val)))</f>
        <v>No Data</v>
      </c>
      <c r="BO8" s="13" t="str">
        <f t="array" ref="BO8">IF(ISBLANK($B8), "", LET(val, IFERROR(XLOOKUP($B8, 'Sponsor Connection'!$A:$A, 'Sponsor Connection'!$Q:$Q), ""), IF(val="", "Not Reported", val)))</f>
        <v>No Data</v>
      </c>
      <c r="BP8" s="16" t="str">
        <f t="array" ref="BP8">IFERROR(XLOOKUP($B8, 'Sponsor Connection'!$A:$A, 'Sponsor Connection'!$L:$L), )</f>
        <v>https://img.logo.dev/brookfield.com?token=pk_FIVsDKgZTvCedVXXtt2rEg&amp;size=200&amp;retina=true</v>
      </c>
      <c r="BQ8" s="13">
        <f t="shared" si="8"/>
        <v>0.0701</v>
      </c>
      <c r="BR8" s="13">
        <f>IFERROR(VLOOKUP(L8, Benchmarks!$A$2:$D$15, 2, FALSE), "Not Analyzed")</f>
        <v>0</v>
      </c>
      <c r="BS8" s="17" t="str">
        <f t="shared" si="9"/>
        <v>Above Average</v>
      </c>
      <c r="BT8" s="13">
        <f t="shared" si="10"/>
        <v>0.3049180328</v>
      </c>
      <c r="BU8" s="13">
        <f>IFERROR(VLOOKUP(L8, Benchmarks!$A$2:$D$15, 4, FALSE), "Not Analyzed")</f>
        <v>0.1441469396</v>
      </c>
      <c r="BV8" s="17" t="str">
        <f t="shared" si="11"/>
        <v>Above Average</v>
      </c>
      <c r="BW8" s="13">
        <f t="shared" si="12"/>
        <v>0.0796</v>
      </c>
      <c r="BX8" s="13">
        <f>IFERROR(VLOOKUP(L8, Benchmarks!$A$2:$D$15, 3, FALSE), "Not Analyzed")</f>
        <v>0.05854</v>
      </c>
      <c r="BY8" s="17" t="str">
        <f t="shared" si="13"/>
        <v>Above Average</v>
      </c>
      <c r="BZ8" s="17" t="str">
        <f t="shared" si="14"/>
        <v>Investment: BREX Net Lease Industrial I DST | Sponsor: Brookfield | Structure: Delaware Statutory Trust (DST) | Status: Limited Availability | LTV: 51.20% LTV | Availability: 0.00312283880037272 | Location: MA | Strategy: Core | 721 Exchange Exit: Mandatory | Estimated Hold: 7 years | Cap Rate Equivalent: 0.0931691494840462 | Minimum Investment: 100000</v>
      </c>
      <c r="CA8" s="17" t="str">
        <f>A8&amp;" ("&amp;H8&amp;")"&amp;CHAR(10)&amp;CHAR(10)&amp;"BREX Net Lease Industrial I is a single-asset DST holding a 2022-built, 221,999 SF Class A Amazon-leased warehouse in Everett, MA, an urban-infill submarket less than five miles north of downtown Boston. The property is 100% triple-net-leased to Amazon (A"&amp;"A/A1) with ~12 years of term, 2.5% annual escalations, and three renewal options; it was acquired in March 2026 for $155.4M and financed with an $84.0M PNC loan (SOFR+1.45% hedged to 4.837% effective fixed, 51.20% LTC). The thesis is investment-grade cred"&amp;"it-tenant net-lease income with an optional Section 721 FMV rollover into the Brookfield REIT operating partnership over a ~7-year hold to loan maturity."&amp;CHAR(10)&amp;CHAR(10)&amp;"&gt;&gt; Download Offering Documents"&amp;CHAR(10)&amp;"https://www.baker1031.com/sponsors/brookfield"</f>
        <v>BREX Net Lease Industrial I DST (51.20% LTV)
BREX Net Lease Industrial I is a single-asset DST holding a 2022-built, 221,999 SF Class A Amazon-leased warehouse in Everett, MA, an urban-infill submarket less than five miles north of downtown Boston. The property is 100% triple-net-leased to Amazon (AA/A1) with ~12 years of term, 2.5% annual escalations, and three renewal options; it was acquired in March 2026 for $155.4M and financed with an $84.0M PNC loan (SOFR+1.45% hedged to 4.837% effective fixed, 51.20% LTC). The thesis is investment-grade credit-tenant net-lease income with an optional Section 721 FMV rollover into the Brookfield REIT operating partnership over a ~7-year hold to loan maturity.
&gt;&gt; Download Offering Documents
https://www.baker1031.com/sponsors/brookfield</v>
      </c>
    </row>
    <row r="9">
      <c r="A9" s="8" t="s">
        <v>234</v>
      </c>
      <c r="B9" s="8" t="s">
        <v>173</v>
      </c>
      <c r="C9" s="8" t="s">
        <v>81</v>
      </c>
      <c r="D9" s="8" t="s">
        <v>82</v>
      </c>
      <c r="E9" s="9">
        <v>7.8111498E7</v>
      </c>
      <c r="F9" s="9">
        <v>3.9486498E7</v>
      </c>
      <c r="G9" s="9">
        <v>3.8625E7</v>
      </c>
      <c r="H9" s="8" t="s">
        <v>235</v>
      </c>
      <c r="I9" s="9">
        <v>1.9E7</v>
      </c>
      <c r="J9" s="10">
        <v>46196.0</v>
      </c>
      <c r="K9" s="11">
        <f t="shared" si="1"/>
        <v>0.4811771355</v>
      </c>
      <c r="L9" s="8" t="s">
        <v>176</v>
      </c>
      <c r="M9" s="8" t="s">
        <v>236</v>
      </c>
      <c r="N9" s="12" t="str">
        <f>IFERROR(__xludf.DUMMYFUNCTION("TEXTJOIN("", "", TRUE, SORT(TRANSPOSE(SPLIT(M9, "", ""))))"),"GA")</f>
        <v>GA</v>
      </c>
      <c r="O9" s="12" t="s">
        <v>237</v>
      </c>
      <c r="P9" s="8" t="s">
        <v>113</v>
      </c>
      <c r="Q9" s="8" t="s">
        <v>156</v>
      </c>
      <c r="R9" s="8" t="s">
        <v>180</v>
      </c>
      <c r="S9" s="8" t="s">
        <v>238</v>
      </c>
      <c r="T9" s="8" t="s">
        <v>239</v>
      </c>
      <c r="U9" s="8" t="s">
        <v>240</v>
      </c>
      <c r="V9" s="8" t="s">
        <v>241</v>
      </c>
      <c r="W9" s="8" t="s">
        <v>242</v>
      </c>
      <c r="X9" s="8" t="s">
        <v>243</v>
      </c>
      <c r="Y9" s="8" t="s">
        <v>244</v>
      </c>
      <c r="Z9" s="8" t="s">
        <v>245</v>
      </c>
      <c r="AA9" s="8" t="s">
        <v>246</v>
      </c>
      <c r="AB9" s="11">
        <v>0.044</v>
      </c>
      <c r="AC9" s="11">
        <v>0.0442</v>
      </c>
      <c r="AD9" s="11">
        <v>0.0443</v>
      </c>
      <c r="AE9" s="11">
        <v>0.0443</v>
      </c>
      <c r="AF9" s="11">
        <v>0.0469</v>
      </c>
      <c r="AG9" s="11">
        <v>0.0496</v>
      </c>
      <c r="AH9" s="11">
        <v>0.0525</v>
      </c>
      <c r="AI9" s="11">
        <v>0.0557</v>
      </c>
      <c r="AJ9" s="11">
        <v>0.0589</v>
      </c>
      <c r="AK9" s="11">
        <v>0.0635</v>
      </c>
      <c r="AL9" s="11">
        <v>0.0504</v>
      </c>
      <c r="AM9" s="11">
        <v>0.0878</v>
      </c>
      <c r="AN9" s="13">
        <f t="shared" si="2"/>
        <v>0.08403230941</v>
      </c>
      <c r="AO9" s="8" t="s">
        <v>190</v>
      </c>
      <c r="AP9" s="8" t="s">
        <v>247</v>
      </c>
      <c r="AQ9" s="8" t="s">
        <v>89</v>
      </c>
      <c r="AR9" s="8" t="s">
        <v>89</v>
      </c>
      <c r="AS9" s="8" t="s">
        <v>145</v>
      </c>
      <c r="AT9" s="12" t="s">
        <v>248</v>
      </c>
      <c r="AU9" s="8" t="s">
        <v>249</v>
      </c>
      <c r="AV9" s="14" t="s">
        <v>250</v>
      </c>
      <c r="AW9" s="15"/>
      <c r="AX9" s="9">
        <v>100000.0</v>
      </c>
      <c r="AY9" s="16" t="str">
        <f>IFERROR(__xludf.DUMMYFUNCTION("IF(ISBLANK(AV9), """", IF(REGEXMATCH(AV9, ""/file/d/""), ""https://lh3.googleusercontent.com/d/"" &amp; REGEXEXTRACT(AV9, ""/d/([a-zA-Z0-9_-]+)""), AV9))"),"https://lh3.googleusercontent.com/d/1xO96McQnNjSgKdvqpX8IjOJbNwbyVxL1")</f>
        <v>https://lh3.googleusercontent.com/d/1xO96McQnNjSgKdvqpX8IjOJbNwbyVxL1</v>
      </c>
      <c r="AZ9" s="13">
        <f t="shared" si="3"/>
        <v>0.0878</v>
      </c>
      <c r="BA9" s="17" t="str">
        <f t="shared" si="4"/>
        <v>Tax-Adjusted Yield</v>
      </c>
      <c r="BB9" s="17" t="str">
        <f t="shared" si="5"/>
        <v>Offering Documents Available By Request</v>
      </c>
      <c r="BC9" s="8" t="s">
        <v>251</v>
      </c>
      <c r="BD9" s="8" t="s">
        <v>196</v>
      </c>
      <c r="BE9" s="8" t="s">
        <v>197</v>
      </c>
      <c r="BF9" s="17" t="str">
        <f t="shared" si="6"/>
        <v>Learn More About Bluerock</v>
      </c>
      <c r="BG9" s="17" t="str">
        <f t="shared" si="7"/>
        <v>Learn More About Multifamily Properties</v>
      </c>
      <c r="BH9" s="17">
        <f t="array" ref="BH9">IFERROR(XLOOKUP($B9, 'Sponsor Connection'!$A:$A, 'Sponsor Connection'!$B:$B), )</f>
        <v>2002</v>
      </c>
      <c r="BI9" s="17" t="str">
        <f t="array" ref="BI9">IFERROR(XLOOKUP($B9, 'Sponsor Connection'!$A:$A, 'Sponsor Connection'!$D:$D), )</f>
        <v>Bluerock has sponsored syndicated 1031 exchanges for more than eighteen years, and its Bluerock Value Exchange (BVEX) arm packages multifamily, industrial and other core sectors into what it markets as 'Premier Exchange Properties.' Backed by a broader Bluerock platform of roughly $19 billion that also spans interval funds, the firm pairs institutional acquisition capability with a long DST track record across multiple cycles. Its national footprint and sector breadth position it as a diversified mid-to-large sponsor rather than a single-asset specialist.</v>
      </c>
      <c r="BJ9" s="18">
        <f t="array" ref="BJ9">IF($B9="", "", LET(aum, IFERROR(XLOOKUP($B9, 'Sponsor Connection'!$A:$A, 'Sponsor Connection'!$C:$C), ""), IF(OR(aum="", aum=0), "Not Reported", aum)))</f>
        <v>19000000000</v>
      </c>
      <c r="BK9" s="19">
        <f t="array" ref="BK9">IF(ISBLANK($B9), "", LET(val, IFERROR(XLOOKUP($B9, 'Sponsor Connection'!$A:$A, 'Sponsor Connection'!$M:$M), ""), IF(OR(ISBLANK(val), val="", val=0), "Not Reported", val)))</f>
        <v>97</v>
      </c>
      <c r="BL9" s="13">
        <f t="array" ref="BL9">IF(ISBLANK($B9), "", LET(val, IFERROR(XLOOKUP($B9, 'Sponsor Connection'!$A:$A, 'Sponsor Connection'!$N:$N), ""), IF(val="", "Not Reported", val)))</f>
        <v>0.2138783505</v>
      </c>
      <c r="BM9" s="20">
        <f t="array" ref="BM9">IF(ISBLANK($B9), "", LET(val, IFERROR(XLOOKUP($B9, 'Sponsor Connection'!$A:$A, 'Sponsor Connection'!$O:$O), ""), IF(val="", "Not Reported", val)))</f>
        <v>1.773608247</v>
      </c>
      <c r="BN9" s="21">
        <f t="array" ref="BN9">IF(ISBLANK($B9), "", LET(val, IFERROR(XLOOKUP($B9, 'Sponsor Connection'!$A:$A, 'Sponsor Connection'!$P:$P), ""), IF(val="", "Not Reported", val)))</f>
        <v>4.004123711</v>
      </c>
      <c r="BO9" s="13">
        <f t="array" ref="BO9">IF(ISBLANK($B9), "", LET(val, IFERROR(XLOOKUP($B9, 'Sponsor Connection'!$A:$A, 'Sponsor Connection'!$Q:$Q), ""), IF(val="", "Not Reported", val)))</f>
        <v>0.9381443299</v>
      </c>
      <c r="BP9" s="16" t="str">
        <f t="array" ref="BP9">IFERROR(XLOOKUP($B9, 'Sponsor Connection'!$A:$A, 'Sponsor Connection'!$L:$L), )</f>
        <v>https://img.logo.dev/bluerockexchange.com?token=pk_FIVsDKgZTvCedVXXtt2rEg&amp;size=200&amp;retina=true</v>
      </c>
      <c r="BQ9" s="13">
        <f t="shared" si="8"/>
        <v>0.0504</v>
      </c>
      <c r="BR9" s="13">
        <f>IFERROR(VLOOKUP(L9, Benchmarks!$A$2:$D$15, 2, FALSE), "Not Analyzed")</f>
        <v>0.050338</v>
      </c>
      <c r="BS9" s="17" t="str">
        <f t="shared" si="9"/>
        <v>Meets Average</v>
      </c>
      <c r="BT9" s="13">
        <f t="shared" si="10"/>
        <v>0.4431818182</v>
      </c>
      <c r="BU9" s="13">
        <f>IFERROR(VLOOKUP(L9, Benchmarks!$A$2:$D$15, 4, FALSE), "Not Analyzed")</f>
        <v>0.2473634914</v>
      </c>
      <c r="BV9" s="17" t="str">
        <f t="shared" si="11"/>
        <v>Above Average</v>
      </c>
      <c r="BW9" s="13">
        <f t="shared" si="12"/>
        <v>0.0635</v>
      </c>
      <c r="BX9" s="13">
        <f>IFERROR(VLOOKUP(L9, Benchmarks!$A$2:$D$15, 3, FALSE), "Not Analyzed")</f>
        <v>0.05289545455</v>
      </c>
      <c r="BY9" s="17" t="str">
        <f t="shared" si="13"/>
        <v>Above Average</v>
      </c>
      <c r="BZ9" s="17" t="str">
        <f t="shared" si="14"/>
        <v>Investment: BR Parkview Multifamily, DST | Sponsor: Bluerock | Structure: Delaware Statutory Trust (DST) | Status: Available | LTV: 49.45% LTV | Availability: 0.481177135536304 | Location: GA | Strategy: Core-Plus | 721 Exchange Exit: Mandatory | Estimated Hold: 7-10 years | Cap Rate Equivalent: 0.0840323094137907 | Minimum Investment: 100000</v>
      </c>
      <c r="CA9" s="17" t="str">
        <f>A9&amp;" ("&amp;H9&amp;")"&amp;CHAR(10)&amp;CHAR(10)&amp;"BR Parkview Multifamily is a newly built (2023) 264-unit Class A garden community in Gwinnett County (Stone Mountain, GA), acquired ~$1.5M below appraised value and financed with a $38.6M KeyBank/Fannie Mae DUS loan (5.18% fixed, interest-only, 49.45% LTC"&amp;"). The stabilized-hold business plan pursues rental-rate growth via revenue management and below-market rents (~41% discount to homeownership), supported by a 2026-2027 tax-assessment freeze and RPM Living management. Gwinnett County leads Atlanta-metro p"&amp;"opulation growth with forecast housing demand ~5x current construction pace, and the offering carries an optional Section 721 FMV rollover into a Bluerock-affiliated operating partnership."&amp;CHAR(10)&amp;CHAR(10)&amp;"&gt;&gt; Download Offering Documents"&amp;CHAR(10)&amp;"https://www.baker1031.com/sponsors/bluerock"</f>
        <v>BR Parkview Multifamily, DST (49.45% LTV)
BR Parkview Multifamily is a newly built (2023) 264-unit Class A garden community in Gwinnett County (Stone Mountain, GA), acquired ~$1.5M below appraised value and financed with a $38.6M KeyBank/Fannie Mae DUS loan (5.18% fixed, interest-only, 49.45% LTC). The stabilized-hold business plan pursues rental-rate growth via revenue management and below-market rents (~41% discount to homeownership), supported by a 2026-2027 tax-assessment freeze and RPM Living management. Gwinnett County leads Atlanta-metro population growth with forecast housing demand ~5x current construction pace, and the offering carries an optional Section 721 FMV rollover into a Bluerock-affiliated operating partnership.
&gt;&gt; Download Offering Documents
https://www.baker1031.com/sponsors/bluerock</v>
      </c>
    </row>
    <row r="10">
      <c r="A10" s="8" t="s">
        <v>252</v>
      </c>
      <c r="B10" s="8" t="s">
        <v>253</v>
      </c>
      <c r="C10" s="8" t="s">
        <v>81</v>
      </c>
      <c r="D10" s="8" t="s">
        <v>199</v>
      </c>
      <c r="E10" s="9">
        <v>6469972.0</v>
      </c>
      <c r="F10" s="9">
        <v>6469972.0</v>
      </c>
      <c r="G10" s="9">
        <v>0.0</v>
      </c>
      <c r="H10" s="8" t="s">
        <v>83</v>
      </c>
      <c r="I10" s="9">
        <v>1800000.0</v>
      </c>
      <c r="J10" s="10">
        <v>46196.0</v>
      </c>
      <c r="K10" s="11">
        <f t="shared" si="1"/>
        <v>0.2782083137</v>
      </c>
      <c r="L10" s="8" t="s">
        <v>254</v>
      </c>
      <c r="M10" s="8" t="s">
        <v>255</v>
      </c>
      <c r="N10" s="12" t="str">
        <f>IFERROR(__xludf.DUMMYFUNCTION("TEXTJOIN("", "", TRUE, SORT(TRANSPOSE(SPLIT(M10, "", ""))))"),"CO")</f>
        <v>CO</v>
      </c>
      <c r="O10" s="12" t="s">
        <v>256</v>
      </c>
      <c r="P10" s="8" t="s">
        <v>257</v>
      </c>
      <c r="Q10" s="8" t="s">
        <v>258</v>
      </c>
      <c r="R10" s="8" t="s">
        <v>259</v>
      </c>
      <c r="S10" s="8" t="s">
        <v>260</v>
      </c>
      <c r="T10" s="8" t="s">
        <v>261</v>
      </c>
      <c r="U10" s="8" t="s">
        <v>262</v>
      </c>
      <c r="V10" s="8" t="s">
        <v>263</v>
      </c>
      <c r="W10" s="8" t="s">
        <v>264</v>
      </c>
      <c r="X10" s="8" t="s">
        <v>265</v>
      </c>
      <c r="Y10" s="8" t="s">
        <v>266</v>
      </c>
      <c r="Z10" s="8" t="s">
        <v>267</v>
      </c>
      <c r="AA10" s="8" t="s">
        <v>268</v>
      </c>
      <c r="AB10" s="8">
        <v>0.0</v>
      </c>
      <c r="AC10" s="8">
        <v>0.0</v>
      </c>
      <c r="AD10" s="8">
        <v>0.0</v>
      </c>
      <c r="AE10" s="8">
        <v>0.0</v>
      </c>
      <c r="AF10" s="8">
        <v>0.0</v>
      </c>
      <c r="AG10" s="8" t="s">
        <v>142</v>
      </c>
      <c r="AH10" s="8" t="s">
        <v>142</v>
      </c>
      <c r="AI10" s="8" t="s">
        <v>142</v>
      </c>
      <c r="AJ10" s="8" t="s">
        <v>142</v>
      </c>
      <c r="AK10" s="8" t="s">
        <v>142</v>
      </c>
      <c r="AL10" s="8" t="s">
        <v>269</v>
      </c>
      <c r="AM10" s="8" t="s">
        <v>269</v>
      </c>
      <c r="AN10" s="13">
        <f t="shared" si="2"/>
        <v>0.025</v>
      </c>
      <c r="AO10" s="8" t="s">
        <v>100</v>
      </c>
      <c r="AP10" s="8" t="s">
        <v>101</v>
      </c>
      <c r="AQ10" s="8" t="s">
        <v>101</v>
      </c>
      <c r="AR10" s="8" t="s">
        <v>101</v>
      </c>
      <c r="AS10" s="8" t="s">
        <v>101</v>
      </c>
      <c r="AT10" s="12" t="s">
        <v>102</v>
      </c>
      <c r="AU10" s="8" t="s">
        <v>270</v>
      </c>
      <c r="AV10" s="22" t="s">
        <v>271</v>
      </c>
      <c r="AW10" s="15"/>
      <c r="AX10" s="9">
        <v>100000.0</v>
      </c>
      <c r="AY10" s="16" t="str">
        <f>IFERROR(__xludf.DUMMYFUNCTION("IF(ISBLANK(AV10), """", IF(REGEXMATCH(AV10, ""/file/d/""), ""https://lh3.googleusercontent.com/d/"" &amp; REGEXEXTRACT(AV10, ""/d/([a-zA-Z0-9_-]+)""), AV10))"),"https://lh3.googleusercontent.com/d/1m482JRkcE8IzqWa604lKtvUl4fTBH45F")</f>
        <v>https://lh3.googleusercontent.com/d/1m482JRkcE8IzqWa604lKtvUl4fTBH45F</v>
      </c>
      <c r="AZ10" s="17" t="str">
        <f t="shared" si="3"/>
        <v>N/A (no income)</v>
      </c>
      <c r="BA10" s="17" t="str">
        <f t="shared" si="4"/>
        <v>Tax-Adjusted Yield</v>
      </c>
      <c r="BB10" s="17" t="str">
        <f t="shared" si="5"/>
        <v>Offering Documents Available By Request</v>
      </c>
      <c r="BC10" s="8" t="s">
        <v>272</v>
      </c>
      <c r="BD10" s="8" t="s">
        <v>273</v>
      </c>
      <c r="BE10" s="8" t="s">
        <v>274</v>
      </c>
      <c r="BF10" s="17" t="str">
        <f t="shared" si="6"/>
        <v>Learn More About Walton Global Holdings</v>
      </c>
      <c r="BG10" s="17" t="str">
        <f t="shared" si="7"/>
        <v>Learn More About Land Properties</v>
      </c>
      <c r="BH10" s="17">
        <f t="array" ref="BH10">IFERROR(XLOOKUP($B10, 'Sponsor Connection'!$A:$A, 'Sponsor Connection'!$B:$B), )</f>
        <v>1979</v>
      </c>
      <c r="BI10" s="17" t="str">
        <f t="array" ref="BI10">IFERROR(XLOOKUP($B10, 'Sponsor Connection'!$A:$A, 'Sponsor Connection'!$D:$D), )</f>
        <v>Walton Global Holdings is a land asset manager with a 45-plus-year history, managing $3.35 billion and specializing in pre-development land that it supplies to U.S. homebuilders—a genuinely distinctive 1031 asset class. Controlling more than 85,000 acres across 170-plus master-planned communities and serving some 88,000 global investors across 91 countries, Walton has institutionalized land banking through its Builder Land Finance structure, recently bolstered by a 2025 GoldenTree co-investment. The land-to-homebuilder model offers diversification from income real estate but carries entitlement and absorption risk distinct from cash-flowing assets.</v>
      </c>
      <c r="BJ10" s="18">
        <f t="array" ref="BJ10">IF($B10="", "", LET(aum, IFERROR(XLOOKUP($B10, 'Sponsor Connection'!$A:$A, 'Sponsor Connection'!$C:$C), ""), IF(OR(aum="", aum=0), "Not Reported", aum)))</f>
        <v>3350000000</v>
      </c>
      <c r="BK10" s="19">
        <f t="array" ref="BK10">IF(ISBLANK($B10), "", LET(val, IFERROR(XLOOKUP($B10, 'Sponsor Connection'!$A:$A, 'Sponsor Connection'!$M:$M), ""), IF(OR(ISBLANK(val), val="", val=0), "Not Reported", val)))</f>
        <v>68</v>
      </c>
      <c r="BL10" s="13">
        <f t="array" ref="BL10">IF(ISBLANK($B10), "", LET(val, IFERROR(XLOOKUP($B10, 'Sponsor Connection'!$A:$A, 'Sponsor Connection'!$N:$N), ""), IF(val="", "Not Reported", val)))</f>
        <v>0.08204558824</v>
      </c>
      <c r="BM10" s="20">
        <f t="array" ref="BM10">IF(ISBLANK($B10), "", LET(val, IFERROR(XLOOKUP($B10, 'Sponsor Connection'!$A:$A, 'Sponsor Connection'!$O:$O), ""), IF(val="", "Not Reported", val)))</f>
        <v>1.345348837</v>
      </c>
      <c r="BN10" s="21">
        <f t="array" ref="BN10">IF(ISBLANK($B10), "", LET(val, IFERROR(XLOOKUP($B10, 'Sponsor Connection'!$A:$A, 'Sponsor Connection'!$P:$P), ""), IF(val="", "Not Reported", val)))</f>
        <v>7.165</v>
      </c>
      <c r="BO10" s="13">
        <f t="array" ref="BO10">IF(ISBLANK($B10), "", LET(val, IFERROR(XLOOKUP($B10, 'Sponsor Connection'!$A:$A, 'Sponsor Connection'!$Q:$Q), ""), IF(val="", "Not Reported", val)))</f>
        <v>0.75</v>
      </c>
      <c r="BP10" s="16" t="str">
        <f t="array" ref="BP10">IFERROR(XLOOKUP($B10, 'Sponsor Connection'!$A:$A, 'Sponsor Connection'!$L:$L), )</f>
        <v>https://img.logo.dev/walton.com?token=pk_FIVsDKgZTvCedVXXtt2rEg&amp;size=200&amp;retina=true</v>
      </c>
      <c r="BQ10" s="17" t="str">
        <f t="shared" si="8"/>
        <v>N/A (no income)</v>
      </c>
      <c r="BR10" s="13" t="str">
        <f>IFERROR(VLOOKUP(L10, Benchmarks!$A$2:$D$15, 2, FALSE), "Not Analyzed")</f>
        <v/>
      </c>
      <c r="BS10" s="17" t="str">
        <f t="shared" si="9"/>
        <v>Not Analyzed</v>
      </c>
      <c r="BT10" s="13">
        <f t="shared" si="10"/>
        <v>0</v>
      </c>
      <c r="BU10" s="13">
        <f>IFERROR(VLOOKUP(L10, Benchmarks!$A$2:$D$15, 4, FALSE), "Not Analyzed")</f>
        <v>0</v>
      </c>
      <c r="BV10" s="17" t="str">
        <f t="shared" si="11"/>
        <v>Not Analyzed</v>
      </c>
      <c r="BW10" s="17">
        <f t="shared" si="12"/>
        <v>0</v>
      </c>
      <c r="BX10" s="13">
        <f>IFERROR(VLOOKUP(L10, Benchmarks!$A$2:$D$15, 3, FALSE), "Not Analyzed")</f>
        <v>0</v>
      </c>
      <c r="BY10" s="17" t="str">
        <f t="shared" si="13"/>
        <v>Not Analyzed</v>
      </c>
      <c r="BZ10" s="17" t="str">
        <f t="shared" si="14"/>
        <v>Investment: Colorado Growth 1 - Holly Ridge DST | Sponsor: Walton Global Holdings | Structure: Delaware Statutory Trust (DST) | Status: Limited Availability | LTV: 0.00% LTV | Availability: 0.278208313729951 | Location: CO | Strategy: Opportunistic | 721 Exchange Exit: None | Estimated Hold: 4-5 years | Cap Rate Equivalent: 0.025 | Minimum Investment: 100000</v>
      </c>
      <c r="CA10" s="17" t="str">
        <f>A10&amp;" ("&amp;H10&amp;")"&amp;CHAR(10)&amp;CHAR(10)&amp;"Colorado Growth 1 is a Walton Global land-banking offering acquiring ~70.5 acres of undeveloped agricultural land in unincorporated Adams County, in the north-Denver path of growth toward Thornton, all-cash within a $6.47M all-equity raise. The land is un"&amp;"zoned and unentitled; the business plan holds for appreciation and, after a minimum 12-month hold, markets it to a national homebuilder via a single-buyer staged sale over a ~4-5 year hold. The vehicle generates no current income, makes no interim distrib"&amp;"utions, and carries no debt, master lease, or 721 exit, with the entire return realized on disposition and subject to entitlement, zoning, wetlands, and absorption risk."&amp;CHAR(10)&amp;CHAR(10)&amp;"&gt;&gt; Download Offering Documents"&amp;CHAR(10)&amp;"https://www.baker1031.com/sponsors/walton-global-holdings"</f>
        <v>Colorado Growth 1 - Holly Ridge DST (0.00% LTV)
Colorado Growth 1 is a Walton Global land-banking offering acquiring ~70.5 acres of undeveloped agricultural land in unincorporated Adams County, in the north-Denver path of growth toward Thornton, all-cash within a $6.47M all-equity raise. The land is unzoned and unentitled; the business plan holds for appreciation and, after a minimum 12-month hold, markets it to a national homebuilder via a single-buyer staged sale over a ~4-5 year hold. The vehicle generates no current income, makes no interim distributions, and carries no debt, master lease, or 721 exit, with the entire return realized on disposition and subject to entitlement, zoning, wetlands, and absorption risk.
&gt;&gt; Download Offering Documents
https://www.baker1031.com/sponsors/walton-global-holdings</v>
      </c>
    </row>
    <row r="11">
      <c r="A11" s="8" t="s">
        <v>275</v>
      </c>
      <c r="B11" s="8" t="s">
        <v>276</v>
      </c>
      <c r="C11" s="8" t="s">
        <v>81</v>
      </c>
      <c r="D11" s="8" t="s">
        <v>174</v>
      </c>
      <c r="E11" s="9">
        <v>2.695E7</v>
      </c>
      <c r="F11" s="9">
        <v>2.695E7</v>
      </c>
      <c r="G11" s="9">
        <v>0.0</v>
      </c>
      <c r="H11" s="8" t="s">
        <v>83</v>
      </c>
      <c r="I11" s="9">
        <v>68202.0</v>
      </c>
      <c r="J11" s="10">
        <v>46204.0</v>
      </c>
      <c r="K11" s="11">
        <f t="shared" si="1"/>
        <v>0.002530686456</v>
      </c>
      <c r="L11" s="8" t="s">
        <v>277</v>
      </c>
      <c r="M11" s="8" t="s">
        <v>278</v>
      </c>
      <c r="N11" s="12" t="str">
        <f>IFERROR(__xludf.DUMMYFUNCTION("TEXTJOIN("", "", TRUE, SORT(TRANSPOSE(SPLIT(M11, "", ""))))"),"AL, IL, WA")</f>
        <v>AL, IL, WA</v>
      </c>
      <c r="O11" s="12" t="s">
        <v>279</v>
      </c>
      <c r="P11" s="8" t="s">
        <v>87</v>
      </c>
      <c r="Q11" s="8" t="s">
        <v>88</v>
      </c>
      <c r="R11" s="8" t="s">
        <v>89</v>
      </c>
      <c r="S11" s="8" t="s">
        <v>280</v>
      </c>
      <c r="T11" s="8" t="s">
        <v>281</v>
      </c>
      <c r="U11" s="8" t="s">
        <v>282</v>
      </c>
      <c r="V11" s="8" t="s">
        <v>283</v>
      </c>
      <c r="W11" s="8" t="s">
        <v>284</v>
      </c>
      <c r="X11" s="8" t="s">
        <v>285</v>
      </c>
      <c r="Y11" s="8" t="s">
        <v>286</v>
      </c>
      <c r="Z11" s="8" t="s">
        <v>287</v>
      </c>
      <c r="AA11" s="8" t="s">
        <v>288</v>
      </c>
      <c r="AB11" s="11">
        <v>0.0515</v>
      </c>
      <c r="AC11" s="11">
        <v>0.0515</v>
      </c>
      <c r="AD11" s="11">
        <v>0.0515</v>
      </c>
      <c r="AE11" s="11">
        <v>0.0515</v>
      </c>
      <c r="AF11" s="11">
        <v>0.0518</v>
      </c>
      <c r="AG11" s="11">
        <v>0.0531</v>
      </c>
      <c r="AH11" s="11">
        <v>0.0531</v>
      </c>
      <c r="AI11" s="11">
        <v>0.0531</v>
      </c>
      <c r="AJ11" s="11">
        <v>0.0535</v>
      </c>
      <c r="AK11" s="11">
        <v>0.0549</v>
      </c>
      <c r="AL11" s="11">
        <v>0.0526</v>
      </c>
      <c r="AM11" s="8" t="s">
        <v>99</v>
      </c>
      <c r="AN11" s="13">
        <f t="shared" si="2"/>
        <v>0.07753</v>
      </c>
      <c r="AO11" s="8" t="s">
        <v>100</v>
      </c>
      <c r="AP11" s="8" t="s">
        <v>101</v>
      </c>
      <c r="AQ11" s="8" t="s">
        <v>101</v>
      </c>
      <c r="AR11" s="8" t="s">
        <v>101</v>
      </c>
      <c r="AS11" s="8" t="s">
        <v>101</v>
      </c>
      <c r="AT11" s="12" t="s">
        <v>102</v>
      </c>
      <c r="AU11" s="8" t="s">
        <v>289</v>
      </c>
      <c r="AV11" s="22" t="s">
        <v>290</v>
      </c>
      <c r="AW11" s="15"/>
      <c r="AX11" s="9">
        <v>100000.0</v>
      </c>
      <c r="AY11" s="16" t="str">
        <f>IFERROR(__xludf.DUMMYFUNCTION("IF(ISBLANK(AV11), """", IF(REGEXMATCH(AV11, ""/file/d/""), ""https://lh3.googleusercontent.com/d/"" &amp; REGEXEXTRACT(AV11, ""/d/([a-zA-Z0-9_-]+)""), AV11))"),"https://lh3.googleusercontent.com/d/1yzlNMlrLLF0QvOpMI1WRQfL2c1xUiGG2")</f>
        <v>https://lh3.googleusercontent.com/d/1yzlNMlrLLF0QvOpMI1WRQfL2c1xUiGG2</v>
      </c>
      <c r="AZ11" s="13">
        <f t="shared" si="3"/>
        <v>0.1199470588</v>
      </c>
      <c r="BA11" s="17" t="str">
        <f t="shared" si="4"/>
        <v>Est. Tax-Adjusted Yield⁹</v>
      </c>
      <c r="BB11" s="17" t="str">
        <f t="shared" si="5"/>
        <v>Offering Documents Available By Request</v>
      </c>
      <c r="BC11" s="8" t="s">
        <v>291</v>
      </c>
      <c r="BD11" s="8" t="s">
        <v>292</v>
      </c>
      <c r="BE11" s="8" t="s">
        <v>293</v>
      </c>
      <c r="BF11" s="17" t="str">
        <f t="shared" si="6"/>
        <v>Learn More About ExchangeRight</v>
      </c>
      <c r="BG11" s="17" t="str">
        <f t="shared" si="7"/>
        <v>Learn More About Net Lease Properties</v>
      </c>
      <c r="BH11" s="17">
        <f t="array" ref="BH11">IFERROR(XLOOKUP($B11, 'Sponsor Connection'!$A:$A, 'Sponsor Connection'!$B:$B), )</f>
        <v>2012</v>
      </c>
      <c r="BI11" s="17" t="str">
        <f t="array" ref="BI11">IFERROR(XLOOKUP($B11, 'Sponsor Connection'!$A:$A, 'Sponsor Connection'!$D:$D), )</f>
        <v>ExchangeRight has scaled into one of the defining net-lease DST franchises, ending 2025 as the fifth-largest sponsor in the 1031 DST market with roughly $7.0 billion in AUM across more than 1,400 properties and 27 million square feet in 48 states. Founded in 2012 and vertically integrated out of Pasadena, the firm anchors its portfolios in investment-grade-tenanted necessity retail and healthcare—pharmacies, grocery, dollar stores—whose recession-resistant cash flows underpin its consistency. The track record is the headline: 34 full-cycle offerings averaging an 8.60% annual return with no loss of investor capital, all 126 offerings meeting or exceeding distribution projections, and an Essential Income REIT that supplies a 721 UPREIT exit. That combination of scale, tenant credit discipline and full-cycle performance makes it a benchmark for the category.</v>
      </c>
      <c r="BJ11" s="18">
        <f t="array" ref="BJ11">IF($B11="", "", LET(aum, IFERROR(XLOOKUP($B11, 'Sponsor Connection'!$A:$A, 'Sponsor Connection'!$C:$C), ""), IF(OR(aum="", aum=0), "Not Reported", aum)))</f>
        <v>7000000000</v>
      </c>
      <c r="BK11" s="19">
        <f t="array" ref="BK11">IF(ISBLANK($B11), "", LET(val, IFERROR(XLOOKUP($B11, 'Sponsor Connection'!$A:$A, 'Sponsor Connection'!$M:$M), ""), IF(OR(ISBLANK(val), val="", val=0), "Not Reported", val)))</f>
        <v>28</v>
      </c>
      <c r="BL11" s="13">
        <f t="array" ref="BL11">IF(ISBLANK($B11), "", LET(val, IFERROR(XLOOKUP($B11, 'Sponsor Connection'!$A:$A, 'Sponsor Connection'!$N:$N), ""), IF(val="", "Not Reported", val)))</f>
        <v>0.07774285714</v>
      </c>
      <c r="BM11" s="20">
        <f t="array" ref="BM11">IF(ISBLANK($B11), "", LET(val, IFERROR(XLOOKUP($B11, 'Sponsor Connection'!$A:$A, 'Sponsor Connection'!$O:$O), ""), IF(val="", "Not Reported", val)))</f>
        <v>1.408214286</v>
      </c>
      <c r="BN11" s="21">
        <f t="array" ref="BN11">IF(ISBLANK($B11), "", LET(val, IFERROR(XLOOKUP($B11, 'Sponsor Connection'!$A:$A, 'Sponsor Connection'!$P:$P), ""), IF(val="", "Not Reported", val)))</f>
        <v>5.414642857</v>
      </c>
      <c r="BO11" s="13">
        <f t="array" ref="BO11">IF(ISBLANK($B11), "", LET(val, IFERROR(XLOOKUP($B11, 'Sponsor Connection'!$A:$A, 'Sponsor Connection'!$Q:$Q), ""), IF(val="", "Not Reported", val)))</f>
        <v>1</v>
      </c>
      <c r="BP11" s="16" t="str">
        <f t="array" ref="BP11">IFERROR(XLOOKUP($B11, 'Sponsor Connection'!$A:$A, 'Sponsor Connection'!$L:$L), )</f>
        <v>https://img.logo.dev/exchangeright.com?token=pk_FIVsDKgZTvCedVXXtt2rEg&amp;size=200&amp;retina=true</v>
      </c>
      <c r="BQ11" s="13">
        <f t="shared" si="8"/>
        <v>0.0526</v>
      </c>
      <c r="BR11" s="13">
        <f>IFERROR(VLOOKUP(L11, Benchmarks!$A$2:$D$15, 2, FALSE), "Not Analyzed")</f>
        <v>0.05184571429</v>
      </c>
      <c r="BS11" s="17" t="str">
        <f t="shared" si="9"/>
        <v>Meets Average</v>
      </c>
      <c r="BT11" s="13">
        <f t="shared" si="10"/>
        <v>0.06601941748</v>
      </c>
      <c r="BU11" s="13">
        <f>IFERROR(VLOOKUP(L11, Benchmarks!$A$2:$D$15, 4, FALSE), "Not Analyzed")</f>
        <v>0.09042966756</v>
      </c>
      <c r="BV11" s="17" t="str">
        <f t="shared" si="11"/>
        <v>Below Average</v>
      </c>
      <c r="BW11" s="13">
        <f t="shared" si="12"/>
        <v>0.0549</v>
      </c>
      <c r="BX11" s="13">
        <f>IFERROR(VLOOKUP(L11, Benchmarks!$A$2:$D$15, 3, FALSE), "Not Analyzed")</f>
        <v>0.05365714286</v>
      </c>
      <c r="BY11" s="17" t="str">
        <f t="shared" si="13"/>
        <v>Meets Average</v>
      </c>
      <c r="BZ11" s="17" t="str">
        <f t="shared" si="14"/>
        <v>Investment: ExchangeRight Net-Leased All-Cash 19 DST | Sponsor: ExchangeRight | Structure: Delaware Statutory Trust (DST) | Status: Closed | LTV: 0.00% LTV | Availability: 0.00253068645640074 | Location: AL, IL, WA | Strategy: Core | 721 Exchange Exit: Optional | Estimated Hold: 10 years | Cap Rate Equivalent: 0.07753 | Minimum Investment: 100000</v>
      </c>
      <c r="CA11" s="17" t="str">
        <f>A11&amp;" ("&amp;H11&amp;")"&amp;CHAR(10)&amp;CHAR(10)&amp;"ExchangeRight Net-Leased All-Cash 19 is a debt-free portfolio of three single-tenant, necessity-based net-leased retail properties (122,149 SF; 10.7-year WALT) anchored by a Fred Meyer (Kroger; ~58% of NOI), a Hobby Lobby, and a Verizon Wireless store. Th"&amp;"e all-equity structure removes refinancing and maturity risk while delivering contractual rent escalation across the hold. The exit follows ExchangeRight's REIT-aggregation strategy via an optional Section 721 exchange into the Essential Income REIT withi"&amp;"n ~10 years."&amp;CHAR(10)&amp;CHAR(10)&amp;"&gt;&gt; Download Offering Documents"&amp;CHAR(10)&amp;"https://www.baker1031.com/sponsors/exchangeright"</f>
        <v>ExchangeRight Net-Leased All-Cash 19 DST (0.00% LTV)
ExchangeRight Net-Leased All-Cash 19 is a debt-free portfolio of three single-tenant, necessity-based net-leased retail properties (122,149 SF; 10.7-year WALT) anchored by a Fred Meyer (Kroger; ~58% of NOI), a Hobby Lobby, and a Verizon Wireless store. The all-equity structure removes refinancing and maturity risk while delivering contractual rent escalation across the hold. The exit follows ExchangeRight's REIT-aggregation strategy via an optional Section 721 exchange into the Essential Income REIT within ~10 years.
&gt;&gt; Download Offering Documents
https://www.baker1031.com/sponsors/exchangeright</v>
      </c>
    </row>
    <row r="12">
      <c r="A12" s="8" t="s">
        <v>294</v>
      </c>
      <c r="B12" s="8" t="s">
        <v>276</v>
      </c>
      <c r="C12" s="8" t="s">
        <v>81</v>
      </c>
      <c r="D12" s="8" t="s">
        <v>174</v>
      </c>
      <c r="E12" s="9">
        <v>1.78E7</v>
      </c>
      <c r="F12" s="9">
        <v>1.78E7</v>
      </c>
      <c r="G12" s="9">
        <v>0.0</v>
      </c>
      <c r="H12" s="8" t="s">
        <v>83</v>
      </c>
      <c r="I12" s="9">
        <v>0.0</v>
      </c>
      <c r="J12" s="10">
        <v>46193.0</v>
      </c>
      <c r="K12" s="11">
        <f t="shared" si="1"/>
        <v>0</v>
      </c>
      <c r="L12" s="8" t="s">
        <v>277</v>
      </c>
      <c r="M12" s="8" t="s">
        <v>295</v>
      </c>
      <c r="N12" s="12" t="str">
        <f>IFERROR(__xludf.DUMMYFUNCTION("TEXTJOIN("", "", TRUE, SORT(TRANSPOSE(SPLIT(M12, "", ""))))"),"AL, SC, TX")</f>
        <v>AL, SC, TX</v>
      </c>
      <c r="O12" s="12" t="s">
        <v>296</v>
      </c>
      <c r="P12" s="8" t="s">
        <v>87</v>
      </c>
      <c r="Q12" s="8" t="s">
        <v>88</v>
      </c>
      <c r="R12" s="8" t="s">
        <v>89</v>
      </c>
      <c r="S12" s="8" t="s">
        <v>297</v>
      </c>
      <c r="T12" s="8" t="s">
        <v>298</v>
      </c>
      <c r="U12" s="8" t="s">
        <v>299</v>
      </c>
      <c r="V12" s="8" t="s">
        <v>300</v>
      </c>
      <c r="W12" s="8" t="s">
        <v>301</v>
      </c>
      <c r="X12" s="8" t="s">
        <v>302</v>
      </c>
      <c r="Y12" s="8" t="s">
        <v>303</v>
      </c>
      <c r="Z12" s="8" t="s">
        <v>304</v>
      </c>
      <c r="AA12" s="8" t="s">
        <v>305</v>
      </c>
      <c r="AB12" s="11">
        <v>0.052</v>
      </c>
      <c r="AC12" s="11">
        <v>0.052</v>
      </c>
      <c r="AD12" s="11">
        <v>0.0522</v>
      </c>
      <c r="AE12" s="11">
        <v>0.0529</v>
      </c>
      <c r="AF12" s="11">
        <v>0.0543</v>
      </c>
      <c r="AG12" s="11">
        <v>0.0546</v>
      </c>
      <c r="AH12" s="11">
        <v>0.0546</v>
      </c>
      <c r="AI12" s="11">
        <v>0.0548</v>
      </c>
      <c r="AJ12" s="11">
        <v>0.0554</v>
      </c>
      <c r="AK12" s="11">
        <v>0.057</v>
      </c>
      <c r="AL12" s="11">
        <v>0.054</v>
      </c>
      <c r="AM12" s="8" t="s">
        <v>99</v>
      </c>
      <c r="AN12" s="13">
        <f t="shared" si="2"/>
        <v>0.07804</v>
      </c>
      <c r="AO12" s="8" t="s">
        <v>100</v>
      </c>
      <c r="AP12" s="8" t="s">
        <v>101</v>
      </c>
      <c r="AQ12" s="8" t="s">
        <v>101</v>
      </c>
      <c r="AR12" s="8" t="s">
        <v>101</v>
      </c>
      <c r="AS12" s="8" t="s">
        <v>101</v>
      </c>
      <c r="AT12" s="12" t="s">
        <v>102</v>
      </c>
      <c r="AV12" s="22" t="s">
        <v>306</v>
      </c>
      <c r="AW12" s="15"/>
      <c r="AX12" s="9">
        <v>100000.0</v>
      </c>
      <c r="AY12" s="16" t="str">
        <f>IFERROR(__xludf.DUMMYFUNCTION("IF(ISBLANK(AV12), """", IF(REGEXMATCH(AV12, ""/file/d/""), ""https://lh3.googleusercontent.com/d/"" &amp; REGEXEXTRACT(AV12, ""/d/([a-zA-Z0-9_-]+)""), AV12))"),"https://lh3.googleusercontent.com/d/1d1-4SuX32UpB2w3VvGO2kwoCis6n2sj9")</f>
        <v>https://lh3.googleusercontent.com/d/1d1-4SuX32UpB2w3VvGO2kwoCis6n2sj9</v>
      </c>
      <c r="AZ12" s="13">
        <f t="shared" si="3"/>
        <v>0.1204470588</v>
      </c>
      <c r="BA12" s="17" t="str">
        <f t="shared" si="4"/>
        <v>Est. Tax-Adjusted Yield⁹</v>
      </c>
      <c r="BB12" s="17" t="str">
        <f t="shared" si="5"/>
        <v>Offering Documents Available By Request</v>
      </c>
      <c r="BC12" s="8" t="s">
        <v>307</v>
      </c>
      <c r="BD12" s="8" t="s">
        <v>292</v>
      </c>
      <c r="BE12" s="8" t="s">
        <v>293</v>
      </c>
      <c r="BF12" s="17" t="str">
        <f t="shared" si="6"/>
        <v>Learn More About ExchangeRight</v>
      </c>
      <c r="BG12" s="17" t="str">
        <f t="shared" si="7"/>
        <v>Learn More About Net Lease Properties</v>
      </c>
      <c r="BH12" s="17">
        <f t="array" ref="BH12">IFERROR(XLOOKUP($B12, 'Sponsor Connection'!$A:$A, 'Sponsor Connection'!$B:$B), )</f>
        <v>2012</v>
      </c>
      <c r="BI12" s="17" t="str">
        <f t="array" ref="BI12">IFERROR(XLOOKUP($B12, 'Sponsor Connection'!$A:$A, 'Sponsor Connection'!$D:$D), )</f>
        <v>ExchangeRight has scaled into one of the defining net-lease DST franchises, ending 2025 as the fifth-largest sponsor in the 1031 DST market with roughly $7.0 billion in AUM across more than 1,400 properties and 27 million square feet in 48 states. Founded in 2012 and vertically integrated out of Pasadena, the firm anchors its portfolios in investment-grade-tenanted necessity retail and healthcare—pharmacies, grocery, dollar stores—whose recession-resistant cash flows underpin its consistency. The track record is the headline: 34 full-cycle offerings averaging an 8.60% annual return with no loss of investor capital, all 126 offerings meeting or exceeding distribution projections, and an Essential Income REIT that supplies a 721 UPREIT exit. That combination of scale, tenant credit discipline and full-cycle performance makes it a benchmark for the category.</v>
      </c>
      <c r="BJ12" s="18">
        <f t="array" ref="BJ12">IF($B12="", "", LET(aum, IFERROR(XLOOKUP($B12, 'Sponsor Connection'!$A:$A, 'Sponsor Connection'!$C:$C), ""), IF(OR(aum="", aum=0), "Not Reported", aum)))</f>
        <v>7000000000</v>
      </c>
      <c r="BK12" s="19">
        <f t="array" ref="BK12">IF(ISBLANK($B12), "", LET(val, IFERROR(XLOOKUP($B12, 'Sponsor Connection'!$A:$A, 'Sponsor Connection'!$M:$M), ""), IF(OR(ISBLANK(val), val="", val=0), "Not Reported", val)))</f>
        <v>28</v>
      </c>
      <c r="BL12" s="13">
        <f t="array" ref="BL12">IF(ISBLANK($B12), "", LET(val, IFERROR(XLOOKUP($B12, 'Sponsor Connection'!$A:$A, 'Sponsor Connection'!$N:$N), ""), IF(val="", "Not Reported", val)))</f>
        <v>0.07774285714</v>
      </c>
      <c r="BM12" s="20">
        <f t="array" ref="BM12">IF(ISBLANK($B12), "", LET(val, IFERROR(XLOOKUP($B12, 'Sponsor Connection'!$A:$A, 'Sponsor Connection'!$O:$O), ""), IF(val="", "Not Reported", val)))</f>
        <v>1.408214286</v>
      </c>
      <c r="BN12" s="21">
        <f t="array" ref="BN12">IF(ISBLANK($B12), "", LET(val, IFERROR(XLOOKUP($B12, 'Sponsor Connection'!$A:$A, 'Sponsor Connection'!$P:$P), ""), IF(val="", "Not Reported", val)))</f>
        <v>5.414642857</v>
      </c>
      <c r="BO12" s="13">
        <f t="array" ref="BO12">IF(ISBLANK($B12), "", LET(val, IFERROR(XLOOKUP($B12, 'Sponsor Connection'!$A:$A, 'Sponsor Connection'!$Q:$Q), ""), IF(val="", "Not Reported", val)))</f>
        <v>1</v>
      </c>
      <c r="BP12" s="16" t="str">
        <f t="array" ref="BP12">IFERROR(XLOOKUP($B12, 'Sponsor Connection'!$A:$A, 'Sponsor Connection'!$L:$L), )</f>
        <v>https://img.logo.dev/exchangeright.com?token=pk_FIVsDKgZTvCedVXXtt2rEg&amp;size=200&amp;retina=true</v>
      </c>
      <c r="BQ12" s="13">
        <f t="shared" si="8"/>
        <v>0.054</v>
      </c>
      <c r="BR12" s="13">
        <f>IFERROR(VLOOKUP(L12, Benchmarks!$A$2:$D$15, 2, FALSE), "Not Analyzed")</f>
        <v>0.05184571429</v>
      </c>
      <c r="BS12" s="17" t="str">
        <f t="shared" si="9"/>
        <v>Meets Average</v>
      </c>
      <c r="BT12" s="13">
        <f t="shared" si="10"/>
        <v>0.09615384615</v>
      </c>
      <c r="BU12" s="13">
        <f>IFERROR(VLOOKUP(L12, Benchmarks!$A$2:$D$15, 4, FALSE), "Not Analyzed")</f>
        <v>0.09042966756</v>
      </c>
      <c r="BV12" s="17" t="str">
        <f t="shared" si="11"/>
        <v>Meets Average</v>
      </c>
      <c r="BW12" s="13">
        <f t="shared" si="12"/>
        <v>0.057</v>
      </c>
      <c r="BX12" s="13">
        <f>IFERROR(VLOOKUP(L12, Benchmarks!$A$2:$D$15, 3, FALSE), "Not Analyzed")</f>
        <v>0.05365714286</v>
      </c>
      <c r="BY12" s="17" t="str">
        <f t="shared" si="13"/>
        <v>Meets Average</v>
      </c>
      <c r="BZ12" s="17" t="str">
        <f t="shared" si="14"/>
        <v>Investment: ExchangeRight Net-Leased All-Cash 20 DST | Sponsor: ExchangeRight | Structure: Delaware Statutory Trust (DST) | Status: Closed | LTV: 0.00% LTV | Availability: 0 | Location: AL, SC, TX | Strategy: Core | 721 Exchange Exit: Optional | Estimated Hold: 10 years | Cap Rate Equivalent: 0.07804 | Minimum Investment: 100000</v>
      </c>
      <c r="CA12" s="17" t="str">
        <f>A12&amp;" ("&amp;H12&amp;")"&amp;CHAR(10)&amp;CHAR(10)&amp;"ExchangeRight Net-Leased All-Cash 20 is a debt-free portfolio of six single-tenant, necessity-based net-leased retail properties (9.9-year WALT) leased to investment-grade-anchored tenants including Dollar General, Dollar Tree, O'Reilly, NAPA, and Tractor"&amp;" Supply across Texas, South Carolina, and Alabama. Income is diversified under an affiliated NNN master lease such that the largest tenant represents only ~28% of NOI, and the all-equity structure removes refinancing and maturity risk. The exit follows Ex"&amp;"changeRight's REIT-aggregation strategy via an optional Section 721 exchange into the Essential Income REIT within ~10 years."&amp;CHAR(10)&amp;CHAR(10)&amp;"&gt;&gt; Download Offering Documents"&amp;CHAR(10)&amp;"https://www.baker1031.com/sponsors/exchangeright"</f>
        <v>ExchangeRight Net-Leased All-Cash 20 DST (0.00% LTV)
ExchangeRight Net-Leased All-Cash 20 is a debt-free portfolio of six single-tenant, necessity-based net-leased retail properties (9.9-year WALT) leased to investment-grade-anchored tenants including Dollar General, Dollar Tree, O'Reilly, NAPA, and Tractor Supply across Texas, South Carolina, and Alabama. Income is diversified under an affiliated NNN master lease such that the largest tenant represents only ~28% of NOI, and the all-equity structure removes refinancing and maturity risk. The exit follows ExchangeRight's REIT-aggregation strategy via an optional Section 721 exchange into the Essential Income REIT within ~10 years.
&gt;&gt; Download Offering Documents
https://www.baker1031.com/sponsors/exchangeright</v>
      </c>
    </row>
    <row r="13">
      <c r="A13" s="8" t="s">
        <v>308</v>
      </c>
      <c r="B13" s="8" t="s">
        <v>276</v>
      </c>
      <c r="C13" s="8" t="s">
        <v>81</v>
      </c>
      <c r="D13" s="8" t="s">
        <v>82</v>
      </c>
      <c r="E13" s="9">
        <v>8.49E7</v>
      </c>
      <c r="F13" s="9">
        <v>4.757E7</v>
      </c>
      <c r="G13" s="9">
        <v>3.733E7</v>
      </c>
      <c r="H13" s="8" t="s">
        <v>309</v>
      </c>
      <c r="I13" s="9">
        <v>1.1150094E7</v>
      </c>
      <c r="J13" s="10">
        <v>46204.0</v>
      </c>
      <c r="K13" s="11">
        <f t="shared" si="1"/>
        <v>0.2343933992</v>
      </c>
      <c r="L13" s="8" t="s">
        <v>277</v>
      </c>
      <c r="M13" s="8" t="s">
        <v>310</v>
      </c>
      <c r="N13" s="12" t="str">
        <f>IFERROR(__xludf.DUMMYFUNCTION("TEXTJOIN("", "", TRUE, SORT(TRANSPOSE(SPLIT(M13, "", ""))))"),"AR, GA, MI, NJ, OH, TX")</f>
        <v>AR, GA, MI, NJ, OH, TX</v>
      </c>
      <c r="O13" s="12" t="s">
        <v>311</v>
      </c>
      <c r="P13" s="8" t="s">
        <v>87</v>
      </c>
      <c r="Q13" s="8" t="s">
        <v>88</v>
      </c>
      <c r="R13" s="8" t="s">
        <v>312</v>
      </c>
      <c r="S13" s="8" t="s">
        <v>313</v>
      </c>
      <c r="T13" s="8" t="s">
        <v>314</v>
      </c>
      <c r="U13" s="8" t="s">
        <v>315</v>
      </c>
      <c r="V13" s="8" t="s">
        <v>316</v>
      </c>
      <c r="W13" s="8" t="s">
        <v>317</v>
      </c>
      <c r="X13" s="8" t="s">
        <v>318</v>
      </c>
      <c r="Y13" s="8" t="s">
        <v>319</v>
      </c>
      <c r="Z13" s="8" t="s">
        <v>320</v>
      </c>
      <c r="AA13" s="8" t="s">
        <v>321</v>
      </c>
      <c r="AB13" s="11">
        <v>0.05</v>
      </c>
      <c r="AC13" s="11">
        <v>0.0514</v>
      </c>
      <c r="AD13" s="11">
        <v>0.053</v>
      </c>
      <c r="AE13" s="11">
        <v>0.0545</v>
      </c>
      <c r="AF13" s="11">
        <v>0.0562</v>
      </c>
      <c r="AG13" s="8" t="s">
        <v>142</v>
      </c>
      <c r="AH13" s="8" t="s">
        <v>142</v>
      </c>
      <c r="AI13" s="8" t="s">
        <v>142</v>
      </c>
      <c r="AJ13" s="8" t="s">
        <v>142</v>
      </c>
      <c r="AK13" s="8" t="s">
        <v>142</v>
      </c>
      <c r="AL13" s="11">
        <v>0.053</v>
      </c>
      <c r="AM13" s="8" t="s">
        <v>99</v>
      </c>
      <c r="AN13" s="13">
        <f t="shared" si="2"/>
        <v>0.08594576451</v>
      </c>
      <c r="AO13" s="8" t="s">
        <v>322</v>
      </c>
      <c r="AP13" s="8" t="s">
        <v>323</v>
      </c>
      <c r="AQ13" s="8" t="s">
        <v>312</v>
      </c>
      <c r="AR13" s="8" t="s">
        <v>312</v>
      </c>
      <c r="AS13" s="8" t="s">
        <v>145</v>
      </c>
      <c r="AT13" s="12" t="s">
        <v>324</v>
      </c>
      <c r="AV13" s="14" t="s">
        <v>325</v>
      </c>
      <c r="AW13" s="15"/>
      <c r="AX13" s="9">
        <v>100000.0</v>
      </c>
      <c r="AY13" s="16" t="str">
        <f>IFERROR(__xludf.DUMMYFUNCTION("IF(ISBLANK(AV13), """", IF(REGEXMATCH(AV13, ""/file/d/""), ""https://lh3.googleusercontent.com/d/"" &amp; REGEXEXTRACT(AV13, ""/d/([a-zA-Z0-9_-]+)""), AV13))"),"https://lh3.googleusercontent.com/d/1D2M3mHX5vm_5EdGcho3-i9Py-KqBqmvv")</f>
        <v>https://lh3.googleusercontent.com/d/1D2M3mHX5vm_5EdGcho3-i9Py-KqBqmvv</v>
      </c>
      <c r="AZ13" s="13">
        <f t="shared" si="3"/>
        <v>0.1184470588</v>
      </c>
      <c r="BA13" s="17" t="str">
        <f t="shared" si="4"/>
        <v>Est. Tax-Adjusted Yield⁹</v>
      </c>
      <c r="BB13" s="17" t="str">
        <f t="shared" si="5"/>
        <v>Offering Documents Available By Request</v>
      </c>
      <c r="BC13" s="8" t="s">
        <v>326</v>
      </c>
      <c r="BD13" s="8" t="s">
        <v>292</v>
      </c>
      <c r="BE13" s="8" t="s">
        <v>293</v>
      </c>
      <c r="BF13" s="17" t="str">
        <f t="shared" si="6"/>
        <v>Learn More About ExchangeRight</v>
      </c>
      <c r="BG13" s="17" t="str">
        <f t="shared" si="7"/>
        <v>Learn More About Net Lease Properties</v>
      </c>
      <c r="BH13" s="17">
        <f t="array" ref="BH13">IFERROR(XLOOKUP($B13, 'Sponsor Connection'!$A:$A, 'Sponsor Connection'!$B:$B), )</f>
        <v>2012</v>
      </c>
      <c r="BI13" s="17" t="str">
        <f t="array" ref="BI13">IFERROR(XLOOKUP($B13, 'Sponsor Connection'!$A:$A, 'Sponsor Connection'!$D:$D), )</f>
        <v>ExchangeRight has scaled into one of the defining net-lease DST franchises, ending 2025 as the fifth-largest sponsor in the 1031 DST market with roughly $7.0 billion in AUM across more than 1,400 properties and 27 million square feet in 48 states. Founded in 2012 and vertically integrated out of Pasadena, the firm anchors its portfolios in investment-grade-tenanted necessity retail and healthcare—pharmacies, grocery, dollar stores—whose recession-resistant cash flows underpin its consistency. The track record is the headline: 34 full-cycle offerings averaging an 8.60% annual return with no loss of investor capital, all 126 offerings meeting or exceeding distribution projections, and an Essential Income REIT that supplies a 721 UPREIT exit. That combination of scale, tenant credit discipline and full-cycle performance makes it a benchmark for the category.</v>
      </c>
      <c r="BJ13" s="18">
        <f t="array" ref="BJ13">IF($B13="", "", LET(aum, IFERROR(XLOOKUP($B13, 'Sponsor Connection'!$A:$A, 'Sponsor Connection'!$C:$C), ""), IF(OR(aum="", aum=0), "Not Reported", aum)))</f>
        <v>7000000000</v>
      </c>
      <c r="BK13" s="19">
        <f t="array" ref="BK13">IF(ISBLANK($B13), "", LET(val, IFERROR(XLOOKUP($B13, 'Sponsor Connection'!$A:$A, 'Sponsor Connection'!$M:$M), ""), IF(OR(ISBLANK(val), val="", val=0), "Not Reported", val)))</f>
        <v>28</v>
      </c>
      <c r="BL13" s="13">
        <f t="array" ref="BL13">IF(ISBLANK($B13), "", LET(val, IFERROR(XLOOKUP($B13, 'Sponsor Connection'!$A:$A, 'Sponsor Connection'!$N:$N), ""), IF(val="", "Not Reported", val)))</f>
        <v>0.07774285714</v>
      </c>
      <c r="BM13" s="20">
        <f t="array" ref="BM13">IF(ISBLANK($B13), "", LET(val, IFERROR(XLOOKUP($B13, 'Sponsor Connection'!$A:$A, 'Sponsor Connection'!$O:$O), ""), IF(val="", "Not Reported", val)))</f>
        <v>1.408214286</v>
      </c>
      <c r="BN13" s="21">
        <f t="array" ref="BN13">IF(ISBLANK($B13), "", LET(val, IFERROR(XLOOKUP($B13, 'Sponsor Connection'!$A:$A, 'Sponsor Connection'!$P:$P), ""), IF(val="", "Not Reported", val)))</f>
        <v>5.414642857</v>
      </c>
      <c r="BO13" s="13">
        <f t="array" ref="BO13">IF(ISBLANK($B13), "", LET(val, IFERROR(XLOOKUP($B13, 'Sponsor Connection'!$A:$A, 'Sponsor Connection'!$Q:$Q), ""), IF(val="", "Not Reported", val)))</f>
        <v>1</v>
      </c>
      <c r="BP13" s="16" t="str">
        <f t="array" ref="BP13">IFERROR(XLOOKUP($B13, 'Sponsor Connection'!$A:$A, 'Sponsor Connection'!$L:$L), )</f>
        <v>https://img.logo.dev/exchangeright.com?token=pk_FIVsDKgZTvCedVXXtt2rEg&amp;size=200&amp;retina=true</v>
      </c>
      <c r="BQ13" s="13">
        <f t="shared" si="8"/>
        <v>0.053</v>
      </c>
      <c r="BR13" s="13">
        <f>IFERROR(VLOOKUP(L13, Benchmarks!$A$2:$D$15, 2, FALSE), "Not Analyzed")</f>
        <v>0.05184571429</v>
      </c>
      <c r="BS13" s="17" t="str">
        <f t="shared" si="9"/>
        <v>Meets Average</v>
      </c>
      <c r="BT13" s="13">
        <f t="shared" si="10"/>
        <v>0.124</v>
      </c>
      <c r="BU13" s="13">
        <f>IFERROR(VLOOKUP(L13, Benchmarks!$A$2:$D$15, 4, FALSE), "Not Analyzed")</f>
        <v>0.09042966756</v>
      </c>
      <c r="BV13" s="17" t="str">
        <f t="shared" si="11"/>
        <v>Above Average</v>
      </c>
      <c r="BW13" s="13">
        <f t="shared" si="12"/>
        <v>0.0562</v>
      </c>
      <c r="BX13" s="13">
        <f>IFERROR(VLOOKUP(L13, Benchmarks!$A$2:$D$15, 3, FALSE), "Not Analyzed")</f>
        <v>0.05365714286</v>
      </c>
      <c r="BY13" s="17" t="str">
        <f t="shared" si="13"/>
        <v>Meets Average</v>
      </c>
      <c r="BZ13" s="17" t="str">
        <f t="shared" si="14"/>
        <v>Investment: ExchangeRight Net-Leased Portfolio 75 DST | Sponsor: ExchangeRight | Structure: Delaware Statutory Trust (DST) | Status: Available | LTV: 43.97% LTV | Availability: 0.234393399201177 | Location: AR, GA, MI, NJ, OH, TX | Strategy: Core | 721 Exchange Exit: Optional | Estimated Hold: 5 years | Cap Rate Equivalent: 0.0859457645080764 | Minimum Investment: 100000</v>
      </c>
      <c r="CA13" s="17" t="str">
        <f>A13&amp;" ("&amp;H13&amp;")"&amp;CHAR(10)&amp;CHAR(10)&amp;"ExchangeRight Net-Leased Portfolio 75 is a leveraged, diversified portfolio of six single-tenant net-leased properties (11.8-year WALT) across six states, anchored by a FedEx distribution facility (~46% of NOI) with five of six tenants investment-grade-ra"&amp;"ted. Total capitalization is $84.9M ($47.57M equity + $37.33M non-recourse Wells Fargo debt at 5.120% fixed, interest-only, 43.97% LTV), with a Year-1 DSCR of 2.32x. The exit follows ExchangeRight's REIT-aggregation strategy via an optional Section 721 ex"&amp;"change into the Essential Income REIT around the 5-year loan maturity."&amp;CHAR(10)&amp;CHAR(10)&amp;"&gt;&gt; Download Offering Documents"&amp;CHAR(10)&amp;"https://www.baker1031.com/sponsors/exchangeright"</f>
        <v>ExchangeRight Net-Leased Portfolio 75 DST (43.97% LTV)
ExchangeRight Net-Leased Portfolio 75 is a leveraged, diversified portfolio of six single-tenant net-leased properties (11.8-year WALT) across six states, anchored by a FedEx distribution facility (~46% of NOI) with five of six tenants investment-grade-rated. Total capitalization is $84.9M ($47.57M equity + $37.33M non-recourse Wells Fargo debt at 5.120% fixed, interest-only, 43.97% LTV), with a Year-1 DSCR of 2.32x. The exit follows ExchangeRight's REIT-aggregation strategy via an optional Section 721 exchange into the Essential Income REIT around the 5-year loan maturity.
&gt;&gt; Download Offering Documents
https://www.baker1031.com/sponsors/exchangeright</v>
      </c>
    </row>
    <row r="14">
      <c r="A14" s="8" t="s">
        <v>327</v>
      </c>
      <c r="B14" s="8" t="s">
        <v>253</v>
      </c>
      <c r="C14" s="8" t="s">
        <v>81</v>
      </c>
      <c r="D14" s="8" t="s">
        <v>82</v>
      </c>
      <c r="E14" s="9">
        <v>9671490.0</v>
      </c>
      <c r="F14" s="9">
        <v>9671490.0</v>
      </c>
      <c r="G14" s="9">
        <v>0.0</v>
      </c>
      <c r="H14" s="8" t="s">
        <v>83</v>
      </c>
      <c r="I14" s="9">
        <v>1434292.0</v>
      </c>
      <c r="J14" s="10">
        <v>46167.0</v>
      </c>
      <c r="K14" s="11">
        <f t="shared" si="1"/>
        <v>0.1483010374</v>
      </c>
      <c r="L14" s="8" t="s">
        <v>254</v>
      </c>
      <c r="M14" s="8" t="s">
        <v>328</v>
      </c>
      <c r="N14" s="12" t="str">
        <f>IFERROR(__xludf.DUMMYFUNCTION("TEXTJOIN("", "", TRUE, SORT(TRANSPOSE(SPLIT(M14, "", ""))))"),"FL")</f>
        <v>FL</v>
      </c>
      <c r="O14" s="12" t="s">
        <v>329</v>
      </c>
      <c r="P14" s="8" t="s">
        <v>257</v>
      </c>
      <c r="Q14" s="8" t="s">
        <v>258</v>
      </c>
      <c r="R14" s="8" t="s">
        <v>330</v>
      </c>
      <c r="S14" s="8" t="s">
        <v>331</v>
      </c>
      <c r="T14" s="8" t="s">
        <v>332</v>
      </c>
      <c r="U14" s="8" t="s">
        <v>333</v>
      </c>
      <c r="V14" s="8" t="s">
        <v>334</v>
      </c>
      <c r="W14" s="8" t="s">
        <v>335</v>
      </c>
      <c r="X14" s="8" t="s">
        <v>336</v>
      </c>
      <c r="Y14" s="8" t="s">
        <v>337</v>
      </c>
      <c r="Z14" s="8" t="s">
        <v>338</v>
      </c>
      <c r="AA14" s="8" t="s">
        <v>339</v>
      </c>
      <c r="AB14" s="8">
        <v>0.0</v>
      </c>
      <c r="AC14" s="8">
        <v>0.0</v>
      </c>
      <c r="AD14" s="8">
        <v>0.0</v>
      </c>
      <c r="AE14" s="8">
        <v>0.0</v>
      </c>
      <c r="AF14" s="8">
        <v>0.0</v>
      </c>
      <c r="AG14" s="8" t="s">
        <v>142</v>
      </c>
      <c r="AH14" s="8" t="s">
        <v>142</v>
      </c>
      <c r="AI14" s="8" t="s">
        <v>142</v>
      </c>
      <c r="AJ14" s="8" t="s">
        <v>142</v>
      </c>
      <c r="AK14" s="8" t="s">
        <v>142</v>
      </c>
      <c r="AL14" s="8" t="s">
        <v>269</v>
      </c>
      <c r="AM14" s="8" t="s">
        <v>269</v>
      </c>
      <c r="AN14" s="13">
        <f t="shared" si="2"/>
        <v>0.025</v>
      </c>
      <c r="AO14" s="8" t="s">
        <v>100</v>
      </c>
      <c r="AP14" s="8" t="s">
        <v>101</v>
      </c>
      <c r="AQ14" s="8" t="s">
        <v>101</v>
      </c>
      <c r="AR14" s="8" t="s">
        <v>101</v>
      </c>
      <c r="AS14" s="8" t="s">
        <v>101</v>
      </c>
      <c r="AT14" s="12" t="s">
        <v>102</v>
      </c>
      <c r="AU14" s="8" t="s">
        <v>340</v>
      </c>
      <c r="AV14" s="22" t="s">
        <v>341</v>
      </c>
      <c r="AW14" s="15"/>
      <c r="AX14" s="9">
        <v>100000.0</v>
      </c>
      <c r="AY14" s="16" t="str">
        <f>IFERROR(__xludf.DUMMYFUNCTION("IF(ISBLANK(AV14), """", IF(REGEXMATCH(AV14, ""/file/d/""), ""https://lh3.googleusercontent.com/d/"" &amp; REGEXEXTRACT(AV14, ""/d/([a-zA-Z0-9_-]+)""), AV14))"),"https://lh3.googleusercontent.com/d/1i91BiYn7XZtKB0-u7yKPmdaWTp0c0rDr")</f>
        <v>https://lh3.googleusercontent.com/d/1i91BiYn7XZtKB0-u7yKPmdaWTp0c0rDr</v>
      </c>
      <c r="AZ14" s="17" t="str">
        <f t="shared" si="3"/>
        <v>N/A (no income)</v>
      </c>
      <c r="BA14" s="17" t="str">
        <f t="shared" si="4"/>
        <v>Tax-Adjusted Yield</v>
      </c>
      <c r="BB14" s="17" t="str">
        <f t="shared" si="5"/>
        <v>Offering Documents Available By Request</v>
      </c>
      <c r="BC14" s="8" t="s">
        <v>342</v>
      </c>
      <c r="BD14" s="8" t="s">
        <v>273</v>
      </c>
      <c r="BE14" s="8" t="s">
        <v>274</v>
      </c>
      <c r="BF14" s="17" t="str">
        <f t="shared" si="6"/>
        <v>Learn More About Walton Global Holdings</v>
      </c>
      <c r="BG14" s="17" t="str">
        <f t="shared" si="7"/>
        <v>Learn More About Land Properties</v>
      </c>
      <c r="BH14" s="17">
        <f t="array" ref="BH14">IFERROR(XLOOKUP($B14, 'Sponsor Connection'!$A:$A, 'Sponsor Connection'!$B:$B), )</f>
        <v>1979</v>
      </c>
      <c r="BI14" s="17" t="str">
        <f t="array" ref="BI14">IFERROR(XLOOKUP($B14, 'Sponsor Connection'!$A:$A, 'Sponsor Connection'!$D:$D), )</f>
        <v>Walton Global Holdings is a land asset manager with a 45-plus-year history, managing $3.35 billion and specializing in pre-development land that it supplies to U.S. homebuilders—a genuinely distinctive 1031 asset class. Controlling more than 85,000 acres across 170-plus master-planned communities and serving some 88,000 global investors across 91 countries, Walton has institutionalized land banking through its Builder Land Finance structure, recently bolstered by a 2025 GoldenTree co-investment. The land-to-homebuilder model offers diversification from income real estate but carries entitlement and absorption risk distinct from cash-flowing assets.</v>
      </c>
      <c r="BJ14" s="18">
        <f t="array" ref="BJ14">IF($B14="", "", LET(aum, IFERROR(XLOOKUP($B14, 'Sponsor Connection'!$A:$A, 'Sponsor Connection'!$C:$C), ""), IF(OR(aum="", aum=0), "Not Reported", aum)))</f>
        <v>3350000000</v>
      </c>
      <c r="BK14" s="19">
        <f t="array" ref="BK14">IF(ISBLANK($B14), "", LET(val, IFERROR(XLOOKUP($B14, 'Sponsor Connection'!$A:$A, 'Sponsor Connection'!$M:$M), ""), IF(OR(ISBLANK(val), val="", val=0), "Not Reported", val)))</f>
        <v>68</v>
      </c>
      <c r="BL14" s="13">
        <f t="array" ref="BL14">IF(ISBLANK($B14), "", LET(val, IFERROR(XLOOKUP($B14, 'Sponsor Connection'!$A:$A, 'Sponsor Connection'!$N:$N), ""), IF(val="", "Not Reported", val)))</f>
        <v>0.08204558824</v>
      </c>
      <c r="BM14" s="20">
        <f t="array" ref="BM14">IF(ISBLANK($B14), "", LET(val, IFERROR(XLOOKUP($B14, 'Sponsor Connection'!$A:$A, 'Sponsor Connection'!$O:$O), ""), IF(val="", "Not Reported", val)))</f>
        <v>1.345348837</v>
      </c>
      <c r="BN14" s="21">
        <f t="array" ref="BN14">IF(ISBLANK($B14), "", LET(val, IFERROR(XLOOKUP($B14, 'Sponsor Connection'!$A:$A, 'Sponsor Connection'!$P:$P), ""), IF(val="", "Not Reported", val)))</f>
        <v>7.165</v>
      </c>
      <c r="BO14" s="13">
        <f t="array" ref="BO14">IF(ISBLANK($B14), "", LET(val, IFERROR(XLOOKUP($B14, 'Sponsor Connection'!$A:$A, 'Sponsor Connection'!$Q:$Q), ""), IF(val="", "Not Reported", val)))</f>
        <v>0.75</v>
      </c>
      <c r="BP14" s="16" t="str">
        <f t="array" ref="BP14">IFERROR(XLOOKUP($B14, 'Sponsor Connection'!$A:$A, 'Sponsor Connection'!$L:$L), )</f>
        <v>https://img.logo.dev/walton.com?token=pk_FIVsDKgZTvCedVXXtt2rEg&amp;size=200&amp;retina=true</v>
      </c>
      <c r="BQ14" s="17" t="str">
        <f t="shared" si="8"/>
        <v>N/A (no income)</v>
      </c>
      <c r="BR14" s="13" t="str">
        <f>IFERROR(VLOOKUP(L14, Benchmarks!$A$2:$D$15, 2, FALSE), "Not Analyzed")</f>
        <v/>
      </c>
      <c r="BS14" s="17" t="str">
        <f t="shared" si="9"/>
        <v>Not Analyzed</v>
      </c>
      <c r="BT14" s="13">
        <f t="shared" si="10"/>
        <v>0</v>
      </c>
      <c r="BU14" s="13">
        <f>IFERROR(VLOOKUP(L14, Benchmarks!$A$2:$D$15, 4, FALSE), "Not Analyzed")</f>
        <v>0</v>
      </c>
      <c r="BV14" s="17" t="str">
        <f t="shared" si="11"/>
        <v>Not Analyzed</v>
      </c>
      <c r="BW14" s="17">
        <f t="shared" si="12"/>
        <v>0</v>
      </c>
      <c r="BX14" s="13">
        <f>IFERROR(VLOOKUP(L14, Benchmarks!$A$2:$D$15, 3, FALSE), "Not Analyzed")</f>
        <v>0</v>
      </c>
      <c r="BY14" s="17" t="str">
        <f t="shared" si="13"/>
        <v>Not Analyzed</v>
      </c>
      <c r="BZ14" s="17" t="str">
        <f t="shared" si="14"/>
        <v>Investment: Florida Growth 2 - Jubilee 1 DST | Sponsor: Walton Global Holdings | Structure: Delaware Statutory Trust (DST) | Status: Available | LTV: 0.00% LTV | Availability: 0.148301037378935 | Location: FL | Strategy: Opportunistic | 721 Exchange Exit: None | Estimated Hold: 3-5 years | Cap Rate Equivalent: 0.025 | Minimum Investment: 100000</v>
      </c>
      <c r="CA14" s="17" t="str">
        <f>A14&amp;" ("&amp;H14&amp;")"&amp;CHAR(10)&amp;CHAR(10)&amp;"Florida Growth 2 is a Walton Global land-banking offering acquiring ~268 acres of undeveloped forest land in Pace (Santa Rosa County), within the planned Jubilee master-planned community along the Florida Panhandle's path of growth. The unleveraged, non-o"&amp;"perating vehicle holds the land unimproved at a basis approximating its February 2024 appraised value and targets disposition to a single national homebuilder via a staged sale over a ~3-5 year hold. It produces no rental income, depreciation shelter, or "&amp;"interim distributions, with all investor proceeds back-ended to disposition."&amp;CHAR(10)&amp;CHAR(10)&amp;"&gt;&gt; Download Offering Documents"&amp;CHAR(10)&amp;"https://www.baker1031.com/sponsors/walton-global-holdings"</f>
        <v>Florida Growth 2 - Jubilee 1 DST (0.00% LTV)
Florida Growth 2 is a Walton Global land-banking offering acquiring ~268 acres of undeveloped forest land in Pace (Santa Rosa County), within the planned Jubilee master-planned community along the Florida Panhandle's path of growth. The unleveraged, non-operating vehicle holds the land unimproved at a basis approximating its February 2024 appraised value and targets disposition to a single national homebuilder via a staged sale over a ~3-5 year hold. It produces no rental income, depreciation shelter, or interim distributions, with all investor proceeds back-ended to disposition.
&gt;&gt; Download Offering Documents
https://www.baker1031.com/sponsors/walton-global-holdings</v>
      </c>
    </row>
    <row r="15">
      <c r="A15" s="8" t="s">
        <v>343</v>
      </c>
      <c r="B15" s="8" t="s">
        <v>344</v>
      </c>
      <c r="C15" s="8" t="s">
        <v>81</v>
      </c>
      <c r="D15" s="8" t="s">
        <v>199</v>
      </c>
      <c r="E15" s="9">
        <v>9.772E7</v>
      </c>
      <c r="F15" s="9">
        <v>5.02E7</v>
      </c>
      <c r="G15" s="9">
        <v>4.752E7</v>
      </c>
      <c r="H15" s="8" t="s">
        <v>345</v>
      </c>
      <c r="I15" s="9">
        <v>5000000.0</v>
      </c>
      <c r="J15" s="10">
        <v>46193.0</v>
      </c>
      <c r="K15" s="11">
        <f t="shared" si="1"/>
        <v>0.09960159363</v>
      </c>
      <c r="L15" s="8" t="s">
        <v>153</v>
      </c>
      <c r="M15" s="8" t="s">
        <v>346</v>
      </c>
      <c r="N15" s="12" t="str">
        <f>IFERROR(__xludf.DUMMYFUNCTION("TEXTJOIN("", "", TRUE, SORT(TRANSPOSE(SPLIT(M15, "", ""))))"),"KY, SC")</f>
        <v>KY, SC</v>
      </c>
      <c r="O15" s="12" t="s">
        <v>347</v>
      </c>
      <c r="P15" s="8" t="s">
        <v>87</v>
      </c>
      <c r="Q15" s="8" t="s">
        <v>88</v>
      </c>
      <c r="R15" s="8" t="s">
        <v>132</v>
      </c>
      <c r="S15" s="8" t="s">
        <v>348</v>
      </c>
      <c r="T15" s="8" t="s">
        <v>349</v>
      </c>
      <c r="U15" s="8" t="s">
        <v>350</v>
      </c>
      <c r="V15" s="8" t="s">
        <v>351</v>
      </c>
      <c r="W15" s="8" t="s">
        <v>352</v>
      </c>
      <c r="X15" s="8" t="s">
        <v>353</v>
      </c>
      <c r="Y15" s="8" t="s">
        <v>354</v>
      </c>
      <c r="Z15" s="8" t="s">
        <v>355</v>
      </c>
      <c r="AA15" s="8" t="s">
        <v>356</v>
      </c>
      <c r="AB15" s="11">
        <v>0.0505</v>
      </c>
      <c r="AC15" s="11">
        <v>0.0505</v>
      </c>
      <c r="AD15" s="11">
        <v>0.0505</v>
      </c>
      <c r="AE15" s="11">
        <v>0.051</v>
      </c>
      <c r="AF15" s="11">
        <v>0.051</v>
      </c>
      <c r="AG15" s="11">
        <v>0.0515</v>
      </c>
      <c r="AH15" s="11">
        <v>0.0525</v>
      </c>
      <c r="AI15" s="8" t="s">
        <v>142</v>
      </c>
      <c r="AJ15" s="8" t="s">
        <v>142</v>
      </c>
      <c r="AK15" s="8" t="s">
        <v>142</v>
      </c>
      <c r="AL15" s="11">
        <v>0.0511</v>
      </c>
      <c r="AM15" s="8" t="s">
        <v>99</v>
      </c>
      <c r="AN15" s="13">
        <f t="shared" si="2"/>
        <v>0.08726668007</v>
      </c>
      <c r="AO15" s="8" t="s">
        <v>357</v>
      </c>
      <c r="AP15" s="8" t="s">
        <v>358</v>
      </c>
      <c r="AQ15" s="8" t="s">
        <v>132</v>
      </c>
      <c r="AR15" s="8" t="s">
        <v>359</v>
      </c>
      <c r="AS15" s="8" t="s">
        <v>360</v>
      </c>
      <c r="AT15" s="12" t="s">
        <v>361</v>
      </c>
      <c r="AU15" s="8" t="s">
        <v>362</v>
      </c>
      <c r="AV15" s="22" t="s">
        <v>363</v>
      </c>
      <c r="AW15" s="15"/>
      <c r="AX15" s="9">
        <v>100000.0</v>
      </c>
      <c r="AY15" s="16" t="str">
        <f>IFERROR(__xludf.DUMMYFUNCTION("IF(ISBLANK(AV15), """", IF(REGEXMATCH(AV15, ""/file/d/""), ""https://lh3.googleusercontent.com/d/"" &amp; REGEXEXTRACT(AV15, ""/d/([a-zA-Z0-9_-]+)""), AV15))"),"https://lh3.googleusercontent.com/d/1KLhX3b8jJT97sJ5o2TvUb0ahiiV-ugjX")</f>
        <v>https://lh3.googleusercontent.com/d/1KLhX3b8jJT97sJ5o2TvUb0ahiiV-ugjX</v>
      </c>
      <c r="AZ15" s="13">
        <f t="shared" si="3"/>
        <v>0.1189470588</v>
      </c>
      <c r="BA15" s="17" t="str">
        <f t="shared" si="4"/>
        <v>Est. Tax-Adjusted Yield⁹</v>
      </c>
      <c r="BB15" s="17" t="str">
        <f t="shared" si="5"/>
        <v>Offering Documents Available By Request</v>
      </c>
      <c r="BC15" s="8" t="s">
        <v>364</v>
      </c>
      <c r="BD15" s="8" t="s">
        <v>365</v>
      </c>
      <c r="BE15" s="8" t="s">
        <v>171</v>
      </c>
      <c r="BF15" s="17" t="str">
        <f t="shared" si="6"/>
        <v>Learn More About Four Springs Capital</v>
      </c>
      <c r="BG15" s="17" t="str">
        <f t="shared" si="7"/>
        <v>Learn More About Industrial Properties</v>
      </c>
      <c r="BH15" s="17">
        <f t="array" ref="BH15">IFERROR(XLOOKUP($B15, 'Sponsor Connection'!$A:$A, 'Sponsor Connection'!$B:$B), )</f>
        <v>2012</v>
      </c>
      <c r="BI15" s="17" t="str">
        <f t="array" ref="BI15">IFERROR(XLOOKUP($B15, 'Sponsor Connection'!$A:$A, 'Sponsor Connection'!$D:$D), )</f>
        <v>Four Springs Capital reaches the 1031 market through Four Springs TEN31 Xchange, sponsoring net-lease DSTs concentrated in single-tenant industrial and medical properties under long-term leases to credit tenants such as Ford, Eaton and Carhartt. A deliberate focus on the $5 million-to-$200 million deal range keeps it below the institutional bid and above the retail scrum, a niche it has worked across more than 1,000 completed exchanges and over $1 billion in equity raised. As a subsidiary of Four Springs Capital Trust, it offers an UPREIT roll-up into the REIT, combining credit-tenant durability with a defined exit.</v>
      </c>
      <c r="BJ15" s="18">
        <f t="array" ref="BJ15">IF($B15="", "", LET(aum, IFERROR(XLOOKUP($B15, 'Sponsor Connection'!$A:$A, 'Sponsor Connection'!$C:$C), ""), IF(OR(aum="", aum=0), "Not Reported", aum)))</f>
        <v>1300000000</v>
      </c>
      <c r="BK15" s="19">
        <f t="array" ref="BK15">IF(ISBLANK($B15), "", LET(val, IFERROR(XLOOKUP($B15, 'Sponsor Connection'!$A:$A, 'Sponsor Connection'!$M:$M), ""), IF(OR(ISBLANK(val), val="", val=0), "Not Reported", val)))</f>
        <v>24</v>
      </c>
      <c r="BL15" s="13">
        <f t="array" ref="BL15">IF(ISBLANK($B15), "", LET(val, IFERROR(XLOOKUP($B15, 'Sponsor Connection'!$A:$A, 'Sponsor Connection'!$N:$N), ""), IF(val="", "Not Reported", val)))</f>
        <v>0.07049583333</v>
      </c>
      <c r="BM15" s="20">
        <f t="array" ref="BM15">IF(ISBLANK($B15), "", LET(val, IFERROR(XLOOKUP($B15, 'Sponsor Connection'!$A:$A, 'Sponsor Connection'!$O:$O), ""), IF(val="", "Not Reported", val)))</f>
        <v>1.47125</v>
      </c>
      <c r="BN15" s="21">
        <f t="array" ref="BN15">IF(ISBLANK($B15), "", LET(val, IFERROR(XLOOKUP($B15, 'Sponsor Connection'!$A:$A, 'Sponsor Connection'!$P:$P), ""), IF(val="", "Not Reported", val)))</f>
        <v>3.335833333</v>
      </c>
      <c r="BO15" s="13">
        <f t="array" ref="BO15">IF(ISBLANK($B15), "", LET(val, IFERROR(XLOOKUP($B15, 'Sponsor Connection'!$A:$A, 'Sponsor Connection'!$Q:$Q), ""), IF(val="", "Not Reported", val)))</f>
        <v>1</v>
      </c>
      <c r="BP15" s="16" t="str">
        <f t="array" ref="BP15">IFERROR(XLOOKUP($B15, 'Sponsor Connection'!$A:$A, 'Sponsor Connection'!$L:$L), )</f>
        <v>https://img.logo.dev/ten31xchange.com?token=pk_FIVsDKgZTvCedVXXtt2rEg&amp;size=200&amp;retina=true</v>
      </c>
      <c r="BQ15" s="13">
        <f t="shared" si="8"/>
        <v>0.0511</v>
      </c>
      <c r="BR15" s="13">
        <f>IFERROR(VLOOKUP(L15, Benchmarks!$A$2:$D$15, 2, FALSE), "Not Analyzed")</f>
        <v>0</v>
      </c>
      <c r="BS15" s="17" t="str">
        <f t="shared" si="9"/>
        <v>Above Average</v>
      </c>
      <c r="BT15" s="13">
        <f t="shared" si="10"/>
        <v>0.0396039604</v>
      </c>
      <c r="BU15" s="13">
        <f>IFERROR(VLOOKUP(L15, Benchmarks!$A$2:$D$15, 4, FALSE), "Not Analyzed")</f>
        <v>0.1441469396</v>
      </c>
      <c r="BV15" s="17" t="str">
        <f t="shared" si="11"/>
        <v>Below Average</v>
      </c>
      <c r="BW15" s="13">
        <f t="shared" si="12"/>
        <v>0.0525</v>
      </c>
      <c r="BX15" s="13">
        <f>IFERROR(VLOOKUP(L15, Benchmarks!$A$2:$D$15, 3, FALSE), "Not Analyzed")</f>
        <v>0.05854</v>
      </c>
      <c r="BY15" s="17" t="str">
        <f t="shared" si="13"/>
        <v>Below Average</v>
      </c>
      <c r="BZ15" s="17" t="str">
        <f t="shared" si="14"/>
        <v>Investment: FSX Industrial 34, DST | Sponsor: Four Springs Capital | Structure: Delaware Statutory Trust (DST) | Status: Limited Availability | LTV: 48.63% LTV | Availability: 0.099601593625498 | Location: KY, SC | Strategy: Core | 721 Exchange Exit: Optional | Estimated Hold: 7 years | Cap Rate Equivalent: 0.0872666800665853 | Minimum Investment: 100000</v>
      </c>
      <c r="CA15" s="17" t="str">
        <f>A15&amp;" ("&amp;H15&amp;")"&amp;CHAR(10)&amp;CHAR(10)&amp;"FSX Industrial 34 is a leveraged DST holding a two-property, single-tenant absolute-NNN industrial portfolio (995,781 SF; 11-plus-year WALT) anchored by Carhartt's primary national distribution hub in Hanson, KY and an Eaton Corporation facility in Duncan"&amp;", SC. The portfolio was acquired for $86.4M and financed with a $47.52M Old National Bank loan (SOFR+1.95% swapped to 5.495% fixed, interest-only for 48 months then 30-year amortization, 48.63% LTV). Carhartt has invested over $70M in automation at its mi"&amp;"ssion-critical SKU facility, and both tenants carry strong credit, with monthly distributions beginning at a 5.05% cash-on-cash yield."&amp;CHAR(10)&amp;CHAR(10)&amp;"&gt;&gt; Download Offering Documents"&amp;CHAR(10)&amp;"https://www.baker1031.com/sponsors/four-springs-capital"</f>
        <v>FSX Industrial 34, DST (48.63% LTV)
FSX Industrial 34 is a leveraged DST holding a two-property, single-tenant absolute-NNN industrial portfolio (995,781 SF; 11-plus-year WALT) anchored by Carhartt's primary national distribution hub in Hanson, KY and an Eaton Corporation facility in Duncan, SC. The portfolio was acquired for $86.4M and financed with a $47.52M Old National Bank loan (SOFR+1.95% swapped to 5.495% fixed, interest-only for 48 months then 30-year amortization, 48.63% LTV). Carhartt has invested over $70M in automation at its mission-critical SKU facility, and both tenants carry strong credit, with monthly distributions beginning at a 5.05% cash-on-cash yield.
&gt;&gt; Download Offering Documents
https://www.baker1031.com/sponsors/four-springs-capital</v>
      </c>
    </row>
    <row r="16">
      <c r="A16" s="8" t="s">
        <v>366</v>
      </c>
      <c r="B16" s="8" t="s">
        <v>367</v>
      </c>
      <c r="C16" s="8" t="s">
        <v>81</v>
      </c>
      <c r="D16" s="8" t="s">
        <v>82</v>
      </c>
      <c r="E16" s="9">
        <v>4.02397396E8</v>
      </c>
      <c r="F16" s="9">
        <v>1.74652396E8</v>
      </c>
      <c r="G16" s="9">
        <v>2.27745E8</v>
      </c>
      <c r="H16" s="8" t="s">
        <v>368</v>
      </c>
      <c r="I16" s="9">
        <v>1.5E7</v>
      </c>
      <c r="J16" s="10">
        <v>46193.0</v>
      </c>
      <c r="K16" s="11">
        <f t="shared" si="1"/>
        <v>0.08588487959</v>
      </c>
      <c r="L16" s="8" t="s">
        <v>369</v>
      </c>
      <c r="M16" s="8" t="s">
        <v>370</v>
      </c>
      <c r="N16" s="12" t="str">
        <f>IFERROR(__xludf.DUMMYFUNCTION("TEXTJOIN("", "", TRUE, SORT(TRANSPOSE(SPLIT(M16, "", ""))))"),"MD, NC")</f>
        <v>MD, NC</v>
      </c>
      <c r="O16" s="12" t="s">
        <v>371</v>
      </c>
      <c r="P16" s="8" t="s">
        <v>113</v>
      </c>
      <c r="Q16" s="8" t="s">
        <v>88</v>
      </c>
      <c r="R16" s="8" t="s">
        <v>372</v>
      </c>
      <c r="S16" s="8" t="s">
        <v>373</v>
      </c>
      <c r="T16" s="8" t="s">
        <v>374</v>
      </c>
      <c r="U16" s="8" t="s">
        <v>375</v>
      </c>
      <c r="V16" s="8" t="s">
        <v>376</v>
      </c>
      <c r="W16" s="8" t="s">
        <v>377</v>
      </c>
      <c r="X16" s="8" t="s">
        <v>378</v>
      </c>
      <c r="Y16" s="8" t="s">
        <v>379</v>
      </c>
      <c r="Z16" s="8" t="s">
        <v>380</v>
      </c>
      <c r="AA16" s="8" t="s">
        <v>381</v>
      </c>
      <c r="AB16" s="11">
        <v>0.047</v>
      </c>
      <c r="AC16" s="11">
        <v>0.047</v>
      </c>
      <c r="AD16" s="11">
        <v>0.047</v>
      </c>
      <c r="AE16" s="11">
        <v>0.047</v>
      </c>
      <c r="AF16" s="11">
        <v>0.047</v>
      </c>
      <c r="AG16" s="11">
        <v>0.047</v>
      </c>
      <c r="AH16" s="11">
        <v>0.047</v>
      </c>
      <c r="AI16" s="11">
        <v>0.047</v>
      </c>
      <c r="AJ16" s="11">
        <v>0.047</v>
      </c>
      <c r="AK16" s="11">
        <v>0.047</v>
      </c>
      <c r="AL16" s="11">
        <v>0.047</v>
      </c>
      <c r="AM16" s="8" t="s">
        <v>99</v>
      </c>
      <c r="AN16" s="13">
        <f t="shared" si="2"/>
        <v>0.08744059884</v>
      </c>
      <c r="AO16" s="8" t="s">
        <v>382</v>
      </c>
      <c r="AP16" s="8" t="s">
        <v>383</v>
      </c>
      <c r="AQ16" s="8" t="s">
        <v>384</v>
      </c>
      <c r="AR16" s="8" t="s">
        <v>385</v>
      </c>
      <c r="AS16" s="8" t="s">
        <v>386</v>
      </c>
      <c r="AT16" s="12" t="s">
        <v>99</v>
      </c>
      <c r="AU16" s="8" t="s">
        <v>387</v>
      </c>
      <c r="AV16" s="22" t="s">
        <v>388</v>
      </c>
      <c r="AW16" s="15"/>
      <c r="AX16" s="9">
        <v>100000.0</v>
      </c>
      <c r="AY16" s="16" t="str">
        <f>IFERROR(__xludf.DUMMYFUNCTION("IF(ISBLANK(AV16), """", IF(REGEXMATCH(AV16, ""/file/d/""), ""https://lh3.googleusercontent.com/d/"" &amp; REGEXEXTRACT(AV16, ""/d/([a-zA-Z0-9_-]+)""), AV16))"),"https://lh3.googleusercontent.com/d/10HERuChCxkCJSzpyZ5N0PxDwRQvCas7F")</f>
        <v>https://lh3.googleusercontent.com/d/10HERuChCxkCJSzpyZ5N0PxDwRQvCas7F</v>
      </c>
      <c r="AZ16" s="13">
        <f t="shared" si="3"/>
        <v>0.1154470588</v>
      </c>
      <c r="BA16" s="17" t="str">
        <f t="shared" si="4"/>
        <v>Est. Tax-Adjusted Yield⁹</v>
      </c>
      <c r="BB16" s="17" t="str">
        <f t="shared" si="5"/>
        <v>Offering Documents Available By Request</v>
      </c>
      <c r="BC16" s="8" t="s">
        <v>389</v>
      </c>
      <c r="BD16" s="8" t="s">
        <v>390</v>
      </c>
      <c r="BE16" s="8" t="s">
        <v>391</v>
      </c>
      <c r="BF16" s="17" t="str">
        <f t="shared" si="6"/>
        <v>Learn More About Net Lease Capital Advisors</v>
      </c>
      <c r="BG16" s="17" t="str">
        <f t="shared" si="7"/>
        <v>Learn More About GSA Properties</v>
      </c>
      <c r="BH16" s="17">
        <f t="array" ref="BH16">IFERROR(XLOOKUP($B16, 'Sponsor Connection'!$A:$A, 'Sponsor Connection'!$B:$B), )</f>
        <v>1996</v>
      </c>
      <c r="BI16" s="17" t="str">
        <f t="array" ref="BI16">IFERROR(XLOOKUP($B16, 'Sponsor Connection'!$A:$A, 'Sponsor Connection'!$D:$D), )</f>
        <v>Net Lease Capital Advisors is a Nashua, New Hampshire net-lease advisory and sponsorship firm, founded in 1996, with a distinctive specialization in single-tenant assets leased to the U.S. Government (GSA) and investment-grade corporates, and particular expertise in zero-cash-flow structures for 1031 exchangers. The firm cites more than $15 billion in closed net-lease transactions since inception—a lifetime volume figure rather than current AUM—and pairs property sponsorship with capital-gains tax structuring. Its government-credit niche is among the most defensive tenant profiles available to exchange investors.</v>
      </c>
      <c r="BJ16" s="18">
        <f t="array" ref="BJ16">IF($B16="", "", LET(aum, IFERROR(XLOOKUP($B16, 'Sponsor Connection'!$A:$A, 'Sponsor Connection'!$C:$C), ""), IF(OR(aum="", aum=0), "Not Reported", aum)))</f>
        <v>9200000000</v>
      </c>
      <c r="BK16" s="19">
        <f t="array" ref="BK16">IF(ISBLANK($B16), "", LET(val, IFERROR(XLOOKUP($B16, 'Sponsor Connection'!$A:$A, 'Sponsor Connection'!$M:$M), ""), IF(OR(ISBLANK(val), val="", val=0), "Not Reported", val)))</f>
        <v>3</v>
      </c>
      <c r="BL16" s="13">
        <f t="array" ref="BL16">IF(ISBLANK($B16), "", LET(val, IFERROR(XLOOKUP($B16, 'Sponsor Connection'!$A:$A, 'Sponsor Connection'!$N:$N), ""), IF(val="", "Not Reported", val)))</f>
        <v>0.08716666667</v>
      </c>
      <c r="BM16" s="20">
        <f t="array" ref="BM16">IF(ISBLANK($B16), "", LET(val, IFERROR(XLOOKUP($B16, 'Sponsor Connection'!$A:$A, 'Sponsor Connection'!$O:$O), ""), IF(val="", "Not Reported", val)))</f>
        <v>2.736666667</v>
      </c>
      <c r="BN16" s="21">
        <f t="array" ref="BN16">IF(ISBLANK($B16), "", LET(val, IFERROR(XLOOKUP($B16, 'Sponsor Connection'!$A:$A, 'Sponsor Connection'!$P:$P), ""), IF(val="", "Not Reported", val)))</f>
        <v>10.82333333</v>
      </c>
      <c r="BO16" s="13">
        <f t="array" ref="BO16">IF(ISBLANK($B16), "", LET(val, IFERROR(XLOOKUP($B16, 'Sponsor Connection'!$A:$A, 'Sponsor Connection'!$Q:$Q), ""), IF(val="", "Not Reported", val)))</f>
        <v>1</v>
      </c>
      <c r="BP16" s="16" t="str">
        <f t="array" ref="BP16">IFERROR(XLOOKUP($B16, 'Sponsor Connection'!$A:$A, 'Sponsor Connection'!$L:$L), )</f>
        <v>https://img.logo.dev/netleasecapital.com?token=pk_FIVsDKgZTvCedVXXtt2rEg&amp;size=200&amp;retina=true</v>
      </c>
      <c r="BQ16" s="13">
        <f t="shared" si="8"/>
        <v>0.047</v>
      </c>
      <c r="BR16" s="13">
        <f>IFERROR(VLOOKUP(L16, Benchmarks!$A$2:$D$15, 2, FALSE), "Not Analyzed")</f>
        <v>0.047</v>
      </c>
      <c r="BS16" s="17" t="str">
        <f t="shared" si="9"/>
        <v>Meets Average</v>
      </c>
      <c r="BT16" s="13">
        <f t="shared" si="10"/>
        <v>0</v>
      </c>
      <c r="BU16" s="13">
        <f>IFERROR(VLOOKUP(L16, Benchmarks!$A$2:$D$15, 4, FALSE), "Not Analyzed")</f>
        <v>0</v>
      </c>
      <c r="BV16" s="17" t="str">
        <f t="shared" si="11"/>
        <v>Not Analyzed</v>
      </c>
      <c r="BW16" s="13">
        <f t="shared" si="12"/>
        <v>0.047</v>
      </c>
      <c r="BX16" s="13">
        <f>IFERROR(VLOOKUP(L16, Benchmarks!$A$2:$D$15, 3, FALSE), "Not Analyzed")</f>
        <v>0.047</v>
      </c>
      <c r="BY16" s="17" t="str">
        <f t="shared" si="13"/>
        <v>Meets Average</v>
      </c>
      <c r="BZ16" s="17" t="str">
        <f t="shared" si="14"/>
        <v>Investment: Government Lease Holdings 2 DST (GLH 2 DST) | Sponsor: Net Lease Capital Advisors | Structure: Delaware Statutory Trust (DST) | Status: Available | LTV: 56.60% LTV | Availability: 0.085884879586765 | Location: MD, NC | Strategy: Core-Plus | 721 Exchange Exit: Optional | Estimated Hold: 11 years | Cap Rate Equivalent: 0.0874405988436917 | Minimum Investment: 100000</v>
      </c>
      <c r="CA16" s="17" t="str">
        <f>A16&amp;" ("&amp;H16&amp;")"&amp;CHAR(10)&amp;CHAR(10)&amp;"Government Lease Holdings 2 is a two-property DST leased to the U.S. General Services Administration and occupied by the Department of Veterans Affairs (a 353,238 SF Kernersville, NC outpatient clinic) and U.S. Citizenship and Immigration Services (a 574,"&amp;"767 SF Camp Springs, MD headquarters, 50% interest), backed by U.S. Government credit. The $402.4M offering comprises $174.65M equity and $227.75M assumed debt (56.60% LTV) on full-service GSA leases, delivering a level ~4.70% cash-on-cash yield. Total re"&amp;"turn is weighted heavily toward back-ended residual value at lease expiry in 2035, introducing renewal and residual-realization dependency."&amp;CHAR(10)&amp;CHAR(10)&amp;"&gt;&gt; Download Offering Documents"&amp;CHAR(10)&amp;"https://www.baker1031.com/sponsors/net-lease-capital-advisors"</f>
        <v>Government Lease Holdings 2 DST (GLH 2 DST) (56.60% LTV)
Government Lease Holdings 2 is a two-property DST leased to the U.S. General Services Administration and occupied by the Department of Veterans Affairs (a 353,238 SF Kernersville, NC outpatient clinic) and U.S. Citizenship and Immigration Services (a 574,767 SF Camp Springs, MD headquarters, 50% interest), backed by U.S. Government credit. The $402.4M offering comprises $174.65M equity and $227.75M assumed debt (56.60% LTV) on full-service GSA leases, delivering a level ~4.70% cash-on-cash yield. Total return is weighted heavily toward back-ended residual value at lease expiry in 2035, introducing renewal and residual-realization dependency.
&gt;&gt; Download Offering Documents
https://www.baker1031.com/sponsors/net-lease-capital-advisors</v>
      </c>
    </row>
    <row r="17">
      <c r="A17" s="8" t="s">
        <v>392</v>
      </c>
      <c r="B17" s="8" t="s">
        <v>393</v>
      </c>
      <c r="C17" s="8" t="s">
        <v>81</v>
      </c>
      <c r="D17" s="8" t="s">
        <v>82</v>
      </c>
      <c r="E17" s="9">
        <v>4.3975998E7</v>
      </c>
      <c r="F17" s="9">
        <v>2.3520998E7</v>
      </c>
      <c r="G17" s="9">
        <v>2.0455E7</v>
      </c>
      <c r="H17" s="8" t="s">
        <v>394</v>
      </c>
      <c r="I17" s="9">
        <v>1.8559795E7</v>
      </c>
      <c r="J17" s="10">
        <v>46168.0</v>
      </c>
      <c r="K17" s="11">
        <f t="shared" si="1"/>
        <v>0.7890734483</v>
      </c>
      <c r="L17" s="8" t="s">
        <v>176</v>
      </c>
      <c r="M17" s="8" t="s">
        <v>395</v>
      </c>
      <c r="N17" s="12" t="str">
        <f>IFERROR(__xludf.DUMMYFUNCTION("TEXTJOIN("", "", TRUE, SORT(TRANSPOSE(SPLIT(M17, "", ""))))"),"OK")</f>
        <v>OK</v>
      </c>
      <c r="O17" s="12" t="s">
        <v>396</v>
      </c>
      <c r="P17" s="8" t="s">
        <v>113</v>
      </c>
      <c r="Q17" s="8" t="s">
        <v>258</v>
      </c>
      <c r="R17" s="8" t="s">
        <v>89</v>
      </c>
      <c r="S17" s="8" t="s">
        <v>397</v>
      </c>
      <c r="T17" s="8" t="s">
        <v>398</v>
      </c>
      <c r="U17" s="8" t="s">
        <v>399</v>
      </c>
      <c r="V17" s="8" t="s">
        <v>400</v>
      </c>
      <c r="W17" s="8" t="s">
        <v>401</v>
      </c>
      <c r="X17" s="8" t="s">
        <v>402</v>
      </c>
      <c r="Y17" s="8" t="s">
        <v>403</v>
      </c>
      <c r="Z17" s="8" t="s">
        <v>404</v>
      </c>
      <c r="AA17" s="8" t="s">
        <v>405</v>
      </c>
      <c r="AB17" s="11">
        <v>0.0442</v>
      </c>
      <c r="AC17" s="11">
        <v>0.0442</v>
      </c>
      <c r="AD17" s="11">
        <v>0.0449</v>
      </c>
      <c r="AE17" s="11">
        <v>0.0451</v>
      </c>
      <c r="AF17" s="11">
        <v>0.0453</v>
      </c>
      <c r="AG17" s="11">
        <v>0.0464</v>
      </c>
      <c r="AH17" s="11">
        <v>0.0484</v>
      </c>
      <c r="AI17" s="11">
        <v>0.0511</v>
      </c>
      <c r="AJ17" s="11">
        <v>0.0543</v>
      </c>
      <c r="AK17" s="11">
        <v>0.0576</v>
      </c>
      <c r="AL17" s="11">
        <v>0.0482</v>
      </c>
      <c r="AM17" s="8" t="s">
        <v>99</v>
      </c>
      <c r="AN17" s="13">
        <f t="shared" si="2"/>
        <v>0.0833018781</v>
      </c>
      <c r="AO17" s="8" t="s">
        <v>406</v>
      </c>
      <c r="AP17" s="8" t="s">
        <v>407</v>
      </c>
      <c r="AQ17" s="8" t="s">
        <v>89</v>
      </c>
      <c r="AR17" s="8" t="s">
        <v>89</v>
      </c>
      <c r="AS17" s="8" t="s">
        <v>145</v>
      </c>
      <c r="AT17" s="12" t="s">
        <v>192</v>
      </c>
      <c r="AU17" s="8" t="s">
        <v>408</v>
      </c>
      <c r="AV17" s="14" t="s">
        <v>409</v>
      </c>
      <c r="AW17" s="15"/>
      <c r="AX17" s="9">
        <v>100000.0</v>
      </c>
      <c r="AY17" s="16" t="str">
        <f>IFERROR(__xludf.DUMMYFUNCTION("IF(ISBLANK(AV17), """", IF(REGEXMATCH(AV17, ""/file/d/""), ""https://lh3.googleusercontent.com/d/"" &amp; REGEXEXTRACT(AV17, ""/d/([a-zA-Z0-9_-]+)""), AV17))"),"https://lh3.googleusercontent.com/d/1qaAAF4uCmeZCSGAExcm3tFIsZmOLcUpC")</f>
        <v>https://lh3.googleusercontent.com/d/1qaAAF4uCmeZCSGAExcm3tFIsZmOLcUpC</v>
      </c>
      <c r="AZ17" s="13">
        <f t="shared" si="3"/>
        <v>0.1126470588</v>
      </c>
      <c r="BA17" s="17" t="str">
        <f t="shared" si="4"/>
        <v>Est. Tax-Adjusted Yield⁹</v>
      </c>
      <c r="BB17" s="17" t="str">
        <f t="shared" si="5"/>
        <v>Offering Documents Available By Request</v>
      </c>
      <c r="BC17" s="8" t="s">
        <v>410</v>
      </c>
      <c r="BD17" s="8" t="s">
        <v>411</v>
      </c>
      <c r="BE17" s="8" t="s">
        <v>197</v>
      </c>
      <c r="BF17" s="17" t="str">
        <f t="shared" si="6"/>
        <v>Learn More About Griffin Capital</v>
      </c>
      <c r="BG17" s="17" t="str">
        <f t="shared" si="7"/>
        <v>Learn More About Multifamily Properties</v>
      </c>
      <c r="BH17" s="17">
        <f t="array" ref="BH17">IFERROR(XLOOKUP($B17, 'Sponsor Connection'!$A:$A, 'Sponsor Connection'!$B:$B), )</f>
        <v>1995</v>
      </c>
      <c r="BI17" s="17" t="str">
        <f t="array" ref="BI17">IFERROR(XLOOKUP($B17, 'Sponsor Connection'!$A:$A, 'Sponsor Connection'!$D:$D), )</f>
        <v>Griffin Capital is an El Segundo alternative asset manager that has owned or sponsored roughly $23 billion of real estate over its history and now reaches exchangers through Griffin Institutional Property Exchange (GPX), focused on Class A multifamily and net-lease DSTs. A defining feature is alignment: its executives have co-invested more than $300 million alongside investors. With a heritage in non-traded REITs and interval funds and a portfolio spanning roughly 29 markets, Griffin pairs institutional underwriting with unusually strong sponsor skin-in-the-game.</v>
      </c>
      <c r="BJ17" s="18">
        <f t="array" ref="BJ17">IF($B17="", "", LET(aum, IFERROR(XLOOKUP($B17, 'Sponsor Connection'!$A:$A, 'Sponsor Connection'!$C:$C), ""), IF(OR(aum="", aum=0), "Not Reported", aum)))</f>
        <v>3500000000</v>
      </c>
      <c r="BK17" s="19">
        <f t="array" ref="BK17">IF(ISBLANK($B17), "", LET(val, IFERROR(XLOOKUP($B17, 'Sponsor Connection'!$A:$A, 'Sponsor Connection'!$M:$M), ""), IF(OR(ISBLANK(val), val="", val=0), "Not Reported", val)))</f>
        <v>2</v>
      </c>
      <c r="BL17" s="13">
        <f t="array" ref="BL17">IF(ISBLANK($B17), "", LET(val, IFERROR(XLOOKUP($B17, 'Sponsor Connection'!$A:$A, 'Sponsor Connection'!$N:$N), ""), IF(val="", "Not Reported", val)))</f>
        <v>0.1804</v>
      </c>
      <c r="BM17" s="20">
        <f t="array" ref="BM17">IF(ISBLANK($B17), "", LET(val, IFERROR(XLOOKUP($B17, 'Sponsor Connection'!$A:$A, 'Sponsor Connection'!$O:$O), ""), IF(val="", "Not Reported", val)))</f>
        <v>1.715</v>
      </c>
      <c r="BN17" s="21">
        <f t="array" ref="BN17">IF(ISBLANK($B17), "", LET(val, IFERROR(XLOOKUP($B17, 'Sponsor Connection'!$A:$A, 'Sponsor Connection'!$P:$P), ""), IF(val="", "Not Reported", val)))</f>
        <v>4.415</v>
      </c>
      <c r="BO17" s="13">
        <f t="array" ref="BO17">IF(ISBLANK($B17), "", LET(val, IFERROR(XLOOKUP($B17, 'Sponsor Connection'!$A:$A, 'Sponsor Connection'!$Q:$Q), ""), IF(val="", "Not Reported", val)))</f>
        <v>1</v>
      </c>
      <c r="BP17" s="16" t="str">
        <f t="array" ref="BP17">IFERROR(XLOOKUP($B17, 'Sponsor Connection'!$A:$A, 'Sponsor Connection'!$L:$L), )</f>
        <v>https://img.logo.dev/griffincapital.com?token=pk_FIVsDKgZTvCedVXXtt2rEg&amp;size=200&amp;retina=true</v>
      </c>
      <c r="BQ17" s="13">
        <f t="shared" si="8"/>
        <v>0.0482</v>
      </c>
      <c r="BR17" s="13">
        <f>IFERROR(VLOOKUP(L17, Benchmarks!$A$2:$D$15, 2, FALSE), "Not Analyzed")</f>
        <v>0.050338</v>
      </c>
      <c r="BS17" s="17" t="str">
        <f t="shared" si="9"/>
        <v>Meets Average</v>
      </c>
      <c r="BT17" s="13">
        <f t="shared" si="10"/>
        <v>0.3031674208</v>
      </c>
      <c r="BU17" s="13">
        <f>IFERROR(VLOOKUP(L17, Benchmarks!$A$2:$D$15, 4, FALSE), "Not Analyzed")</f>
        <v>0.2473634914</v>
      </c>
      <c r="BV17" s="17" t="str">
        <f t="shared" si="11"/>
        <v>Above Average</v>
      </c>
      <c r="BW17" s="13">
        <f t="shared" si="12"/>
        <v>0.0576</v>
      </c>
      <c r="BX17" s="13">
        <f>IFERROR(VLOOKUP(L17, Benchmarks!$A$2:$D$15, 3, FALSE), "Not Analyzed")</f>
        <v>0.05289545455</v>
      </c>
      <c r="BY17" s="17" t="str">
        <f t="shared" si="13"/>
        <v>Meets Average</v>
      </c>
      <c r="BZ17" s="17" t="str">
        <f t="shared" si="14"/>
        <v>Investment: Griffin Capital Tulsa BTR DST | Sponsor: Griffin Capital | Structure: Delaware Statutory Trust (DST) | Status: Available | LTV: 46.51% LTV | Availability: 0.789073448329021 | Location: OK | Strategy: Core-Plus | 721 Exchange Exit: None | Estimated Hold: 10 years | Cap Rate Equivalent: 0.0833018780957615 | Minimum Investment: 100000</v>
      </c>
      <c r="CA17" s="17" t="str">
        <f>A17&amp;" ("&amp;H17&amp;")"&amp;CHAR(10)&amp;CHAR(10)&amp;"Griffin Capital Tulsa BTR is a 138-home build-to-rent single-family community in Jenks, OK (Tulsa MSA), built 2022-2023 and acquired in January 2026 for $37.25M, ~2.7% below appraised value. Capitalization is $23.52M equity plus a $20.46M JLL loan (5.07% "&amp;"fixed, full-term interest-only, 46.5% LTV), under an absolute-net master lease to a Griffin affiliate. Monthly distributions are forecast from 4.42% rising to 5.76% by Year 10 (~4.82% average) on projected Tulsa rent growth, with disposition anticipated b"&amp;"efore the February 2036 loan maturity."&amp;CHAR(10)&amp;CHAR(10)&amp;"&gt;&gt; Download Offering Documents"&amp;CHAR(10)&amp;"https://www.baker1031.com/sponsors/griffin-capital"</f>
        <v>Griffin Capital Tulsa BTR DST (46.51% LTV)
Griffin Capital Tulsa BTR is a 138-home build-to-rent single-family community in Jenks, OK (Tulsa MSA), built 2022-2023 and acquired in January 2026 for $37.25M, ~2.7% below appraised value. Capitalization is $23.52M equity plus a $20.46M JLL loan (5.07% fixed, full-term interest-only, 46.5% LTV), under an absolute-net master lease to a Griffin affiliate. Monthly distributions are forecast from 4.42% rising to 5.76% by Year 10 (~4.82% average) on projected Tulsa rent growth, with disposition anticipated before the February 2036 loan maturity.
&gt;&gt; Download Offering Documents
https://www.baker1031.com/sponsors/griffin-capital</v>
      </c>
    </row>
    <row r="18">
      <c r="A18" s="8" t="s">
        <v>412</v>
      </c>
      <c r="B18" s="8" t="s">
        <v>393</v>
      </c>
      <c r="C18" s="8" t="s">
        <v>81</v>
      </c>
      <c r="D18" s="8" t="s">
        <v>82</v>
      </c>
      <c r="E18" s="9">
        <v>1.30424419E8</v>
      </c>
      <c r="F18" s="9">
        <v>5.9873419E7</v>
      </c>
      <c r="G18" s="9">
        <v>7.0551E7</v>
      </c>
      <c r="H18" s="8" t="s">
        <v>413</v>
      </c>
      <c r="I18" s="9">
        <v>2.1761602E7</v>
      </c>
      <c r="J18" s="10">
        <v>46168.0</v>
      </c>
      <c r="K18" s="11">
        <f t="shared" si="1"/>
        <v>0.3634601525</v>
      </c>
      <c r="L18" s="8" t="s">
        <v>176</v>
      </c>
      <c r="M18" s="8" t="s">
        <v>414</v>
      </c>
      <c r="N18" s="12" t="str">
        <f>IFERROR(__xludf.DUMMYFUNCTION("TEXTJOIN("", "", TRUE, SORT(TRANSPOSE(SPLIT(M18, "", ""))))"),"MO")</f>
        <v>MO</v>
      </c>
      <c r="O18" s="12" t="s">
        <v>415</v>
      </c>
      <c r="P18" s="8" t="s">
        <v>113</v>
      </c>
      <c r="Q18" s="8" t="s">
        <v>258</v>
      </c>
      <c r="R18" s="8" t="s">
        <v>89</v>
      </c>
      <c r="S18" s="8" t="s">
        <v>416</v>
      </c>
      <c r="T18" s="8" t="s">
        <v>417</v>
      </c>
      <c r="U18" s="8" t="s">
        <v>418</v>
      </c>
      <c r="V18" s="8" t="s">
        <v>419</v>
      </c>
      <c r="W18" s="8" t="s">
        <v>420</v>
      </c>
      <c r="X18" s="8" t="s">
        <v>421</v>
      </c>
      <c r="Y18" s="8" t="s">
        <v>422</v>
      </c>
      <c r="Z18" s="8" t="s">
        <v>423</v>
      </c>
      <c r="AA18" s="8" t="s">
        <v>424</v>
      </c>
      <c r="AB18" s="11">
        <v>0.043</v>
      </c>
      <c r="AC18" s="11">
        <v>0.0433</v>
      </c>
      <c r="AD18" s="11">
        <v>0.0454</v>
      </c>
      <c r="AE18" s="11">
        <v>0.0486</v>
      </c>
      <c r="AF18" s="11">
        <v>0.052</v>
      </c>
      <c r="AG18" s="11">
        <v>0.0553</v>
      </c>
      <c r="AH18" s="11">
        <v>0.0588</v>
      </c>
      <c r="AI18" s="11">
        <v>0.0581</v>
      </c>
      <c r="AJ18" s="11">
        <v>0.0564</v>
      </c>
      <c r="AK18" s="11">
        <v>0.0634</v>
      </c>
      <c r="AL18" s="11">
        <v>0.0524</v>
      </c>
      <c r="AM18" s="8" t="s">
        <v>99</v>
      </c>
      <c r="AN18" s="13">
        <f t="shared" si="2"/>
        <v>0.08488115109</v>
      </c>
      <c r="AO18" s="8" t="s">
        <v>190</v>
      </c>
      <c r="AP18" s="8" t="s">
        <v>425</v>
      </c>
      <c r="AQ18" s="8" t="s">
        <v>89</v>
      </c>
      <c r="AR18" s="8" t="s">
        <v>89</v>
      </c>
      <c r="AS18" s="8" t="s">
        <v>145</v>
      </c>
      <c r="AT18" s="12" t="s">
        <v>426</v>
      </c>
      <c r="AU18" s="8" t="s">
        <v>427</v>
      </c>
      <c r="AV18" s="22" t="s">
        <v>428</v>
      </c>
      <c r="AW18" s="15"/>
      <c r="AX18" s="9">
        <v>100000.0</v>
      </c>
      <c r="AY18" s="16" t="str">
        <f>IFERROR(__xludf.DUMMYFUNCTION("IF(ISBLANK(AV18), """", IF(REGEXMATCH(AV18, ""/file/d/""), ""https://lh3.googleusercontent.com/d/"" &amp; REGEXEXTRACT(AV18, ""/d/([a-zA-Z0-9_-]+)""), AV18))"),"https://lh3.googleusercontent.com/d/1omOzSnEon3I7S2NdG3ip_OtT2xqBuTPk")</f>
        <v>https://lh3.googleusercontent.com/d/1omOzSnEon3I7S2NdG3ip_OtT2xqBuTPk</v>
      </c>
      <c r="AZ18" s="13">
        <f t="shared" si="3"/>
        <v>0.1114470588</v>
      </c>
      <c r="BA18" s="17" t="str">
        <f t="shared" si="4"/>
        <v>Est. Tax-Adjusted Yield⁹</v>
      </c>
      <c r="BB18" s="17" t="str">
        <f t="shared" si="5"/>
        <v>Offering Documents Available By Request</v>
      </c>
      <c r="BC18" s="8" t="s">
        <v>429</v>
      </c>
      <c r="BD18" s="8" t="s">
        <v>411</v>
      </c>
      <c r="BE18" s="8" t="s">
        <v>197</v>
      </c>
      <c r="BF18" s="17" t="str">
        <f t="shared" si="6"/>
        <v>Learn More About Griffin Capital</v>
      </c>
      <c r="BG18" s="17" t="str">
        <f t="shared" si="7"/>
        <v>Learn More About Multifamily Properties</v>
      </c>
      <c r="BH18" s="17">
        <f t="array" ref="BH18">IFERROR(XLOOKUP($B18, 'Sponsor Connection'!$A:$A, 'Sponsor Connection'!$B:$B), )</f>
        <v>1995</v>
      </c>
      <c r="BI18" s="17" t="str">
        <f t="array" ref="BI18">IFERROR(XLOOKUP($B18, 'Sponsor Connection'!$A:$A, 'Sponsor Connection'!$D:$D), )</f>
        <v>Griffin Capital is an El Segundo alternative asset manager that has owned or sponsored roughly $23 billion of real estate over its history and now reaches exchangers through Griffin Institutional Property Exchange (GPX), focused on Class A multifamily and net-lease DSTs. A defining feature is alignment: its executives have co-invested more than $300 million alongside investors. With a heritage in non-traded REITs and interval funds and a portfolio spanning roughly 29 markets, Griffin pairs institutional underwriting with unusually strong sponsor skin-in-the-game.</v>
      </c>
      <c r="BJ18" s="18">
        <f t="array" ref="BJ18">IF($B18="", "", LET(aum, IFERROR(XLOOKUP($B18, 'Sponsor Connection'!$A:$A, 'Sponsor Connection'!$C:$C), ""), IF(OR(aum="", aum=0), "Not Reported", aum)))</f>
        <v>3500000000</v>
      </c>
      <c r="BK18" s="19">
        <f t="array" ref="BK18">IF(ISBLANK($B18), "", LET(val, IFERROR(XLOOKUP($B18, 'Sponsor Connection'!$A:$A, 'Sponsor Connection'!$M:$M), ""), IF(OR(ISBLANK(val), val="", val=0), "Not Reported", val)))</f>
        <v>2</v>
      </c>
      <c r="BL18" s="13">
        <f t="array" ref="BL18">IF(ISBLANK($B18), "", LET(val, IFERROR(XLOOKUP($B18, 'Sponsor Connection'!$A:$A, 'Sponsor Connection'!$N:$N), ""), IF(val="", "Not Reported", val)))</f>
        <v>0.1804</v>
      </c>
      <c r="BM18" s="20">
        <f t="array" ref="BM18">IF(ISBLANK($B18), "", LET(val, IFERROR(XLOOKUP($B18, 'Sponsor Connection'!$A:$A, 'Sponsor Connection'!$O:$O), ""), IF(val="", "Not Reported", val)))</f>
        <v>1.715</v>
      </c>
      <c r="BN18" s="21">
        <f t="array" ref="BN18">IF(ISBLANK($B18), "", LET(val, IFERROR(XLOOKUP($B18, 'Sponsor Connection'!$A:$A, 'Sponsor Connection'!$P:$P), ""), IF(val="", "Not Reported", val)))</f>
        <v>4.415</v>
      </c>
      <c r="BO18" s="13">
        <f t="array" ref="BO18">IF(ISBLANK($B18), "", LET(val, IFERROR(XLOOKUP($B18, 'Sponsor Connection'!$A:$A, 'Sponsor Connection'!$Q:$Q), ""), IF(val="", "Not Reported", val)))</f>
        <v>1</v>
      </c>
      <c r="BP18" s="16" t="str">
        <f t="array" ref="BP18">IFERROR(XLOOKUP($B18, 'Sponsor Connection'!$A:$A, 'Sponsor Connection'!$L:$L), )</f>
        <v>https://img.logo.dev/griffincapital.com?token=pk_FIVsDKgZTvCedVXXtt2rEg&amp;size=200&amp;retina=true</v>
      </c>
      <c r="BQ18" s="13">
        <f t="shared" si="8"/>
        <v>0.0524</v>
      </c>
      <c r="BR18" s="13">
        <f>IFERROR(VLOOKUP(L18, Benchmarks!$A$2:$D$15, 2, FALSE), "Not Analyzed")</f>
        <v>0.050338</v>
      </c>
      <c r="BS18" s="17" t="str">
        <f t="shared" si="9"/>
        <v>Meets Average</v>
      </c>
      <c r="BT18" s="13">
        <f t="shared" si="10"/>
        <v>0.4744186047</v>
      </c>
      <c r="BU18" s="13">
        <f>IFERROR(VLOOKUP(L18, Benchmarks!$A$2:$D$15, 4, FALSE), "Not Analyzed")</f>
        <v>0.2473634914</v>
      </c>
      <c r="BV18" s="17" t="str">
        <f t="shared" si="11"/>
        <v>Above Average</v>
      </c>
      <c r="BW18" s="13">
        <f t="shared" si="12"/>
        <v>0.0634</v>
      </c>
      <c r="BX18" s="13">
        <f>IFERROR(VLOOKUP(L18, Benchmarks!$A$2:$D$15, 3, FALSE), "Not Analyzed")</f>
        <v>0.05289545455</v>
      </c>
      <c r="BY18" s="17" t="str">
        <f t="shared" si="13"/>
        <v>Above Average</v>
      </c>
      <c r="BZ18" s="17" t="str">
        <f t="shared" si="14"/>
        <v>Investment: Griffin Capital (Union – Kansas City, MO) DST | Sponsor: Griffin Capital | Structure: Delaware Statutory Trust (DST) | Status: Available | LTV: 54.09% LTV | Availability: 0.363460152492711 | Location: MO | Strategy: Core-Plus | 721 Exchange Exit: None | Estimated Hold: 10 years | Cap Rate Equivalent: 0.0848811510857824 | Minimum Investment: 100000</v>
      </c>
      <c r="CA18" s="17" t="str">
        <f>A18&amp;" ("&amp;H18&amp;")"&amp;CHAR(10)&amp;CHAR(10)&amp;"Griffin Capital Union is a 407-unit Class A multifamily community on the Berkley Riverfront in Kansas City, MO, held as a leasehold under a 99-year prepaid ground lease from the Port Authority engineered to deliver local real-estate-tax abatement while co"&amp;"nveying substantially all benefits and burdens of fee ownership. The trust acquired the asset in 2025 for $113.5M and financed it with a $70.55M KeyBank/Fannie Mae DUS loan (4.83% fixed, full-term interest-only, 54.1% LTV). Total cash-on-cash is forecast "&amp;"to rise from 4.30% to 6.34% (~5.24% average) as supplemental rent grows, with disposition anticipated before the December 2035 loan maturity."&amp;CHAR(10)&amp;CHAR(10)&amp;"&gt;&gt; Download Offering Documents"&amp;CHAR(10)&amp;"https://www.baker1031.com/sponsors/griffin-capital"</f>
        <v>Griffin Capital (Union – Kansas City, MO) DST (54.09% LTV)
Griffin Capital Union is a 407-unit Class A multifamily community on the Berkley Riverfront in Kansas City, MO, held as a leasehold under a 99-year prepaid ground lease from the Port Authority engineered to deliver local real-estate-tax abatement while conveying substantially all benefits and burdens of fee ownership. The trust acquired the asset in 2025 for $113.5M and financed it with a $70.55M KeyBank/Fannie Mae DUS loan (4.83% fixed, full-term interest-only, 54.1% LTV). Total cash-on-cash is forecast to rise from 4.30% to 6.34% (~5.24% average) as supplemental rent grows, with disposition anticipated before the December 2035 loan maturity.
&gt;&gt; Download Offering Documents
https://www.baker1031.com/sponsors/griffin-capital</v>
      </c>
    </row>
    <row r="19">
      <c r="A19" s="8" t="s">
        <v>430</v>
      </c>
      <c r="B19" s="8" t="s">
        <v>431</v>
      </c>
      <c r="C19" s="8" t="s">
        <v>81</v>
      </c>
      <c r="D19" s="8" t="s">
        <v>199</v>
      </c>
      <c r="E19" s="9">
        <v>3.681E7</v>
      </c>
      <c r="F19" s="9">
        <v>1.731E7</v>
      </c>
      <c r="G19" s="9">
        <v>1.95E7</v>
      </c>
      <c r="H19" s="8" t="s">
        <v>432</v>
      </c>
      <c r="I19" s="9">
        <v>197990.0</v>
      </c>
      <c r="J19" s="10">
        <v>46202.0</v>
      </c>
      <c r="K19" s="11">
        <f t="shared" si="1"/>
        <v>0.01143789717</v>
      </c>
      <c r="L19" s="8" t="s">
        <v>433</v>
      </c>
      <c r="M19" s="8" t="s">
        <v>434</v>
      </c>
      <c r="N19" s="12" t="str">
        <f>IFERROR(__xludf.DUMMYFUNCTION("TEXTJOIN("", "", TRUE, SORT(TRANSPOSE(SPLIT(M19, "", ""))))"),"NY")</f>
        <v>NY</v>
      </c>
      <c r="O19" s="12" t="s">
        <v>256</v>
      </c>
      <c r="P19" s="8" t="s">
        <v>113</v>
      </c>
      <c r="Q19" s="8" t="s">
        <v>258</v>
      </c>
      <c r="R19" s="8" t="s">
        <v>89</v>
      </c>
      <c r="S19" s="8" t="s">
        <v>435</v>
      </c>
      <c r="T19" s="8" t="s">
        <v>436</v>
      </c>
      <c r="U19" s="8" t="s">
        <v>437</v>
      </c>
      <c r="V19" s="8" t="s">
        <v>438</v>
      </c>
      <c r="W19" s="8" t="s">
        <v>439</v>
      </c>
      <c r="X19" s="8" t="s">
        <v>440</v>
      </c>
      <c r="Y19" s="8" t="s">
        <v>441</v>
      </c>
      <c r="Z19" s="8" t="s">
        <v>442</v>
      </c>
      <c r="AA19" s="8" t="s">
        <v>443</v>
      </c>
      <c r="AB19" s="11">
        <v>0.047</v>
      </c>
      <c r="AC19" s="11">
        <v>0.047</v>
      </c>
      <c r="AD19" s="11">
        <v>0.0475</v>
      </c>
      <c r="AE19" s="11">
        <v>0.0475</v>
      </c>
      <c r="AF19" s="11">
        <v>0.05</v>
      </c>
      <c r="AG19" s="11">
        <v>0.0525</v>
      </c>
      <c r="AH19" s="11">
        <v>0.056</v>
      </c>
      <c r="AI19" s="11">
        <v>0.0595</v>
      </c>
      <c r="AJ19" s="11">
        <v>0.063</v>
      </c>
      <c r="AK19" s="11">
        <v>0.0931</v>
      </c>
      <c r="AL19" s="11">
        <v>0.0563</v>
      </c>
      <c r="AM19" s="8" t="s">
        <v>99</v>
      </c>
      <c r="AN19" s="13">
        <f t="shared" si="2"/>
        <v>0.08651061344</v>
      </c>
      <c r="AO19" s="8" t="s">
        <v>444</v>
      </c>
      <c r="AP19" s="8" t="s">
        <v>445</v>
      </c>
      <c r="AQ19" s="8" t="s">
        <v>89</v>
      </c>
      <c r="AR19" s="8" t="s">
        <v>89</v>
      </c>
      <c r="AS19" s="8" t="s">
        <v>145</v>
      </c>
      <c r="AT19" s="12" t="s">
        <v>446</v>
      </c>
      <c r="AU19" s="8" t="s">
        <v>447</v>
      </c>
      <c r="AV19" s="22" t="s">
        <v>448</v>
      </c>
      <c r="AW19" s="15"/>
      <c r="AX19" s="9">
        <v>100000.0</v>
      </c>
      <c r="AY19" s="16" t="str">
        <f>IFERROR(__xludf.DUMMYFUNCTION("IF(ISBLANK(AV19), """", IF(REGEXMATCH(AV19, ""/file/d/""), ""https://lh3.googleusercontent.com/d/"" &amp; REGEXEXTRACT(AV19, ""/d/([a-zA-Z0-9_-]+)""), AV19))"),"https://lh3.googleusercontent.com/d/1Nx4bKTXSCLsQW_UJjAC_tb8ONN47gYgq")</f>
        <v>https://lh3.googleusercontent.com/d/1Nx4bKTXSCLsQW_UJjAC_tb8ONN47gYgq</v>
      </c>
      <c r="AZ19" s="13">
        <f t="shared" si="3"/>
        <v>0.1154470588</v>
      </c>
      <c r="BA19" s="17" t="str">
        <f t="shared" si="4"/>
        <v>Est. Tax-Adjusted Yield⁹</v>
      </c>
      <c r="BB19" s="17" t="str">
        <f t="shared" si="5"/>
        <v>Offering Documents Available By Request</v>
      </c>
      <c r="BC19" s="8" t="s">
        <v>449</v>
      </c>
      <c r="BD19" s="8" t="s">
        <v>450</v>
      </c>
      <c r="BE19" s="8" t="s">
        <v>451</v>
      </c>
      <c r="BF19" s="17" t="str">
        <f t="shared" si="6"/>
        <v>Learn More About Livingston Street Capital</v>
      </c>
      <c r="BG19" s="17" t="str">
        <f t="shared" si="7"/>
        <v>Learn More About Senior Living Properties</v>
      </c>
      <c r="BH19" s="17">
        <f t="array" ref="BH19">IFERROR(XLOOKUP($B19, 'Sponsor Connection'!$A:$A, 'Sponsor Connection'!$B:$B), )</f>
        <v>2016</v>
      </c>
      <c r="BI19" s="17" t="str">
        <f t="array" ref="BI19">IFERROR(XLOOKUP($B19, 'Sponsor Connection'!$A:$A, 'Sponsor Connection'!$D:$D), )</f>
        <v>Livingston Street Capital is a New York thematic sponsor, founded in 2016, built around a focused demographic bet on Active Adult (55+) and Independent Living housing, which it operates through its vertically integrated Allure Lifestyle Communities platform. With more than 2,300 active-adult and independent-living units plus over a million square feet of commercial assets, and a leadership team citing $20 billion-plus in career transactions, the firm pairs a clear secular thesis with operating control. Current AUM is not publicly disclosed, but the specialized, operator-led model is its defining feature.</v>
      </c>
      <c r="BJ19" s="18">
        <f t="array" ref="BJ19">IF($B19="", "", LET(aum, IFERROR(XLOOKUP($B19, 'Sponsor Connection'!$A:$A, 'Sponsor Connection'!$C:$C), ""), IF(OR(aum="", aum=0), "Not Reported", aum)))</f>
        <v>400000000</v>
      </c>
      <c r="BK19" s="19">
        <f t="array" ref="BK19">IF(ISBLANK($B19), "", LET(val, IFERROR(XLOOKUP($B19, 'Sponsor Connection'!$A:$A, 'Sponsor Connection'!$M:$M), ""), IF(OR(ISBLANK(val), val="", val=0), "Not Reported", val)))</f>
        <v>4</v>
      </c>
      <c r="BL19" s="13">
        <f t="array" ref="BL19">IF(ISBLANK($B19), "", LET(val, IFERROR(XLOOKUP($B19, 'Sponsor Connection'!$A:$A, 'Sponsor Connection'!$N:$N), ""), IF(val="", "Not Reported", val)))</f>
        <v>0.085175</v>
      </c>
      <c r="BM19" s="20">
        <f t="array" ref="BM19">IF(ISBLANK($B19), "", LET(val, IFERROR(XLOOKUP($B19, 'Sponsor Connection'!$A:$A, 'Sponsor Connection'!$O:$O), ""), IF(val="", "Not Reported", val)))</f>
        <v>1.3825</v>
      </c>
      <c r="BN19" s="21">
        <f t="array" ref="BN19">IF(ISBLANK($B19), "", LET(val, IFERROR(XLOOKUP($B19, 'Sponsor Connection'!$A:$A, 'Sponsor Connection'!$P:$P), ""), IF(val="", "Not Reported", val)))</f>
        <v>4.21</v>
      </c>
      <c r="BO19" s="13">
        <f t="array" ref="BO19">IF(ISBLANK($B19), "", LET(val, IFERROR(XLOOKUP($B19, 'Sponsor Connection'!$A:$A, 'Sponsor Connection'!$Q:$Q), ""), IF(val="", "Not Reported", val)))</f>
        <v>1</v>
      </c>
      <c r="BP19" s="16" t="str">
        <f t="array" ref="BP19">IFERROR(XLOOKUP($B19, 'Sponsor Connection'!$A:$A, 'Sponsor Connection'!$L:$L), )</f>
        <v>https://img.logo.dev/livingstonstreetcapital.com?token=pk_FIVsDKgZTvCedVXXtt2rEg&amp;size=200&amp;retina=true</v>
      </c>
      <c r="BQ19" s="13">
        <f t="shared" si="8"/>
        <v>0.0563</v>
      </c>
      <c r="BR19" s="13" t="str">
        <f>IFERROR(VLOOKUP(L19, Benchmarks!$A$2:$D$15, 2, FALSE), "Not Analyzed")</f>
        <v>Not Analyzed</v>
      </c>
      <c r="BS19" s="17" t="str">
        <f t="shared" si="9"/>
        <v>Not Analyzed</v>
      </c>
      <c r="BT19" s="13">
        <f t="shared" si="10"/>
        <v>0.9808510638</v>
      </c>
      <c r="BU19" s="13" t="str">
        <f>IFERROR(VLOOKUP(L19, Benchmarks!$A$2:$D$15, 4, FALSE), "Not Analyzed")</f>
        <v>Not Analyzed</v>
      </c>
      <c r="BV19" s="17" t="str">
        <f t="shared" si="11"/>
        <v>Not Analyzed</v>
      </c>
      <c r="BW19" s="13">
        <f t="shared" si="12"/>
        <v>0.0931</v>
      </c>
      <c r="BX19" s="13" t="str">
        <f>IFERROR(VLOOKUP(L19, Benchmarks!$A$2:$D$15, 3, FALSE), "Not Analyzed")</f>
        <v>Not Analyzed</v>
      </c>
      <c r="BY19" s="17" t="str">
        <f t="shared" si="13"/>
        <v>Not Analyzed</v>
      </c>
      <c r="BZ19" s="17" t="str">
        <f t="shared" si="14"/>
        <v>Investment: LSC-Latham NY, DST | Sponsor: Livingston Street Capital | Structure: Delaware Statutory Trust (DST) | Status: Limited Availability | LTV: 52.97% LTV | Availability: 0.0114378971692663 | Location: NY | Strategy: Core-Plus | 721 Exchange Exit: None | Estimated Hold: 10 years | Cap Rate Equivalent: 0.0865106134408189 | Minimum Investment: 100000</v>
      </c>
      <c r="CA19" s="17" t="str">
        <f>A19&amp;" ("&amp;H19&amp;")"&amp;CHAR(10)&amp;CHAR(10)&amp;"LSC-Latham is a 144-unit age-restricted (55+) active-adult and independent-living community in the Albany MSA (Latham, NY), built in 2006 and 98.6% leased at acquisition. The trust acquired the asset for $30.125M and financed it with a $19.5M Bank of Mont"&amp;"real loan (6.175% fixed, full-term interest-only, 52.97% LTV), under a master lease in which additional and bonus rent fund distributions. Distributions are forecast to ramp from 4.70% to 6.30% by Year 9 (Year 10 reflects a reserve release), averaging 5.6"&amp;"3% over the hold."&amp;CHAR(10)&amp;CHAR(10)&amp;"&gt;&gt; Download Offering Documents"&amp;CHAR(10)&amp;"https://www.baker1031.com/sponsors/livingston-street-capital"</f>
        <v>LSC-Latham NY, DST (52.97% LTV)
LSC-Latham is a 144-unit age-restricted (55+) active-adult and independent-living community in the Albany MSA (Latham, NY), built in 2006 and 98.6% leased at acquisition. The trust acquired the asset for $30.125M and financed it with a $19.5M Bank of Montreal loan (6.175% fixed, full-term interest-only, 52.97% LTV), under a master lease in which additional and bonus rent fund distributions. Distributions are forecast to ramp from 4.70% to 6.30% by Year 9 (Year 10 reflects a reserve release), averaging 5.63% over the hold.
&gt;&gt; Download Offering Documents
https://www.baker1031.com/sponsors/livingston-street-capital</v>
      </c>
    </row>
    <row r="20">
      <c r="A20" s="8" t="s">
        <v>452</v>
      </c>
      <c r="B20" s="8" t="s">
        <v>431</v>
      </c>
      <c r="C20" s="8" t="s">
        <v>81</v>
      </c>
      <c r="D20" s="8" t="s">
        <v>199</v>
      </c>
      <c r="E20" s="9">
        <v>2.647E7</v>
      </c>
      <c r="F20" s="9">
        <v>1.297E7</v>
      </c>
      <c r="G20" s="9">
        <v>1.35E7</v>
      </c>
      <c r="H20" s="8" t="s">
        <v>453</v>
      </c>
      <c r="I20" s="9">
        <v>150000.0</v>
      </c>
      <c r="J20" s="10">
        <v>46202.0</v>
      </c>
      <c r="K20" s="11">
        <f t="shared" si="1"/>
        <v>0.01156515035</v>
      </c>
      <c r="L20" s="8" t="s">
        <v>433</v>
      </c>
      <c r="M20" s="8" t="s">
        <v>454</v>
      </c>
      <c r="N20" s="12" t="str">
        <f>IFERROR(__xludf.DUMMYFUNCTION("TEXTJOIN("", "", TRUE, SORT(TRANSPOSE(SPLIT(M20, "", ""))))"),"UT")</f>
        <v>UT</v>
      </c>
      <c r="O20" s="12" t="s">
        <v>455</v>
      </c>
      <c r="P20" s="8" t="s">
        <v>113</v>
      </c>
      <c r="Q20" s="8" t="s">
        <v>258</v>
      </c>
      <c r="R20" s="8" t="s">
        <v>89</v>
      </c>
      <c r="S20" s="8" t="s">
        <v>456</v>
      </c>
      <c r="T20" s="8" t="s">
        <v>457</v>
      </c>
      <c r="U20" s="8" t="s">
        <v>458</v>
      </c>
      <c r="V20" s="8" t="s">
        <v>459</v>
      </c>
      <c r="W20" s="8" t="s">
        <v>460</v>
      </c>
      <c r="X20" s="8" t="s">
        <v>461</v>
      </c>
      <c r="Y20" s="8" t="s">
        <v>462</v>
      </c>
      <c r="Z20" s="8" t="s">
        <v>463</v>
      </c>
      <c r="AA20" s="8" t="s">
        <v>464</v>
      </c>
      <c r="AB20" s="11">
        <v>0.047</v>
      </c>
      <c r="AC20" s="11">
        <v>0.047</v>
      </c>
      <c r="AD20" s="11">
        <v>0.0475</v>
      </c>
      <c r="AE20" s="11">
        <v>0.0475</v>
      </c>
      <c r="AF20" s="11">
        <v>0.048</v>
      </c>
      <c r="AG20" s="11">
        <v>0.049</v>
      </c>
      <c r="AH20" s="11">
        <v>0.053</v>
      </c>
      <c r="AI20" s="11">
        <v>0.0565</v>
      </c>
      <c r="AJ20" s="11">
        <v>0.061</v>
      </c>
      <c r="AK20" s="11">
        <v>0.0731</v>
      </c>
      <c r="AL20" s="11">
        <v>0.053</v>
      </c>
      <c r="AM20" s="8" t="s">
        <v>99</v>
      </c>
      <c r="AN20" s="13">
        <f t="shared" si="2"/>
        <v>0.08600591062</v>
      </c>
      <c r="AO20" s="8" t="s">
        <v>465</v>
      </c>
      <c r="AP20" s="8" t="s">
        <v>466</v>
      </c>
      <c r="AQ20" s="8" t="s">
        <v>89</v>
      </c>
      <c r="AR20" s="8" t="s">
        <v>89</v>
      </c>
      <c r="AS20" s="8" t="s">
        <v>145</v>
      </c>
      <c r="AT20" s="12" t="s">
        <v>146</v>
      </c>
      <c r="AU20" s="8" t="s">
        <v>467</v>
      </c>
      <c r="AV20" s="22" t="s">
        <v>468</v>
      </c>
      <c r="AW20" s="15"/>
      <c r="AX20" s="9">
        <v>100000.0</v>
      </c>
      <c r="AY20" s="16" t="str">
        <f>IFERROR(__xludf.DUMMYFUNCTION("IF(ISBLANK(AV20), """", IF(REGEXMATCH(AV20, ""/file/d/""), ""https://lh3.googleusercontent.com/d/"" &amp; REGEXEXTRACT(AV20, ""/d/([a-zA-Z0-9_-]+)""), AV20))"),"https://lh3.googleusercontent.com/d/14TW5JX5X4JShfMJ5Q9ZNuYF-unKL0gGR")</f>
        <v>https://lh3.googleusercontent.com/d/14TW5JX5X4JShfMJ5Q9ZNuYF-unKL0gGR</v>
      </c>
      <c r="AZ20" s="13">
        <f t="shared" si="3"/>
        <v>0.1154470588</v>
      </c>
      <c r="BA20" s="17" t="str">
        <f t="shared" si="4"/>
        <v>Est. Tax-Adjusted Yield⁹</v>
      </c>
      <c r="BB20" s="17" t="str">
        <f t="shared" si="5"/>
        <v>Offering Documents Available By Request</v>
      </c>
      <c r="BC20" s="8" t="s">
        <v>469</v>
      </c>
      <c r="BD20" s="8" t="s">
        <v>450</v>
      </c>
      <c r="BE20" s="8" t="s">
        <v>451</v>
      </c>
      <c r="BF20" s="17" t="str">
        <f t="shared" si="6"/>
        <v>Learn More About Livingston Street Capital</v>
      </c>
      <c r="BG20" s="17" t="str">
        <f t="shared" si="7"/>
        <v>Learn More About Senior Living Properties</v>
      </c>
      <c r="BH20" s="17">
        <f t="array" ref="BH20">IFERROR(XLOOKUP($B20, 'Sponsor Connection'!$A:$A, 'Sponsor Connection'!$B:$B), )</f>
        <v>2016</v>
      </c>
      <c r="BI20" s="17" t="str">
        <f t="array" ref="BI20">IFERROR(XLOOKUP($B20, 'Sponsor Connection'!$A:$A, 'Sponsor Connection'!$D:$D), )</f>
        <v>Livingston Street Capital is a New York thematic sponsor, founded in 2016, built around a focused demographic bet on Active Adult (55+) and Independent Living housing, which it operates through its vertically integrated Allure Lifestyle Communities platform. With more than 2,300 active-adult and independent-living units plus over a million square feet of commercial assets, and a leadership team citing $20 billion-plus in career transactions, the firm pairs a clear secular thesis with operating control. Current AUM is not publicly disclosed, but the specialized, operator-led model is its defining feature.</v>
      </c>
      <c r="BJ20" s="18">
        <f t="array" ref="BJ20">IF($B20="", "", LET(aum, IFERROR(XLOOKUP($B20, 'Sponsor Connection'!$A:$A, 'Sponsor Connection'!$C:$C), ""), IF(OR(aum="", aum=0), "Not Reported", aum)))</f>
        <v>400000000</v>
      </c>
      <c r="BK20" s="19">
        <f t="array" ref="BK20">IF(ISBLANK($B20), "", LET(val, IFERROR(XLOOKUP($B20, 'Sponsor Connection'!$A:$A, 'Sponsor Connection'!$M:$M), ""), IF(OR(ISBLANK(val), val="", val=0), "Not Reported", val)))</f>
        <v>4</v>
      </c>
      <c r="BL20" s="13">
        <f t="array" ref="BL20">IF(ISBLANK($B20), "", LET(val, IFERROR(XLOOKUP($B20, 'Sponsor Connection'!$A:$A, 'Sponsor Connection'!$N:$N), ""), IF(val="", "Not Reported", val)))</f>
        <v>0.085175</v>
      </c>
      <c r="BM20" s="20">
        <f t="array" ref="BM20">IF(ISBLANK($B20), "", LET(val, IFERROR(XLOOKUP($B20, 'Sponsor Connection'!$A:$A, 'Sponsor Connection'!$O:$O), ""), IF(val="", "Not Reported", val)))</f>
        <v>1.3825</v>
      </c>
      <c r="BN20" s="21">
        <f t="array" ref="BN20">IF(ISBLANK($B20), "", LET(val, IFERROR(XLOOKUP($B20, 'Sponsor Connection'!$A:$A, 'Sponsor Connection'!$P:$P), ""), IF(val="", "Not Reported", val)))</f>
        <v>4.21</v>
      </c>
      <c r="BO20" s="13">
        <f t="array" ref="BO20">IF(ISBLANK($B20), "", LET(val, IFERROR(XLOOKUP($B20, 'Sponsor Connection'!$A:$A, 'Sponsor Connection'!$Q:$Q), ""), IF(val="", "Not Reported", val)))</f>
        <v>1</v>
      </c>
      <c r="BP20" s="16" t="str">
        <f t="array" ref="BP20">IFERROR(XLOOKUP($B20, 'Sponsor Connection'!$A:$A, 'Sponsor Connection'!$L:$L), )</f>
        <v>https://img.logo.dev/livingstonstreetcapital.com?token=pk_FIVsDKgZTvCedVXXtt2rEg&amp;size=200&amp;retina=true</v>
      </c>
      <c r="BQ20" s="13">
        <f t="shared" si="8"/>
        <v>0.053</v>
      </c>
      <c r="BR20" s="13" t="str">
        <f>IFERROR(VLOOKUP(L20, Benchmarks!$A$2:$D$15, 2, FALSE), "Not Analyzed")</f>
        <v>Not Analyzed</v>
      </c>
      <c r="BS20" s="17" t="str">
        <f t="shared" si="9"/>
        <v>Not Analyzed</v>
      </c>
      <c r="BT20" s="13">
        <f t="shared" si="10"/>
        <v>0.5553191489</v>
      </c>
      <c r="BU20" s="13" t="str">
        <f>IFERROR(VLOOKUP(L20, Benchmarks!$A$2:$D$15, 4, FALSE), "Not Analyzed")</f>
        <v>Not Analyzed</v>
      </c>
      <c r="BV20" s="17" t="str">
        <f t="shared" si="11"/>
        <v>Not Analyzed</v>
      </c>
      <c r="BW20" s="13">
        <f t="shared" si="12"/>
        <v>0.0731</v>
      </c>
      <c r="BX20" s="13" t="str">
        <f>IFERROR(VLOOKUP(L20, Benchmarks!$A$2:$D$15, 3, FALSE), "Not Analyzed")</f>
        <v>Not Analyzed</v>
      </c>
      <c r="BY20" s="17" t="str">
        <f t="shared" si="13"/>
        <v>Not Analyzed</v>
      </c>
      <c r="BZ20" s="17" t="str">
        <f t="shared" si="14"/>
        <v>Investment: LSC-Salt Lake UT, DST | Sponsor: Livingston Street Capital | Structure: Delaware Statutory Trust (DST) | Status: Limited Availability | LTV: 51.00% LTV | Availability: 0.0115651503469545 | Location: UT | Strategy: Core-Plus | 721 Exchange Exit: None | Estimated Hold: 10 years | Cap Rate Equivalent: 0.0860059106188742 | Minimum Investment: 100000</v>
      </c>
      <c r="CA20" s="17" t="str">
        <f>A20&amp;" ("&amp;H20&amp;")"&amp;CHAR(10)&amp;CHAR(10)&amp;"LSC-Salt Lake is a 94-unit senior-living/active-adult community in an affluent infill Salt Lake City submarket, 98.9% occupied as of January 2026 with a five-mile household income of $122,481. The trust acquired the asset for $21.8M and financed it with a"&amp;" $13.5M Natixis loan (6.04% fixed, full-term interest-only, 51.0% LTV). As a service-intensive operation it carries a ~32% NOI margin on ~$4.6M of EGI, with distributions forecast to ramp from 4.70% to 6.10% by Year 9 (Year 10 reflects a reserve release),"&amp;" averaging 5.30%."&amp;CHAR(10)&amp;CHAR(10)&amp;"&gt;&gt; Download Offering Documents"&amp;CHAR(10)&amp;"https://www.baker1031.com/sponsors/livingston-street-capital"</f>
        <v>LSC-Salt Lake UT, DST (51.00% LTV)
LSC-Salt Lake is a 94-unit senior-living/active-adult community in an affluent infill Salt Lake City submarket, 98.9% occupied as of January 2026 with a five-mile household income of $122,481. The trust acquired the asset for $21.8M and financed it with a $13.5M Natixis loan (6.04% fixed, full-term interest-only, 51.0% LTV). As a service-intensive operation it carries a ~32% NOI margin on ~$4.6M of EGI, with distributions forecast to ramp from 4.70% to 6.10% by Year 9 (Year 10 reflects a reserve release), averaging 5.30%.
&gt;&gt; Download Offering Documents
https://www.baker1031.com/sponsors/livingston-street-capital</v>
      </c>
    </row>
    <row r="21">
      <c r="A21" s="8" t="s">
        <v>470</v>
      </c>
      <c r="B21" s="8" t="s">
        <v>471</v>
      </c>
      <c r="C21" s="8" t="s">
        <v>81</v>
      </c>
      <c r="D21" s="8" t="s">
        <v>82</v>
      </c>
      <c r="E21" s="9">
        <v>4.1905E7</v>
      </c>
      <c r="F21" s="9">
        <v>4.1905E7</v>
      </c>
      <c r="G21" s="9">
        <v>0.0</v>
      </c>
      <c r="H21" s="8" t="s">
        <v>83</v>
      </c>
      <c r="I21" s="9">
        <v>1.5014621E7</v>
      </c>
      <c r="J21" s="10">
        <v>46168.0</v>
      </c>
      <c r="K21" s="11">
        <f t="shared" si="1"/>
        <v>0.3583014199</v>
      </c>
      <c r="L21" s="8" t="s">
        <v>472</v>
      </c>
      <c r="M21" s="8" t="s">
        <v>473</v>
      </c>
      <c r="N21" s="12" t="str">
        <f>IFERROR(__xludf.DUMMYFUNCTION("TEXTJOIN("", "", TRUE, SORT(TRANSPOSE(SPLIT(M21, "", ""))))"),"TX")</f>
        <v>TX</v>
      </c>
      <c r="O21" s="12" t="s">
        <v>474</v>
      </c>
      <c r="P21" s="8" t="s">
        <v>113</v>
      </c>
      <c r="Q21" s="8" t="s">
        <v>88</v>
      </c>
      <c r="R21" s="8" t="s">
        <v>89</v>
      </c>
      <c r="S21" s="8" t="s">
        <v>475</v>
      </c>
      <c r="T21" s="8" t="s">
        <v>476</v>
      </c>
      <c r="U21" s="8" t="s">
        <v>477</v>
      </c>
      <c r="V21" s="8" t="s">
        <v>478</v>
      </c>
      <c r="W21" s="8" t="s">
        <v>479</v>
      </c>
      <c r="X21" s="8" t="s">
        <v>480</v>
      </c>
      <c r="Y21" s="8" t="s">
        <v>481</v>
      </c>
      <c r="Z21" s="8" t="s">
        <v>482</v>
      </c>
      <c r="AA21" s="8" t="s">
        <v>483</v>
      </c>
      <c r="AB21" s="11">
        <v>0.06</v>
      </c>
      <c r="AC21" s="11">
        <v>0.0609</v>
      </c>
      <c r="AD21" s="11">
        <v>0.0618</v>
      </c>
      <c r="AE21" s="11">
        <v>0.0627</v>
      </c>
      <c r="AF21" s="11">
        <v>0.0636</v>
      </c>
      <c r="AG21" s="11">
        <v>0.0644</v>
      </c>
      <c r="AH21" s="11">
        <v>0.0653</v>
      </c>
      <c r="AI21" s="11">
        <v>0.0662</v>
      </c>
      <c r="AJ21" s="11">
        <v>0.0671</v>
      </c>
      <c r="AK21" s="11">
        <v>0.068</v>
      </c>
      <c r="AL21" s="11">
        <v>0.064</v>
      </c>
      <c r="AM21" s="8" t="s">
        <v>99</v>
      </c>
      <c r="AN21" s="13">
        <f t="shared" si="2"/>
        <v>0.0862</v>
      </c>
      <c r="AO21" s="8" t="s">
        <v>100</v>
      </c>
      <c r="AP21" s="8" t="s">
        <v>101</v>
      </c>
      <c r="AQ21" s="8" t="s">
        <v>101</v>
      </c>
      <c r="AR21" s="8" t="s">
        <v>101</v>
      </c>
      <c r="AS21" s="8" t="s">
        <v>101</v>
      </c>
      <c r="AT21" s="12" t="s">
        <v>102</v>
      </c>
      <c r="AU21" s="8" t="s">
        <v>484</v>
      </c>
      <c r="AV21" s="22" t="s">
        <v>485</v>
      </c>
      <c r="AW21" s="15"/>
      <c r="AX21" s="9">
        <v>100000.0</v>
      </c>
      <c r="AY21" s="16" t="str">
        <f>IFERROR(__xludf.DUMMYFUNCTION("IF(ISBLANK(AV21), """", IF(REGEXMATCH(AV21, ""/file/d/""), ""https://lh3.googleusercontent.com/d/"" &amp; REGEXEXTRACT(AV21, ""/d/([a-zA-Z0-9_-]+)""), AV21))"),"https://lh3.googleusercontent.com/d/10N4GHnAWC8KnlbWvIyZUmBqbglrQsW8y")</f>
        <v>https://lh3.googleusercontent.com/d/10N4GHnAWC8KnlbWvIyZUmBqbglrQsW8y</v>
      </c>
      <c r="AZ21" s="13">
        <f t="shared" si="3"/>
        <v>0.1284470588</v>
      </c>
      <c r="BA21" s="17" t="str">
        <f t="shared" si="4"/>
        <v>Est. Tax-Adjusted Yield⁹</v>
      </c>
      <c r="BB21" s="17" t="str">
        <f t="shared" si="5"/>
        <v>Offering Documents Available By Request</v>
      </c>
      <c r="BC21" s="8" t="s">
        <v>486</v>
      </c>
      <c r="BD21" s="8" t="s">
        <v>487</v>
      </c>
      <c r="BE21" s="8" t="s">
        <v>488</v>
      </c>
      <c r="BF21" s="17" t="str">
        <f t="shared" si="6"/>
        <v>Learn More About Moody National</v>
      </c>
      <c r="BG21" s="17" t="str">
        <f t="shared" si="7"/>
        <v>Learn More About Hospitality Properties</v>
      </c>
      <c r="BH21" s="17">
        <f t="array" ref="BH21">IFERROR(XLOOKUP($B21, 'Sponsor Connection'!$A:$A, 'Sponsor Connection'!$B:$B), )</f>
        <v>1996</v>
      </c>
      <c r="BI21" s="17" t="str">
        <f t="array" ref="BI21">IFERROR(XLOOKUP($B21, 'Sponsor Connection'!$A:$A, 'Sponsor Connection'!$D:$D), )</f>
        <v>Moody National is a Houston vertically integrated firm, founded in 1996, specializing in hospitality and multifamily DSTs through a full-service platform—roughly 500 professionals spanning acquisition, development, construction and management, with in-house title and insurance. With $3 billion in total capitalization as of early 2025 and more than 3,000 investors served, its hospitality specialization is comparatively rare among DST sponsors and is backed by genuine operating control. The hotel concentration adds cyclicality, balanced by the multifamily book and integrated execution.</v>
      </c>
      <c r="BJ21" s="18">
        <f t="array" ref="BJ21">IF($B21="", "", LET(aum, IFERROR(XLOOKUP($B21, 'Sponsor Connection'!$A:$A, 'Sponsor Connection'!$C:$C), ""), IF(OR(aum="", aum=0), "Not Reported", aum)))</f>
        <v>3000000000</v>
      </c>
      <c r="BK21" s="19">
        <f t="array" ref="BK21">IF(ISBLANK($B21), "", LET(val, IFERROR(XLOOKUP($B21, 'Sponsor Connection'!$A:$A, 'Sponsor Connection'!$M:$M), ""), IF(OR(ISBLANK(val), val="", val=0), "Not Reported", val)))</f>
        <v>2</v>
      </c>
      <c r="BL21" s="13">
        <f t="array" ref="BL21">IF(ISBLANK($B21), "", LET(val, IFERROR(XLOOKUP($B21, 'Sponsor Connection'!$A:$A, 'Sponsor Connection'!$N:$N), ""), IF(val="", "Not Reported", val)))</f>
        <v>0.1456</v>
      </c>
      <c r="BM21" s="20">
        <f t="array" ref="BM21">IF(ISBLANK($B21), "", LET(val, IFERROR(XLOOKUP($B21, 'Sponsor Connection'!$A:$A, 'Sponsor Connection'!$O:$O), ""), IF(val="", "Not Reported", val)))</f>
        <v>2</v>
      </c>
      <c r="BN21" s="21">
        <f t="array" ref="BN21">IF(ISBLANK($B21), "", LET(val, IFERROR(XLOOKUP($B21, 'Sponsor Connection'!$A:$A, 'Sponsor Connection'!$P:$P), ""), IF(val="", "Not Reported", val)))</f>
        <v>4.645</v>
      </c>
      <c r="BO21" s="13">
        <f t="array" ref="BO21">IF(ISBLANK($B21), "", LET(val, IFERROR(XLOOKUP($B21, 'Sponsor Connection'!$A:$A, 'Sponsor Connection'!$Q:$Q), ""), IF(val="", "Not Reported", val)))</f>
        <v>0.5</v>
      </c>
      <c r="BP21" s="16" t="str">
        <f t="array" ref="BP21">IFERROR(XLOOKUP($B21, 'Sponsor Connection'!$A:$A, 'Sponsor Connection'!$L:$L), )</f>
        <v>https://img.logo.dev/moodynational.com?token=pk_FIVsDKgZTvCedVXXtt2rEg&amp;size=200&amp;retina=true</v>
      </c>
      <c r="BQ21" s="13">
        <f t="shared" si="8"/>
        <v>0.064</v>
      </c>
      <c r="BR21" s="13">
        <f>IFERROR(VLOOKUP(L21, Benchmarks!$A$2:$D$15, 2, FALSE), "Not Analyzed")</f>
        <v>0.032</v>
      </c>
      <c r="BS21" s="17" t="str">
        <f t="shared" si="9"/>
        <v>Above Average</v>
      </c>
      <c r="BT21" s="13">
        <f t="shared" si="10"/>
        <v>0.1333333333</v>
      </c>
      <c r="BU21" s="13">
        <f>IFERROR(VLOOKUP(L21, Benchmarks!$A$2:$D$15, 4, FALSE), "Not Analyzed")</f>
        <v>0.06666666667</v>
      </c>
      <c r="BV21" s="17" t="str">
        <f t="shared" si="11"/>
        <v>Above Average</v>
      </c>
      <c r="BW21" s="13">
        <f t="shared" si="12"/>
        <v>0.068</v>
      </c>
      <c r="BX21" s="13">
        <f>IFERROR(VLOOKUP(L21, Benchmarks!$A$2:$D$15, 3, FALSE), "Not Analyzed")</f>
        <v>0.034</v>
      </c>
      <c r="BY21" s="17" t="str">
        <f t="shared" si="13"/>
        <v>Above Average</v>
      </c>
      <c r="BZ21" s="17" t="str">
        <f t="shared" si="14"/>
        <v>Investment: Moody Med Center 2 DST | Sponsor: Moody National | Structure: Delaware Statutory Trust (DST) | Status: Available | LTV: 0.00% LTV | Availability: 0.358301419878296 | Location: TX | Strategy: Core-Plus | 721 Exchange Exit: Optional | Estimated Hold: 10 years | Cap Rate Equivalent: 0.0862 | Minimum Investment: 100000</v>
      </c>
      <c r="CA21" s="17" t="str">
        <f>A21&amp;" ("&amp;H21&amp;")"&amp;CHAR(10)&amp;CHAR(10)&amp;"Moody Med Center 2 is an all-cash, debt-free hospitality DST owning the 182-room Residence Inn by Marriott in the Texas Medical Center submarket of Houston, acquired in February 2026 for $33.0M, ~6.3% below appraised value. The $41.9M equity raise funds t"&amp;"he acquisition plus $3.62M of reserves, including ~$3.2M for a brand-mandated Marriott Property Improvement Plan, under a master lease paying base rent plus 70% percentage rent above an escalating baseline. Distributions are projected to begin at 6.0% and"&amp;" rise to 6.8% over a ~10-year hold, with an optional Section 721 election available two years post-closing."&amp;CHAR(10)&amp;CHAR(10)&amp;"&gt;&gt; Download Offering Documents"&amp;CHAR(10)&amp;"https://www.baker1031.com/sponsors/moody-national"</f>
        <v>Moody Med Center 2 DST (0.00% LTV)
Moody Med Center 2 is an all-cash, debt-free hospitality DST owning the 182-room Residence Inn by Marriott in the Texas Medical Center submarket of Houston, acquired in February 2026 for $33.0M, ~6.3% below appraised value. The $41.9M equity raise funds the acquisition plus $3.62M of reserves, including ~$3.2M for a brand-mandated Marriott Property Improvement Plan, under a master lease paying base rent plus 70% percentage rent above an escalating baseline. Distributions are projected to begin at 6.0% and rise to 6.8% over a ~10-year hold, with an optional Section 721 election available two years post-closing.
&gt;&gt; Download Offering Documents
https://www.baker1031.com/sponsors/moody-national</v>
      </c>
    </row>
    <row r="22">
      <c r="A22" s="8" t="s">
        <v>489</v>
      </c>
      <c r="B22" s="8" t="s">
        <v>471</v>
      </c>
      <c r="C22" s="8" t="s">
        <v>81</v>
      </c>
      <c r="D22" s="8" t="s">
        <v>82</v>
      </c>
      <c r="E22" s="9">
        <v>2.1075E8</v>
      </c>
      <c r="F22" s="9">
        <v>1.3625E8</v>
      </c>
      <c r="G22" s="9">
        <v>7.45E7</v>
      </c>
      <c r="H22" s="8" t="s">
        <v>490</v>
      </c>
      <c r="I22" s="9">
        <v>6.698828E7</v>
      </c>
      <c r="J22" s="10">
        <v>46168.0</v>
      </c>
      <c r="K22" s="11">
        <f t="shared" si="1"/>
        <v>0.4916571009</v>
      </c>
      <c r="L22" s="8" t="s">
        <v>491</v>
      </c>
      <c r="M22" s="8" t="s">
        <v>473</v>
      </c>
      <c r="N22" s="12" t="str">
        <f>IFERROR(__xludf.DUMMYFUNCTION("TEXTJOIN("", "", TRUE, SORT(TRANSPOSE(SPLIT(M22, "", ""))))"),"TX")</f>
        <v>TX</v>
      </c>
      <c r="O22" s="12" t="s">
        <v>201</v>
      </c>
      <c r="P22" s="8" t="s">
        <v>87</v>
      </c>
      <c r="Q22" s="8" t="s">
        <v>258</v>
      </c>
      <c r="R22" s="8" t="s">
        <v>89</v>
      </c>
      <c r="S22" s="8" t="s">
        <v>492</v>
      </c>
      <c r="T22" s="8" t="s">
        <v>493</v>
      </c>
      <c r="U22" s="8" t="s">
        <v>494</v>
      </c>
      <c r="V22" s="8" t="s">
        <v>495</v>
      </c>
      <c r="W22" s="8" t="s">
        <v>496</v>
      </c>
      <c r="X22" s="8" t="s">
        <v>497</v>
      </c>
      <c r="Y22" s="8" t="s">
        <v>498</v>
      </c>
      <c r="Z22" s="14" t="s">
        <v>499</v>
      </c>
      <c r="AA22" s="8" t="s">
        <v>500</v>
      </c>
      <c r="AB22" s="11">
        <v>0.0488</v>
      </c>
      <c r="AC22" s="11">
        <v>0.06</v>
      </c>
      <c r="AD22" s="11">
        <v>0.06</v>
      </c>
      <c r="AE22" s="11">
        <v>0.055</v>
      </c>
      <c r="AF22" s="11">
        <v>0.055</v>
      </c>
      <c r="AG22" s="11">
        <v>0.055</v>
      </c>
      <c r="AH22" s="11">
        <v>0.055</v>
      </c>
      <c r="AI22" s="11">
        <v>0.055</v>
      </c>
      <c r="AJ22" s="11">
        <v>0.055</v>
      </c>
      <c r="AK22" s="11">
        <v>0.0588</v>
      </c>
      <c r="AL22" s="11">
        <v>0.0558</v>
      </c>
      <c r="AM22" s="8" t="s">
        <v>501</v>
      </c>
      <c r="AN22" s="13">
        <f t="shared" si="2"/>
        <v>0.08319616942</v>
      </c>
      <c r="AO22" s="8" t="s">
        <v>502</v>
      </c>
      <c r="AP22" s="8" t="s">
        <v>503</v>
      </c>
      <c r="AQ22" s="8" t="s">
        <v>89</v>
      </c>
      <c r="AR22" s="8" t="s">
        <v>89</v>
      </c>
      <c r="AS22" s="8" t="s">
        <v>504</v>
      </c>
      <c r="AT22" s="12" t="s">
        <v>505</v>
      </c>
      <c r="AU22" s="8" t="s">
        <v>506</v>
      </c>
      <c r="AV22" s="22" t="s">
        <v>507</v>
      </c>
      <c r="AW22" s="15"/>
      <c r="AX22" s="9">
        <v>100000.0</v>
      </c>
      <c r="AY22" s="16" t="str">
        <f>IFERROR(__xludf.DUMMYFUNCTION("IF(ISBLANK(AV22), """", IF(REGEXMATCH(AV22, ""/file/d/""), ""https://lh3.googleusercontent.com/d/"" &amp; REGEXEXTRACT(AV22, ""/d/([a-zA-Z0-9_-]+)""), AV22))"),"https://lh3.googleusercontent.com/d/19iBj6JXIDNgL45jv7TXpEtIPLIzMZmYX")</f>
        <v>https://lh3.googleusercontent.com/d/19iBj6JXIDNgL45jv7TXpEtIPLIzMZmYX</v>
      </c>
      <c r="AZ22" s="13">
        <f t="shared" si="3"/>
        <v>0.1172470588</v>
      </c>
      <c r="BA22" s="17" t="str">
        <f t="shared" si="4"/>
        <v>Est. Tax-Adjusted Yield⁹</v>
      </c>
      <c r="BB22" s="17" t="str">
        <f t="shared" si="5"/>
        <v>Offering Documents Available By Request</v>
      </c>
      <c r="BC22" s="8" t="s">
        <v>508</v>
      </c>
      <c r="BD22" s="8" t="s">
        <v>487</v>
      </c>
      <c r="BE22" s="8" t="s">
        <v>509</v>
      </c>
      <c r="BF22" s="17" t="str">
        <f t="shared" si="6"/>
        <v>Learn More About Moody National</v>
      </c>
      <c r="BG22" s="17" t="str">
        <f t="shared" si="7"/>
        <v>Learn More About Office Properties</v>
      </c>
      <c r="BH22" s="17">
        <f t="array" ref="BH22">IFERROR(XLOOKUP($B22, 'Sponsor Connection'!$A:$A, 'Sponsor Connection'!$B:$B), )</f>
        <v>1996</v>
      </c>
      <c r="BI22" s="17" t="str">
        <f t="array" ref="BI22">IFERROR(XLOOKUP($B22, 'Sponsor Connection'!$A:$A, 'Sponsor Connection'!$D:$D), )</f>
        <v>Moody National is a Houston vertically integrated firm, founded in 1996, specializing in hospitality and multifamily DSTs through a full-service platform—roughly 500 professionals spanning acquisition, development, construction and management, with in-house title and insurance. With $3 billion in total capitalization as of early 2025 and more than 3,000 investors served, its hospitality specialization is comparatively rare among DST sponsors and is backed by genuine operating control. The hotel concentration adds cyclicality, balanced by the multifamily book and integrated execution.</v>
      </c>
      <c r="BJ22" s="18">
        <f t="array" ref="BJ22">IF($B22="", "", LET(aum, IFERROR(XLOOKUP($B22, 'Sponsor Connection'!$A:$A, 'Sponsor Connection'!$C:$C), ""), IF(OR(aum="", aum=0), "Not Reported", aum)))</f>
        <v>3000000000</v>
      </c>
      <c r="BK22" s="19">
        <f t="array" ref="BK22">IF(ISBLANK($B22), "", LET(val, IFERROR(XLOOKUP($B22, 'Sponsor Connection'!$A:$A, 'Sponsor Connection'!$M:$M), ""), IF(OR(ISBLANK(val), val="", val=0), "Not Reported", val)))</f>
        <v>2</v>
      </c>
      <c r="BL22" s="13">
        <f t="array" ref="BL22">IF(ISBLANK($B22), "", LET(val, IFERROR(XLOOKUP($B22, 'Sponsor Connection'!$A:$A, 'Sponsor Connection'!$N:$N), ""), IF(val="", "Not Reported", val)))</f>
        <v>0.1456</v>
      </c>
      <c r="BM22" s="20">
        <f t="array" ref="BM22">IF(ISBLANK($B22), "", LET(val, IFERROR(XLOOKUP($B22, 'Sponsor Connection'!$A:$A, 'Sponsor Connection'!$O:$O), ""), IF(val="", "Not Reported", val)))</f>
        <v>2</v>
      </c>
      <c r="BN22" s="21">
        <f t="array" ref="BN22">IF(ISBLANK($B22), "", LET(val, IFERROR(XLOOKUP($B22, 'Sponsor Connection'!$A:$A, 'Sponsor Connection'!$P:$P), ""), IF(val="", "Not Reported", val)))</f>
        <v>4.645</v>
      </c>
      <c r="BO22" s="13">
        <f t="array" ref="BO22">IF(ISBLANK($B22), "", LET(val, IFERROR(XLOOKUP($B22, 'Sponsor Connection'!$A:$A, 'Sponsor Connection'!$Q:$Q), ""), IF(val="", "Not Reported", val)))</f>
        <v>0.5</v>
      </c>
      <c r="BP22" s="16" t="str">
        <f t="array" ref="BP22">IFERROR(XLOOKUP($B22, 'Sponsor Connection'!$A:$A, 'Sponsor Connection'!$L:$L), )</f>
        <v>https://img.logo.dev/moodynational.com?token=pk_FIVsDKgZTvCedVXXtt2rEg&amp;size=200&amp;retina=true</v>
      </c>
      <c r="BQ22" s="13">
        <f t="shared" si="8"/>
        <v>0.0558</v>
      </c>
      <c r="BR22" s="13">
        <f>IFERROR(VLOOKUP(L22, Benchmarks!$A$2:$D$15, 2, FALSE), "Not Analyzed")</f>
        <v>0.0279</v>
      </c>
      <c r="BS22" s="17" t="str">
        <f t="shared" si="9"/>
        <v>Above Average</v>
      </c>
      <c r="BT22" s="13">
        <f t="shared" si="10"/>
        <v>0.2295081967</v>
      </c>
      <c r="BU22" s="13">
        <f>IFERROR(VLOOKUP(L22, Benchmarks!$A$2:$D$15, 4, FALSE), "Not Analyzed")</f>
        <v>0.1147540984</v>
      </c>
      <c r="BV22" s="17" t="str">
        <f t="shared" si="11"/>
        <v>Above Average</v>
      </c>
      <c r="BW22" s="13">
        <f t="shared" si="12"/>
        <v>0.06</v>
      </c>
      <c r="BX22" s="13">
        <f>IFERROR(VLOOKUP(L22, Benchmarks!$A$2:$D$15, 3, FALSE), "Not Analyzed")</f>
        <v>0.03</v>
      </c>
      <c r="BY22" s="17" t="str">
        <f t="shared" si="13"/>
        <v>Above Average</v>
      </c>
      <c r="BZ22" s="17" t="str">
        <f t="shared" si="14"/>
        <v>Investment: Moody Village Towers DST | Sponsor: Moody National | Structure: Delaware Statutory Trust (DST) | Status: Available | LTV: 35.35% LTV | Availability: 0.491657100917431 | Location: TX | Strategy: Core | 721 Exchange Exit: None | Estimated Hold: 10 years | Cap Rate Equivalent: 0.0831961694191608 | Minimum Investment: 100000</v>
      </c>
      <c r="CA22" s="17" t="str">
        <f>A22&amp;" ("&amp;H22&amp;")"&amp;CHAR(10)&amp;CHAR(10)&amp;"Moody Village Towers is a 325,557 SF Class A, two-tower office complex (built 2019) in the Memorial City/Katy Freeway corridor of Houston, 99.64% leased to an energy- and finance-weighted tenant base as of October 2025. The income profile was materially r"&amp;"estructured post-issuance via a Fourth Supplement that introduced an unsecured sponsor Note front-loading returns that decay to the base PPM rate by Year 10 as the Note matures in November 2031. The operating thesis is in-place income over a single-asset "&amp;"~10-year hold, with disposition contemplated around the 2032 loan maturity."&amp;CHAR(10)&amp;CHAR(10)&amp;"&gt;&gt; Download Offering Documents"&amp;CHAR(10)&amp;"https://www.baker1031.com/sponsors/moody-national"</f>
        <v>Moody Village Towers DST (35.35% LTV)
Moody Village Towers is a 325,557 SF Class A, two-tower office complex (built 2019) in the Memorial City/Katy Freeway corridor of Houston, 99.64% leased to an energy- and finance-weighted tenant base as of October 2025. The income profile was materially restructured post-issuance via a Fourth Supplement that introduced an unsecured sponsor Note front-loading returns that decay to the base PPM rate by Year 10 as the Note matures in November 2031. The operating thesis is in-place income over a single-asset ~10-year hold, with disposition contemplated around the 2032 loan maturity.
&gt;&gt; Download Offering Documents
https://www.baker1031.com/sponsors/moody-national</v>
      </c>
    </row>
    <row r="23">
      <c r="A23" s="8" t="s">
        <v>510</v>
      </c>
      <c r="B23" s="8" t="s">
        <v>511</v>
      </c>
      <c r="C23" s="8" t="s">
        <v>81</v>
      </c>
      <c r="D23" s="8" t="s">
        <v>199</v>
      </c>
      <c r="E23" s="9">
        <v>6.1961253E7</v>
      </c>
      <c r="F23" s="9">
        <v>3.0661253E7</v>
      </c>
      <c r="G23" s="9">
        <v>3.13E7</v>
      </c>
      <c r="H23" s="8" t="s">
        <v>512</v>
      </c>
      <c r="I23" s="9">
        <v>3824888.0</v>
      </c>
      <c r="J23" s="10">
        <v>46112.0</v>
      </c>
      <c r="K23" s="11">
        <f t="shared" si="1"/>
        <v>0.1247466305</v>
      </c>
      <c r="L23" s="8" t="s">
        <v>513</v>
      </c>
      <c r="M23" s="8" t="s">
        <v>514</v>
      </c>
      <c r="N23" s="12" t="str">
        <f>IFERROR(__xludf.DUMMYFUNCTION("TEXTJOIN("", "", TRUE, SORT(TRANSPOSE(SPLIT(M23, "", ""))))"),"MN")</f>
        <v>MN</v>
      </c>
      <c r="O23" s="12" t="s">
        <v>515</v>
      </c>
      <c r="P23" s="8" t="s">
        <v>87</v>
      </c>
      <c r="Q23" s="8" t="s">
        <v>156</v>
      </c>
      <c r="R23" s="8" t="s">
        <v>516</v>
      </c>
      <c r="S23" s="8" t="s">
        <v>517</v>
      </c>
      <c r="T23" s="8" t="s">
        <v>518</v>
      </c>
      <c r="U23" s="8" t="s">
        <v>519</v>
      </c>
      <c r="V23" s="8" t="s">
        <v>520</v>
      </c>
      <c r="W23" s="8" t="s">
        <v>521</v>
      </c>
      <c r="X23" s="8" t="s">
        <v>522</v>
      </c>
      <c r="Y23" s="8" t="s">
        <v>523</v>
      </c>
      <c r="Z23" s="8" t="s">
        <v>524</v>
      </c>
      <c r="AA23" s="8" t="s">
        <v>525</v>
      </c>
      <c r="AB23" s="11">
        <v>0.0418</v>
      </c>
      <c r="AC23" s="11">
        <v>0.0403</v>
      </c>
      <c r="AD23" s="11">
        <v>0.0401</v>
      </c>
      <c r="AE23" s="11">
        <v>0.0404</v>
      </c>
      <c r="AF23" s="11">
        <v>0.0406</v>
      </c>
      <c r="AG23" s="11">
        <v>0.0406</v>
      </c>
      <c r="AH23" s="11">
        <v>0.0407</v>
      </c>
      <c r="AI23" s="11">
        <v>0.0407</v>
      </c>
      <c r="AJ23" s="11">
        <v>0.041</v>
      </c>
      <c r="AK23" s="8" t="s">
        <v>142</v>
      </c>
      <c r="AL23" s="11">
        <v>0.0407</v>
      </c>
      <c r="AM23" s="8" t="s">
        <v>501</v>
      </c>
      <c r="AN23" s="13">
        <f t="shared" si="2"/>
        <v>0.08320597734</v>
      </c>
      <c r="AO23" s="8" t="s">
        <v>526</v>
      </c>
      <c r="AP23" s="8" t="s">
        <v>527</v>
      </c>
      <c r="AQ23" s="8" t="s">
        <v>89</v>
      </c>
      <c r="AR23" s="8" t="s">
        <v>528</v>
      </c>
      <c r="AS23" s="8" t="s">
        <v>529</v>
      </c>
      <c r="AT23" s="12" t="s">
        <v>530</v>
      </c>
      <c r="AU23" s="8" t="s">
        <v>531</v>
      </c>
      <c r="AV23" s="22" t="s">
        <v>532</v>
      </c>
      <c r="AW23" s="15"/>
      <c r="AX23" s="9">
        <v>100000.0</v>
      </c>
      <c r="AY23" s="16" t="str">
        <f>IFERROR(__xludf.DUMMYFUNCTION("IF(ISBLANK(AV23), """", IF(REGEXMATCH(AV23, ""/file/d/""), ""https://lh3.googleusercontent.com/d/"" &amp; REGEXEXTRACT(AV23, ""/d/([a-zA-Z0-9_-]+)""), AV23))"),"https://lh3.googleusercontent.com/d/1pEkFZGQjyKuwlM6n2jKw94ctum63_F7J")</f>
        <v>https://lh3.googleusercontent.com/d/1pEkFZGQjyKuwlM6n2jKw94ctum63_F7J</v>
      </c>
      <c r="AZ23" s="13">
        <f t="shared" si="3"/>
        <v>0.1102470588</v>
      </c>
      <c r="BA23" s="17" t="str">
        <f t="shared" si="4"/>
        <v>Est. Tax-Adjusted Yield⁹</v>
      </c>
      <c r="BB23" s="17" t="str">
        <f t="shared" si="5"/>
        <v>Offering Documents Available By Request</v>
      </c>
      <c r="BC23" s="8" t="s">
        <v>533</v>
      </c>
      <c r="BD23" s="8" t="s">
        <v>534</v>
      </c>
      <c r="BE23" s="8" t="s">
        <v>535</v>
      </c>
      <c r="BF23" s="17" t="str">
        <f t="shared" si="6"/>
        <v>Learn More About NexPoint</v>
      </c>
      <c r="BG23" s="17" t="str">
        <f t="shared" si="7"/>
        <v>Learn More About Life Sciences Properties</v>
      </c>
      <c r="BH23" s="17">
        <f t="array" ref="BH23">IFERROR(XLOOKUP($B23, 'Sponsor Connection'!$A:$A, 'Sponsor Connection'!$B:$B), )</f>
        <v>2012</v>
      </c>
      <c r="BI23" s="17" t="str">
        <f t="array" ref="BI23">IFERROR(XLOOKUP($B23, 'Sponsor Connection'!$A:$A, 'Sponsor Connection'!$D:$D), )</f>
        <v>NexPoint is a Dallas alternative manager—an affiliate of the former Highland Capital complex—overseeing roughly $15 billion across listed and non-listed REITs, DSTs, 1031 exchanges, interval funds and a BDC. Its breadth across real estate and credit, paired with significant own-capital co-investment, gives it institutional heft in the exchange channel, and its concentrated Dallas/Uptown asset base reflects conviction in its home market. For exchangers, the platform offers a diversified menu backed by a sizable alternatives manager.</v>
      </c>
      <c r="BJ23" s="18">
        <f t="array" ref="BJ23">IF($B23="", "", LET(aum, IFERROR(XLOOKUP($B23, 'Sponsor Connection'!$A:$A, 'Sponsor Connection'!$C:$C), ""), IF(OR(aum="", aum=0), "Not Reported", aum)))</f>
        <v>15000000000</v>
      </c>
      <c r="BK23" s="19">
        <f t="array" ref="BK23">IF(ISBLANK($B23), "", LET(val, IFERROR(XLOOKUP($B23, 'Sponsor Connection'!$A:$A, 'Sponsor Connection'!$M:$M), ""), IF(OR(ISBLANK(val), val="", val=0), "Not Reported", val)))</f>
        <v>3</v>
      </c>
      <c r="BL23" s="13">
        <f t="array" ref="BL23">IF(ISBLANK($B23), "", LET(val, IFERROR(XLOOKUP($B23, 'Sponsor Connection'!$A:$A, 'Sponsor Connection'!$N:$N), ""), IF(val="", "Not Reported", val)))</f>
        <v>0.1683333333</v>
      </c>
      <c r="BM23" s="20">
        <f t="array" ref="BM23">IF(ISBLANK($B23), "", LET(val, IFERROR(XLOOKUP($B23, 'Sponsor Connection'!$A:$A, 'Sponsor Connection'!$O:$O), ""), IF(val="", "Not Reported", val)))</f>
        <v>1.646666667</v>
      </c>
      <c r="BN23" s="21">
        <f t="array" ref="BN23">IF(ISBLANK($B23), "", LET(val, IFERROR(XLOOKUP($B23, 'Sponsor Connection'!$A:$A, 'Sponsor Connection'!$P:$P), ""), IF(val="", "Not Reported", val)))</f>
        <v>4.64</v>
      </c>
      <c r="BO23" s="13">
        <f t="array" ref="BO23">IF(ISBLANK($B23), "", LET(val, IFERROR(XLOOKUP($B23, 'Sponsor Connection'!$A:$A, 'Sponsor Connection'!$Q:$Q), ""), IF(val="", "Not Reported", val)))</f>
        <v>1</v>
      </c>
      <c r="BP23" s="16" t="str">
        <f t="array" ref="BP23">IFERROR(XLOOKUP($B23, 'Sponsor Connection'!$A:$A, 'Sponsor Connection'!$L:$L), )</f>
        <v>https://img.logo.dev/nexpoint.com?token=pk_FIVsDKgZTvCedVXXtt2rEg&amp;size=200&amp;retina=true</v>
      </c>
      <c r="BQ23" s="13">
        <f t="shared" si="8"/>
        <v>0.0407</v>
      </c>
      <c r="BR23" s="13">
        <f>IFERROR(VLOOKUP(L23, Benchmarks!$A$2:$D$15, 2, FALSE), "Not Analyzed")</f>
        <v>0.0407</v>
      </c>
      <c r="BS23" s="17" t="str">
        <f t="shared" si="9"/>
        <v>Meets Average</v>
      </c>
      <c r="BT23" s="13">
        <f t="shared" si="10"/>
        <v>0</v>
      </c>
      <c r="BU23" s="13">
        <f>IFERROR(VLOOKUP(L23, Benchmarks!$A$2:$D$15, 4, FALSE), "Not Analyzed")</f>
        <v>0</v>
      </c>
      <c r="BV23" s="17" t="str">
        <f t="shared" si="11"/>
        <v>Not Analyzed</v>
      </c>
      <c r="BW23" s="13">
        <f t="shared" si="12"/>
        <v>0.0418</v>
      </c>
      <c r="BX23" s="13">
        <f>IFERROR(VLOOKUP(L23, Benchmarks!$A$2:$D$15, 3, FALSE), "Not Analyzed")</f>
        <v>0.0418</v>
      </c>
      <c r="BY23" s="17" t="str">
        <f t="shared" si="13"/>
        <v>Meets Average</v>
      </c>
      <c r="BZ23" s="17" t="str">
        <f t="shared" si="14"/>
        <v>Investment: NexPoint Life Sciences III DST | Sponsor: NexPoint | Structure: Delaware Statutory Trust (DST) | Status: Limited Availability | LTV: 50.52% LTV | Availability: 0.124746630543768 | Location: MN | Strategy: Core | 721 Exchange Exit: Mandatory | Estimated Hold: 9 years | Cap Rate Equivalent: 0.0832059773424612 | Minimum Investment: 100000</v>
      </c>
      <c r="CA23" s="17" t="str">
        <f>A23&amp;" ("&amp;H23&amp;")"&amp;CHAR(10)&amp;CHAR(10)&amp;"NexPoint Life Sciences III is a 137,811 SF, 2021-vintage single-tenant life-sciences facility in Woodbury, MN (Minneapolis-St. Paul MSA), net-leased to pharmaceutical CDMO Kindeva Drug Delivery through September 2036 with three extension options. The asse"&amp;"t is held subject to a master lease to a thinly capitalized, unaffiliated master tenant funded by a $1.9M sponsor-financed demand note, and was capitalized at $61.96M ($30.66M equity + $31.3M assumed Wings Financial loan). Distributions are projected to b"&amp;"egin at 4.18% and range 4.01%-4.10% thereafter, with the nine-year forecast aligned to the November 2032 loan maturity."&amp;CHAR(10)&amp;CHAR(10)&amp;"&gt;&gt; Download Offering Documents"&amp;CHAR(10)&amp;"https://www.baker1031.com/sponsors/nexpoint"</f>
        <v>NexPoint Life Sciences III DST (50.52% LTV)
NexPoint Life Sciences III is a 137,811 SF, 2021-vintage single-tenant life-sciences facility in Woodbury, MN (Minneapolis-St. Paul MSA), net-leased to pharmaceutical CDMO Kindeva Drug Delivery through September 2036 with three extension options. The asset is held subject to a master lease to a thinly capitalized, unaffiliated master tenant funded by a $1.9M sponsor-financed demand note, and was capitalized at $61.96M ($30.66M equity + $31.3M assumed Wings Financial loan). Distributions are projected to begin at 4.18% and range 4.01%-4.10% thereafter, with the nine-year forecast aligned to the November 2032 loan maturity.
&gt;&gt; Download Offering Documents
https://www.baker1031.com/sponsors/nexpoint</v>
      </c>
    </row>
    <row r="24">
      <c r="A24" s="8" t="s">
        <v>536</v>
      </c>
      <c r="B24" s="8" t="s">
        <v>511</v>
      </c>
      <c r="C24" s="8" t="s">
        <v>81</v>
      </c>
      <c r="D24" s="8" t="s">
        <v>82</v>
      </c>
      <c r="E24" s="9">
        <v>9.8681389E7</v>
      </c>
      <c r="F24" s="9">
        <v>4.6331389E7</v>
      </c>
      <c r="G24" s="9">
        <v>5.235E7</v>
      </c>
      <c r="H24" s="8" t="s">
        <v>537</v>
      </c>
      <c r="I24" s="9">
        <v>2.5068247E7</v>
      </c>
      <c r="J24" s="10">
        <v>46112.0</v>
      </c>
      <c r="K24" s="11">
        <f t="shared" si="1"/>
        <v>0.5410640074</v>
      </c>
      <c r="L24" s="8" t="s">
        <v>176</v>
      </c>
      <c r="M24" s="8" t="s">
        <v>328</v>
      </c>
      <c r="N24" s="12" t="str">
        <f>IFERROR(__xludf.DUMMYFUNCTION("TEXTJOIN("", "", TRUE, SORT(TRANSPOSE(SPLIT(M24, "", ""))))"),"FL")</f>
        <v>FL</v>
      </c>
      <c r="O24" s="12" t="s">
        <v>515</v>
      </c>
      <c r="P24" s="8" t="s">
        <v>113</v>
      </c>
      <c r="Q24" s="8" t="s">
        <v>156</v>
      </c>
      <c r="R24" s="8" t="s">
        <v>89</v>
      </c>
      <c r="S24" s="8" t="s">
        <v>538</v>
      </c>
      <c r="T24" s="8" t="s">
        <v>539</v>
      </c>
      <c r="U24" s="8" t="s">
        <v>540</v>
      </c>
      <c r="V24" s="8" t="s">
        <v>541</v>
      </c>
      <c r="W24" s="8" t="s">
        <v>542</v>
      </c>
      <c r="X24" s="8" t="s">
        <v>543</v>
      </c>
      <c r="Y24" s="8" t="s">
        <v>544</v>
      </c>
      <c r="Z24" s="8" t="s">
        <v>545</v>
      </c>
      <c r="AA24" s="8" t="s">
        <v>546</v>
      </c>
      <c r="AB24" s="11">
        <v>0.0436</v>
      </c>
      <c r="AC24" s="11">
        <v>0.0442</v>
      </c>
      <c r="AD24" s="11">
        <v>0.0445</v>
      </c>
      <c r="AE24" s="11">
        <v>0.0457</v>
      </c>
      <c r="AF24" s="11">
        <v>0.0477</v>
      </c>
      <c r="AG24" s="11">
        <v>0.0479</v>
      </c>
      <c r="AH24" s="11">
        <v>0.0501</v>
      </c>
      <c r="AI24" s="11">
        <v>0.0514</v>
      </c>
      <c r="AJ24" s="11">
        <v>0.0569</v>
      </c>
      <c r="AK24" s="11">
        <v>0.0595</v>
      </c>
      <c r="AL24" s="11">
        <v>0.0492</v>
      </c>
      <c r="AM24" s="8" t="s">
        <v>501</v>
      </c>
      <c r="AN24" s="13">
        <f t="shared" si="2"/>
        <v>0.08486680899</v>
      </c>
      <c r="AO24" s="8" t="s">
        <v>547</v>
      </c>
      <c r="AP24" s="8" t="s">
        <v>548</v>
      </c>
      <c r="AQ24" s="8" t="s">
        <v>89</v>
      </c>
      <c r="AR24" s="8" t="s">
        <v>89</v>
      </c>
      <c r="AS24" s="8" t="s">
        <v>504</v>
      </c>
      <c r="AT24" s="12" t="s">
        <v>146</v>
      </c>
      <c r="AU24" s="8" t="s">
        <v>549</v>
      </c>
      <c r="AV24" s="14" t="s">
        <v>550</v>
      </c>
      <c r="AW24" s="15"/>
      <c r="AX24" s="9">
        <v>100000.0</v>
      </c>
      <c r="AY24" s="16" t="str">
        <f>IFERROR(__xludf.DUMMYFUNCTION("IF(ISBLANK(AV24), """", IF(REGEXMATCH(AV24, ""/file/d/""), ""https://lh3.googleusercontent.com/d/"" &amp; REGEXEXTRACT(AV24, ""/d/([a-zA-Z0-9_-]+)""), AV24))"),"https://lh3.googleusercontent.com/d/1i6vBRgzsfRKYr2wFruo6NfXc4vE7Jpvo")</f>
        <v>https://lh3.googleusercontent.com/d/1i6vBRgzsfRKYr2wFruo6NfXc4vE7Jpvo</v>
      </c>
      <c r="AZ24" s="13">
        <f t="shared" si="3"/>
        <v>0.1120470588</v>
      </c>
      <c r="BA24" s="17" t="str">
        <f t="shared" si="4"/>
        <v>Est. Tax-Adjusted Yield⁹</v>
      </c>
      <c r="BB24" s="17" t="str">
        <f t="shared" si="5"/>
        <v>Offering Documents Available By Request</v>
      </c>
      <c r="BC24" s="8" t="s">
        <v>551</v>
      </c>
      <c r="BD24" s="8" t="s">
        <v>534</v>
      </c>
      <c r="BE24" s="8" t="s">
        <v>197</v>
      </c>
      <c r="BF24" s="17" t="str">
        <f t="shared" si="6"/>
        <v>Learn More About NexPoint</v>
      </c>
      <c r="BG24" s="17" t="str">
        <f t="shared" si="7"/>
        <v>Learn More About Multifamily Properties</v>
      </c>
      <c r="BH24" s="17">
        <f t="array" ref="BH24">IFERROR(XLOOKUP($B24, 'Sponsor Connection'!$A:$A, 'Sponsor Connection'!$B:$B), )</f>
        <v>2012</v>
      </c>
      <c r="BI24" s="17" t="str">
        <f t="array" ref="BI24">IFERROR(XLOOKUP($B24, 'Sponsor Connection'!$A:$A, 'Sponsor Connection'!$D:$D), )</f>
        <v>NexPoint is a Dallas alternative manager—an affiliate of the former Highland Capital complex—overseeing roughly $15 billion across listed and non-listed REITs, DSTs, 1031 exchanges, interval funds and a BDC. Its breadth across real estate and credit, paired with significant own-capital co-investment, gives it institutional heft in the exchange channel, and its concentrated Dallas/Uptown asset base reflects conviction in its home market. For exchangers, the platform offers a diversified menu backed by a sizable alternatives manager.</v>
      </c>
      <c r="BJ24" s="18">
        <f t="array" ref="BJ24">IF($B24="", "", LET(aum, IFERROR(XLOOKUP($B24, 'Sponsor Connection'!$A:$A, 'Sponsor Connection'!$C:$C), ""), IF(OR(aum="", aum=0), "Not Reported", aum)))</f>
        <v>15000000000</v>
      </c>
      <c r="BK24" s="19">
        <f t="array" ref="BK24">IF(ISBLANK($B24), "", LET(val, IFERROR(XLOOKUP($B24, 'Sponsor Connection'!$A:$A, 'Sponsor Connection'!$M:$M), ""), IF(OR(ISBLANK(val), val="", val=0), "Not Reported", val)))</f>
        <v>3</v>
      </c>
      <c r="BL24" s="13">
        <f t="array" ref="BL24">IF(ISBLANK($B24), "", LET(val, IFERROR(XLOOKUP($B24, 'Sponsor Connection'!$A:$A, 'Sponsor Connection'!$N:$N), ""), IF(val="", "Not Reported", val)))</f>
        <v>0.1683333333</v>
      </c>
      <c r="BM24" s="20">
        <f t="array" ref="BM24">IF(ISBLANK($B24), "", LET(val, IFERROR(XLOOKUP($B24, 'Sponsor Connection'!$A:$A, 'Sponsor Connection'!$O:$O), ""), IF(val="", "Not Reported", val)))</f>
        <v>1.646666667</v>
      </c>
      <c r="BN24" s="21">
        <f t="array" ref="BN24">IF(ISBLANK($B24), "", LET(val, IFERROR(XLOOKUP($B24, 'Sponsor Connection'!$A:$A, 'Sponsor Connection'!$P:$P), ""), IF(val="", "Not Reported", val)))</f>
        <v>4.64</v>
      </c>
      <c r="BO24" s="13">
        <f t="array" ref="BO24">IF(ISBLANK($B24), "", LET(val, IFERROR(XLOOKUP($B24, 'Sponsor Connection'!$A:$A, 'Sponsor Connection'!$Q:$Q), ""), IF(val="", "Not Reported", val)))</f>
        <v>1</v>
      </c>
      <c r="BP24" s="16" t="str">
        <f t="array" ref="BP24">IFERROR(XLOOKUP($B24, 'Sponsor Connection'!$A:$A, 'Sponsor Connection'!$L:$L), )</f>
        <v>https://img.logo.dev/nexpoint.com?token=pk_FIVsDKgZTvCedVXXtt2rEg&amp;size=200&amp;retina=true</v>
      </c>
      <c r="BQ24" s="13">
        <f t="shared" si="8"/>
        <v>0.0492</v>
      </c>
      <c r="BR24" s="13">
        <f>IFERROR(VLOOKUP(L24, Benchmarks!$A$2:$D$15, 2, FALSE), "Not Analyzed")</f>
        <v>0.050338</v>
      </c>
      <c r="BS24" s="17" t="str">
        <f t="shared" si="9"/>
        <v>Meets Average</v>
      </c>
      <c r="BT24" s="13">
        <f t="shared" si="10"/>
        <v>0.3646788991</v>
      </c>
      <c r="BU24" s="13">
        <f>IFERROR(VLOOKUP(L24, Benchmarks!$A$2:$D$15, 4, FALSE), "Not Analyzed")</f>
        <v>0.2473634914</v>
      </c>
      <c r="BV24" s="17" t="str">
        <f t="shared" si="11"/>
        <v>Above Average</v>
      </c>
      <c r="BW24" s="13">
        <f t="shared" si="12"/>
        <v>0.0595</v>
      </c>
      <c r="BX24" s="13">
        <f>IFERROR(VLOOKUP(L24, Benchmarks!$A$2:$D$15, 3, FALSE), "Not Analyzed")</f>
        <v>0.05289545455</v>
      </c>
      <c r="BY24" s="17" t="str">
        <f t="shared" si="13"/>
        <v>Above Average</v>
      </c>
      <c r="BZ24" s="17" t="str">
        <f t="shared" si="14"/>
        <v>Investment: NexPoint Oasis DST | Sponsor: NexPoint | Structure: Delaware Statutory Trust (DST) | Status: Available | LTV: 53.05% LTV | Availability: 0.541064007383849 | Location: FL | Strategy: Core-Plus | 721 Exchange Exit: Mandatory | Estimated Hold: 10 years | Cap Rate Equivalent: 0.0848668089868877 | Minimum Investment: 100000</v>
      </c>
      <c r="CA24" s="17" t="str">
        <f>A24&amp;" ("&amp;H24&amp;")"&amp;CHAR(10)&amp;CHAR(10)&amp;"NexPoint Oasis is a 2018-vintage, 356-unit garden multifamily community in Kissimmee, FL (Orlando MSA), 94.1% leased and held subject to a master lease to a sponsor-affiliated master tenant capitalized by a sponsor-funded demand note. The asset was acquir"&amp;"ed for $87.25M and capitalized at $98.68M ($46.33M equity + $52.35M Freddie Mac loan, 53.05% LTV), with distributions structured as fixed 3.77% additional rent plus performance-contingent supplemental rent. Total cash-on-cash is forecast from 4.36% in Yea"&amp;"r 1 to 5.95% in Year 10 under a Core-Plus plan funded in part by a $1.5M supplemental reserve."&amp;CHAR(10)&amp;CHAR(10)&amp;"&gt;&gt; Download Offering Documents"&amp;CHAR(10)&amp;"https://www.baker1031.com/sponsors/nexpoint"</f>
        <v>NexPoint Oasis DST (53.05% LTV)
NexPoint Oasis is a 2018-vintage, 356-unit garden multifamily community in Kissimmee, FL (Orlando MSA), 94.1% leased and held subject to a master lease to a sponsor-affiliated master tenant capitalized by a sponsor-funded demand note. The asset was acquired for $87.25M and capitalized at $98.68M ($46.33M equity + $52.35M Freddie Mac loan, 53.05% LTV), with distributions structured as fixed 3.77% additional rent plus performance-contingent supplemental rent. Total cash-on-cash is forecast from 4.36% in Year 1 to 5.95% in Year 10 under a Core-Plus plan funded in part by a $1.5M supplemental reserve.
&gt;&gt; Download Offering Documents
https://www.baker1031.com/sponsors/nexpoint</v>
      </c>
    </row>
    <row r="25">
      <c r="A25" s="23" t="s">
        <v>552</v>
      </c>
      <c r="B25" s="8" t="s">
        <v>511</v>
      </c>
      <c r="C25" s="8" t="s">
        <v>81</v>
      </c>
      <c r="D25" s="8" t="s">
        <v>82</v>
      </c>
      <c r="E25" s="9">
        <v>9.1382493E7</v>
      </c>
      <c r="F25" s="9">
        <v>5.0382493E7</v>
      </c>
      <c r="G25" s="9">
        <v>4.1E7</v>
      </c>
      <c r="H25" s="8" t="s">
        <v>553</v>
      </c>
      <c r="I25" s="9">
        <v>2.8E7</v>
      </c>
      <c r="J25" s="10">
        <v>46181.0</v>
      </c>
      <c r="K25" s="11">
        <f t="shared" si="1"/>
        <v>0.555748601</v>
      </c>
      <c r="L25" s="8" t="s">
        <v>554</v>
      </c>
      <c r="M25" s="8" t="s">
        <v>555</v>
      </c>
      <c r="N25" s="12" t="str">
        <f>IFERROR(__xludf.DUMMYFUNCTION("TEXTJOIN("", "", TRUE, SORT(TRANSPOSE(SPLIT(M25, "", ""))))"),"FL, TX")</f>
        <v>FL, TX</v>
      </c>
      <c r="O25" s="12" t="s">
        <v>515</v>
      </c>
      <c r="P25" s="8" t="s">
        <v>179</v>
      </c>
      <c r="Q25" s="8" t="s">
        <v>156</v>
      </c>
      <c r="R25" s="8" t="s">
        <v>89</v>
      </c>
      <c r="S25" s="8" t="s">
        <v>556</v>
      </c>
      <c r="T25" s="8" t="s">
        <v>557</v>
      </c>
      <c r="U25" s="8" t="s">
        <v>558</v>
      </c>
      <c r="V25" s="8" t="s">
        <v>559</v>
      </c>
      <c r="W25" s="8" t="s">
        <v>560</v>
      </c>
      <c r="X25" s="8" t="s">
        <v>561</v>
      </c>
      <c r="Y25" s="8" t="s">
        <v>562</v>
      </c>
      <c r="Z25" s="8" t="s">
        <v>563</v>
      </c>
      <c r="AA25" s="8" t="s">
        <v>564</v>
      </c>
      <c r="AB25" s="11">
        <v>0.0462</v>
      </c>
      <c r="AC25" s="11">
        <v>0.0466</v>
      </c>
      <c r="AD25" s="11">
        <v>0.0479</v>
      </c>
      <c r="AE25" s="11">
        <v>0.0511</v>
      </c>
      <c r="AF25" s="11">
        <v>0.0519</v>
      </c>
      <c r="AG25" s="11">
        <v>0.0534</v>
      </c>
      <c r="AH25" s="11">
        <v>0.0562</v>
      </c>
      <c r="AI25" s="11">
        <v>0.0599</v>
      </c>
      <c r="AJ25" s="11">
        <v>0.0623</v>
      </c>
      <c r="AK25" s="11">
        <v>0.0601</v>
      </c>
      <c r="AL25" s="11">
        <v>0.0536</v>
      </c>
      <c r="AM25" s="8" t="s">
        <v>501</v>
      </c>
      <c r="AN25" s="13">
        <f t="shared" si="2"/>
        <v>0.0839783994</v>
      </c>
      <c r="AO25" s="8" t="s">
        <v>565</v>
      </c>
      <c r="AP25" s="8" t="s">
        <v>566</v>
      </c>
      <c r="AQ25" s="8" t="s">
        <v>89</v>
      </c>
      <c r="AR25" s="8" t="s">
        <v>89</v>
      </c>
      <c r="AS25" s="8" t="s">
        <v>504</v>
      </c>
      <c r="AT25" s="12" t="s">
        <v>192</v>
      </c>
      <c r="AU25" s="8" t="s">
        <v>567</v>
      </c>
      <c r="AV25" s="14" t="s">
        <v>568</v>
      </c>
      <c r="AW25" s="15"/>
      <c r="AX25" s="9">
        <v>100000.0</v>
      </c>
      <c r="AY25" s="16" t="str">
        <f>IFERROR(__xludf.DUMMYFUNCTION("IF(ISBLANK(AV25), """", IF(REGEXMATCH(AV25, ""/file/d/""), ""https://lh3.googleusercontent.com/d/"" &amp; REGEXEXTRACT(AV25, ""/d/([a-zA-Z0-9_-]+)""), AV25))"),"https://lh3.googleusercontent.com/d/1qqDLDEfk7CZipiD3L_dpqZlctO2fuco0")</f>
        <v>https://lh3.googleusercontent.com/d/1qqDLDEfk7CZipiD3L_dpqZlctO2fuco0</v>
      </c>
      <c r="AZ25" s="13">
        <f t="shared" si="3"/>
        <v>0.1146470588</v>
      </c>
      <c r="BA25" s="17" t="str">
        <f t="shared" si="4"/>
        <v>Est. Tax-Adjusted Yield⁹</v>
      </c>
      <c r="BB25" s="17" t="str">
        <f t="shared" si="5"/>
        <v>Offering Documents Available By Request</v>
      </c>
      <c r="BC25" s="8" t="s">
        <v>569</v>
      </c>
      <c r="BD25" s="8" t="s">
        <v>534</v>
      </c>
      <c r="BE25" s="8" t="s">
        <v>570</v>
      </c>
      <c r="BF25" s="17" t="str">
        <f t="shared" si="6"/>
        <v>Learn More About NexPoint</v>
      </c>
      <c r="BG25" s="17" t="str">
        <f t="shared" si="7"/>
        <v>Learn More About Small Bay Industrial Properties</v>
      </c>
      <c r="BH25" s="17">
        <f t="array" ref="BH25">IFERROR(XLOOKUP($B25, 'Sponsor Connection'!$A:$A, 'Sponsor Connection'!$B:$B), )</f>
        <v>2012</v>
      </c>
      <c r="BI25" s="17" t="str">
        <f t="array" ref="BI25">IFERROR(XLOOKUP($B25, 'Sponsor Connection'!$A:$A, 'Sponsor Connection'!$D:$D), )</f>
        <v>NexPoint is a Dallas alternative manager—an affiliate of the former Highland Capital complex—overseeing roughly $15 billion across listed and non-listed REITs, DSTs, 1031 exchanges, interval funds and a BDC. Its breadth across real estate and credit, paired with significant own-capital co-investment, gives it institutional heft in the exchange channel, and its concentrated Dallas/Uptown asset base reflects conviction in its home market. For exchangers, the platform offers a diversified menu backed by a sizable alternatives manager.</v>
      </c>
      <c r="BJ25" s="18">
        <f t="array" ref="BJ25">IF($B25="", "", LET(aum, IFERROR(XLOOKUP($B25, 'Sponsor Connection'!$A:$A, 'Sponsor Connection'!$C:$C), ""), IF(OR(aum="", aum=0), "Not Reported", aum)))</f>
        <v>15000000000</v>
      </c>
      <c r="BK25" s="19">
        <f t="array" ref="BK25">IF(ISBLANK($B25), "", LET(val, IFERROR(XLOOKUP($B25, 'Sponsor Connection'!$A:$A, 'Sponsor Connection'!$M:$M), ""), IF(OR(ISBLANK(val), val="", val=0), "Not Reported", val)))</f>
        <v>3</v>
      </c>
      <c r="BL25" s="13">
        <f t="array" ref="BL25">IF(ISBLANK($B25), "", LET(val, IFERROR(XLOOKUP($B25, 'Sponsor Connection'!$A:$A, 'Sponsor Connection'!$N:$N), ""), IF(val="", "Not Reported", val)))</f>
        <v>0.1683333333</v>
      </c>
      <c r="BM25" s="20">
        <f t="array" ref="BM25">IF(ISBLANK($B25), "", LET(val, IFERROR(XLOOKUP($B25, 'Sponsor Connection'!$A:$A, 'Sponsor Connection'!$O:$O), ""), IF(val="", "Not Reported", val)))</f>
        <v>1.646666667</v>
      </c>
      <c r="BN25" s="21">
        <f t="array" ref="BN25">IF(ISBLANK($B25), "", LET(val, IFERROR(XLOOKUP($B25, 'Sponsor Connection'!$A:$A, 'Sponsor Connection'!$P:$P), ""), IF(val="", "Not Reported", val)))</f>
        <v>4.64</v>
      </c>
      <c r="BO25" s="13">
        <f t="array" ref="BO25">IF(ISBLANK($B25), "", LET(val, IFERROR(XLOOKUP($B25, 'Sponsor Connection'!$A:$A, 'Sponsor Connection'!$Q:$Q), ""), IF(val="", "Not Reported", val)))</f>
        <v>1</v>
      </c>
      <c r="BP25" s="16" t="str">
        <f t="array" ref="BP25">IFERROR(XLOOKUP($B25, 'Sponsor Connection'!$A:$A, 'Sponsor Connection'!$L:$L), )</f>
        <v>https://img.logo.dev/nexpoint.com?token=pk_FIVsDKgZTvCedVXXtt2rEg&amp;size=200&amp;retina=true</v>
      </c>
      <c r="BQ25" s="13">
        <f t="shared" si="8"/>
        <v>0.0536</v>
      </c>
      <c r="BR25" s="13" t="str">
        <f>IFERROR(VLOOKUP(L25, Benchmarks!$A$2:$D$15, 2, FALSE), "Not Analyzed")</f>
        <v>Not Analyzed</v>
      </c>
      <c r="BS25" s="17" t="str">
        <f t="shared" si="9"/>
        <v>Not Analyzed</v>
      </c>
      <c r="BT25" s="13">
        <f t="shared" si="10"/>
        <v>0.3484848485</v>
      </c>
      <c r="BU25" s="13" t="str">
        <f>IFERROR(VLOOKUP(L25, Benchmarks!$A$2:$D$15, 4, FALSE), "Not Analyzed")</f>
        <v>Not Analyzed</v>
      </c>
      <c r="BV25" s="17" t="str">
        <f t="shared" si="11"/>
        <v>Not Analyzed</v>
      </c>
      <c r="BW25" s="13">
        <f t="shared" si="12"/>
        <v>0.0623</v>
      </c>
      <c r="BX25" s="13" t="str">
        <f>IFERROR(VLOOKUP(L25, Benchmarks!$A$2:$D$15, 3, FALSE), "Not Analyzed")</f>
        <v>Not Analyzed</v>
      </c>
      <c r="BY25" s="17" t="str">
        <f t="shared" si="13"/>
        <v>Not Analyzed</v>
      </c>
      <c r="BZ25" s="17" t="str">
        <f t="shared" si="14"/>
        <v>Investment: NexPoint Small Bay III DST | Sponsor: NexPoint | Structure: Delaware Statutory Trust (DST) | Status: Available | LTV: 44.87% LTV | Availability: 0.5557486010071 | Location: FL, TX | Strategy: Value-Add | 721 Exchange Exit: Mandatory | Estimated Hold: 10 years | Cap Rate Equivalent: 0.0839783994013507 | Minimum Investment: 100000</v>
      </c>
      <c r="CA25" s="17" t="str">
        <f>A25&amp;" ("&amp;H25&amp;")"&amp;CHAR(10)&amp;CHAR(10)&amp;"NexPoint Small Bay III is a two-property, multi-tenant small-bay industrial portfolio (179 units; ~509,914 SF) in Richardson, TX and Deerfield Beach, FL, held through two operating trusts and master-leased to sponsor-affiliated master tenants. The portfol"&amp;"io was acquired for $71.7M and capitalized at $91.38M ($50.38M equity + $41.0M Argentic loan fixed at 5.708%, full-term interest-only, 44.87% LTV). The value-add thesis exploits short-duration in-place leases for continued mark-to-market rent capture, wit"&amp;"h distributions projected from 4.62% in Year 1 to 6.01% in Year 10."&amp;CHAR(10)&amp;CHAR(10)&amp;"&gt;&gt; Download Offering Documents"&amp;CHAR(10)&amp;"https://www.baker1031.com/sponsors/nexpoint"</f>
        <v>NexPoint Small Bay III DST (44.87% LTV)
NexPoint Small Bay III is a two-property, multi-tenant small-bay industrial portfolio (179 units; ~509,914 SF) in Richardson, TX and Deerfield Beach, FL, held through two operating trusts and master-leased to sponsor-affiliated master tenants. The portfolio was acquired for $71.7M and capitalized at $91.38M ($50.38M equity + $41.0M Argentic loan fixed at 5.708%, full-term interest-only, 44.87% LTV). The value-add thesis exploits short-duration in-place leases for continued mark-to-market rent capture, with distributions projected from 4.62% in Year 1 to 6.01% in Year 10.
&gt;&gt; Download Offering Documents
https://www.baker1031.com/sponsors/nexpoint</v>
      </c>
    </row>
    <row r="26">
      <c r="A26" s="8" t="s">
        <v>571</v>
      </c>
      <c r="B26" s="8" t="s">
        <v>511</v>
      </c>
      <c r="C26" s="8" t="s">
        <v>81</v>
      </c>
      <c r="D26" s="8" t="s">
        <v>82</v>
      </c>
      <c r="E26" s="9">
        <v>6.1060817E7</v>
      </c>
      <c r="F26" s="9">
        <v>3.1360817E7</v>
      </c>
      <c r="G26" s="9">
        <v>2.97E7</v>
      </c>
      <c r="H26" s="8" t="s">
        <v>572</v>
      </c>
      <c r="I26" s="9">
        <v>3.0E7</v>
      </c>
      <c r="J26" s="10">
        <v>46193.0</v>
      </c>
      <c r="K26" s="11">
        <f t="shared" si="1"/>
        <v>0.9566077312</v>
      </c>
      <c r="L26" s="8" t="s">
        <v>176</v>
      </c>
      <c r="M26" s="8" t="s">
        <v>177</v>
      </c>
      <c r="N26" s="12" t="str">
        <f>IFERROR(__xludf.DUMMYFUNCTION("TEXTJOIN("", "", TRUE, SORT(TRANSPOSE(SPLIT(M26, "", ""))))"),"NC")</f>
        <v>NC</v>
      </c>
      <c r="O26" s="12" t="s">
        <v>515</v>
      </c>
      <c r="P26" s="8" t="s">
        <v>113</v>
      </c>
      <c r="Q26" s="8" t="s">
        <v>156</v>
      </c>
      <c r="R26" s="8" t="s">
        <v>89</v>
      </c>
      <c r="S26" s="8" t="s">
        <v>573</v>
      </c>
      <c r="T26" s="8" t="s">
        <v>574</v>
      </c>
      <c r="U26" s="8" t="s">
        <v>575</v>
      </c>
      <c r="V26" s="8" t="s">
        <v>576</v>
      </c>
      <c r="W26" s="8" t="s">
        <v>577</v>
      </c>
      <c r="X26" s="8" t="s">
        <v>561</v>
      </c>
      <c r="Y26" s="8" t="s">
        <v>578</v>
      </c>
      <c r="Z26" s="8" t="s">
        <v>579</v>
      </c>
      <c r="AA26" s="8" t="s">
        <v>580</v>
      </c>
      <c r="AB26" s="11">
        <v>0.0451</v>
      </c>
      <c r="AC26" s="11">
        <v>0.0487</v>
      </c>
      <c r="AD26" s="11">
        <v>0.0524</v>
      </c>
      <c r="AE26" s="11">
        <v>0.0552</v>
      </c>
      <c r="AF26" s="11">
        <v>0.0566</v>
      </c>
      <c r="AG26" s="11">
        <v>0.0618</v>
      </c>
      <c r="AH26" s="11">
        <v>0.0657</v>
      </c>
      <c r="AI26" s="11">
        <v>0.0699</v>
      </c>
      <c r="AJ26" s="11">
        <v>0.072</v>
      </c>
      <c r="AK26" s="11">
        <v>0.0764</v>
      </c>
      <c r="AL26" s="11">
        <v>0.0604</v>
      </c>
      <c r="AM26" s="8" t="s">
        <v>501</v>
      </c>
      <c r="AN26" s="13">
        <f t="shared" si="2"/>
        <v>0.08438745201</v>
      </c>
      <c r="AO26" s="8" t="s">
        <v>581</v>
      </c>
      <c r="AP26" s="8" t="s">
        <v>582</v>
      </c>
      <c r="AQ26" s="8" t="s">
        <v>89</v>
      </c>
      <c r="AR26" s="8" t="s">
        <v>89</v>
      </c>
      <c r="AS26" s="8" t="s">
        <v>504</v>
      </c>
      <c r="AT26" s="12" t="s">
        <v>583</v>
      </c>
      <c r="AU26" s="8" t="s">
        <v>584</v>
      </c>
      <c r="AV26" s="14" t="s">
        <v>585</v>
      </c>
      <c r="AW26" s="15"/>
      <c r="AX26" s="9">
        <v>100000.0</v>
      </c>
      <c r="AY26" s="16" t="str">
        <f>IFERROR(__xludf.DUMMYFUNCTION("IF(ISBLANK(AV26), """", IF(REGEXMATCH(AV26, ""/file/d/""), ""https://lh3.googleusercontent.com/d/"" &amp; REGEXEXTRACT(AV26, ""/d/([a-zA-Z0-9_-]+)""), AV26))"),"https://lh3.googleusercontent.com/d/1nJEcVKy6pe-PQwabSzXydcOpYDYrvAPr")</f>
        <v>https://lh3.googleusercontent.com/d/1nJEcVKy6pe-PQwabSzXydcOpYDYrvAPr</v>
      </c>
      <c r="AZ26" s="13">
        <f t="shared" si="3"/>
        <v>0.1135470588</v>
      </c>
      <c r="BA26" s="17" t="str">
        <f t="shared" si="4"/>
        <v>Est. Tax-Adjusted Yield⁹</v>
      </c>
      <c r="BB26" s="17" t="str">
        <f t="shared" si="5"/>
        <v>Offering Documents Available By Request</v>
      </c>
      <c r="BC26" s="8" t="s">
        <v>586</v>
      </c>
      <c r="BD26" s="8" t="s">
        <v>534</v>
      </c>
      <c r="BE26" s="8" t="s">
        <v>197</v>
      </c>
      <c r="BF26" s="17" t="str">
        <f t="shared" si="6"/>
        <v>Learn More About NexPoint</v>
      </c>
      <c r="BG26" s="17" t="str">
        <f t="shared" si="7"/>
        <v>Learn More About Multifamily Properties</v>
      </c>
      <c r="BH26" s="17">
        <f t="array" ref="BH26">IFERROR(XLOOKUP($B26, 'Sponsor Connection'!$A:$A, 'Sponsor Connection'!$B:$B), )</f>
        <v>2012</v>
      </c>
      <c r="BI26" s="17" t="str">
        <f t="array" ref="BI26">IFERROR(XLOOKUP($B26, 'Sponsor Connection'!$A:$A, 'Sponsor Connection'!$D:$D), )</f>
        <v>NexPoint is a Dallas alternative manager—an affiliate of the former Highland Capital complex—overseeing roughly $15 billion across listed and non-listed REITs, DSTs, 1031 exchanges, interval funds and a BDC. Its breadth across real estate and credit, paired with significant own-capital co-investment, gives it institutional heft in the exchange channel, and its concentrated Dallas/Uptown asset base reflects conviction in its home market. For exchangers, the platform offers a diversified menu backed by a sizable alternatives manager.</v>
      </c>
      <c r="BJ26" s="18">
        <f t="array" ref="BJ26">IF($B26="", "", LET(aum, IFERROR(XLOOKUP($B26, 'Sponsor Connection'!$A:$A, 'Sponsor Connection'!$C:$C), ""), IF(OR(aum="", aum=0), "Not Reported", aum)))</f>
        <v>15000000000</v>
      </c>
      <c r="BK26" s="19">
        <f t="array" ref="BK26">IF(ISBLANK($B26), "", LET(val, IFERROR(XLOOKUP($B26, 'Sponsor Connection'!$A:$A, 'Sponsor Connection'!$M:$M), ""), IF(OR(ISBLANK(val), val="", val=0), "Not Reported", val)))</f>
        <v>3</v>
      </c>
      <c r="BL26" s="13">
        <f t="array" ref="BL26">IF(ISBLANK($B26), "", LET(val, IFERROR(XLOOKUP($B26, 'Sponsor Connection'!$A:$A, 'Sponsor Connection'!$N:$N), ""), IF(val="", "Not Reported", val)))</f>
        <v>0.1683333333</v>
      </c>
      <c r="BM26" s="20">
        <f t="array" ref="BM26">IF(ISBLANK($B26), "", LET(val, IFERROR(XLOOKUP($B26, 'Sponsor Connection'!$A:$A, 'Sponsor Connection'!$O:$O), ""), IF(val="", "Not Reported", val)))</f>
        <v>1.646666667</v>
      </c>
      <c r="BN26" s="21">
        <f t="array" ref="BN26">IF(ISBLANK($B26), "", LET(val, IFERROR(XLOOKUP($B26, 'Sponsor Connection'!$A:$A, 'Sponsor Connection'!$P:$P), ""), IF(val="", "Not Reported", val)))</f>
        <v>4.64</v>
      </c>
      <c r="BO26" s="13">
        <f t="array" ref="BO26">IF(ISBLANK($B26), "", LET(val, IFERROR(XLOOKUP($B26, 'Sponsor Connection'!$A:$A, 'Sponsor Connection'!$Q:$Q), ""), IF(val="", "Not Reported", val)))</f>
        <v>1</v>
      </c>
      <c r="BP26" s="16" t="str">
        <f t="array" ref="BP26">IFERROR(XLOOKUP($B26, 'Sponsor Connection'!$A:$A, 'Sponsor Connection'!$L:$L), )</f>
        <v>https://img.logo.dev/nexpoint.com?token=pk_FIVsDKgZTvCedVXXtt2rEg&amp;size=200&amp;retina=true</v>
      </c>
      <c r="BQ26" s="13">
        <f t="shared" si="8"/>
        <v>0.0604</v>
      </c>
      <c r="BR26" s="13">
        <f>IFERROR(VLOOKUP(L26, Benchmarks!$A$2:$D$15, 2, FALSE), "Not Analyzed")</f>
        <v>0.050338</v>
      </c>
      <c r="BS26" s="17" t="str">
        <f t="shared" si="9"/>
        <v>Above Average</v>
      </c>
      <c r="BT26" s="13">
        <f t="shared" si="10"/>
        <v>0.6940133038</v>
      </c>
      <c r="BU26" s="13">
        <f>IFERROR(VLOOKUP(L26, Benchmarks!$A$2:$D$15, 4, FALSE), "Not Analyzed")</f>
        <v>0.2473634914</v>
      </c>
      <c r="BV26" s="17" t="str">
        <f t="shared" si="11"/>
        <v>Above Average</v>
      </c>
      <c r="BW26" s="13">
        <f t="shared" si="12"/>
        <v>0.0764</v>
      </c>
      <c r="BX26" s="13">
        <f>IFERROR(VLOOKUP(L26, Benchmarks!$A$2:$D$15, 3, FALSE), "Not Analyzed")</f>
        <v>0.05289545455</v>
      </c>
      <c r="BY26" s="17" t="str">
        <f t="shared" si="13"/>
        <v>Above Average</v>
      </c>
      <c r="BZ26" s="17" t="str">
        <f t="shared" si="14"/>
        <v>Investment: NexPoint Waterford DST | Sponsor: NexPoint | Structure: Delaware Statutory Trust (DST) | Status: Available | LTV: 48.64% LTV | Availability: 0.956607731233533 | Location: NC | Strategy: Core-Plus | 721 Exchange Exit: Mandatory | Estimated Hold: 10 years | Cap Rate Equivalent: 0.0843874520098439 | Minimum Investment: 100000</v>
      </c>
      <c r="CA26" s="17" t="str">
        <f>A26&amp;" ("&amp;H26&amp;")"&amp;CHAR(10)&amp;CHAR(10)&amp;"NexPoint Waterford is a 1997-vintage, 240-unit garden multifamily community in Greensboro, NC (Piedmont Triad), 90.0% leased and held subject to a master lease to a sponsor-affiliated master tenant. The asset was acquired for $49.5M and capitalized at $61"&amp;".06M ($31.36M equity + $29.7M Freddie Mac loan fixed at 4.86%, full-term interest-only, 48.64% LTV), supported by an unusually large $4.55M trust reserve (7.46% of capitalization). The Core-Plus value-add plan funds interior and capital improvements to dr"&amp;"ive a steep projected cash-on-cash ramp from 4.51% in Year 1 to 7.64% in Year 10."&amp;CHAR(10)&amp;CHAR(10)&amp;"&gt;&gt; Download Offering Documents"&amp;CHAR(10)&amp;"https://www.baker1031.com/sponsors/nexpoint"</f>
        <v>NexPoint Waterford DST (48.64% LTV)
NexPoint Waterford is a 1997-vintage, 240-unit garden multifamily community in Greensboro, NC (Piedmont Triad), 90.0% leased and held subject to a master lease to a sponsor-affiliated master tenant. The asset was acquired for $49.5M and capitalized at $61.06M ($31.36M equity + $29.7M Freddie Mac loan fixed at 4.86%, full-term interest-only, 48.64% LTV), supported by an unusually large $4.55M trust reserve (7.46% of capitalization). The Core-Plus value-add plan funds interior and capital improvements to drive a steep projected cash-on-cash ramp from 4.51% in Year 1 to 7.64% in Year 10.
&gt;&gt; Download Offering Documents
https://www.baker1031.com/sponsors/nexpoint</v>
      </c>
    </row>
    <row r="27">
      <c r="A27" s="8" t="s">
        <v>587</v>
      </c>
      <c r="B27" s="8" t="s">
        <v>367</v>
      </c>
      <c r="C27" s="8" t="s">
        <v>81</v>
      </c>
      <c r="D27" s="8" t="s">
        <v>174</v>
      </c>
      <c r="E27" s="9">
        <v>1.37692566E8</v>
      </c>
      <c r="F27" s="9">
        <v>2.3751968E7</v>
      </c>
      <c r="G27" s="9">
        <v>1.13940598E8</v>
      </c>
      <c r="H27" s="8" t="s">
        <v>588</v>
      </c>
      <c r="I27" s="9">
        <v>0.0</v>
      </c>
      <c r="J27" s="10">
        <v>46193.0</v>
      </c>
      <c r="K27" s="11">
        <f t="shared" si="1"/>
        <v>0</v>
      </c>
      <c r="L27" s="8" t="s">
        <v>491</v>
      </c>
      <c r="M27" s="8" t="s">
        <v>589</v>
      </c>
      <c r="N27" s="12" t="str">
        <f>IFERROR(__xludf.DUMMYFUNCTION("TEXTJOIN("", "", TRUE, SORT(TRANSPOSE(SPLIT(M27, "", ""))))"),"MI")</f>
        <v>MI</v>
      </c>
      <c r="O27" s="12" t="s">
        <v>590</v>
      </c>
      <c r="P27" s="8" t="s">
        <v>87</v>
      </c>
      <c r="Q27" s="8" t="s">
        <v>258</v>
      </c>
      <c r="R27" s="8" t="s">
        <v>591</v>
      </c>
      <c r="S27" s="8" t="s">
        <v>592</v>
      </c>
      <c r="T27" s="8" t="s">
        <v>593</v>
      </c>
      <c r="U27" s="8" t="s">
        <v>594</v>
      </c>
      <c r="V27" s="8" t="s">
        <v>595</v>
      </c>
      <c r="W27" s="8" t="s">
        <v>596</v>
      </c>
      <c r="X27" s="8" t="s">
        <v>597</v>
      </c>
      <c r="Y27" s="8" t="s">
        <v>598</v>
      </c>
      <c r="Z27" s="8" t="s">
        <v>599</v>
      </c>
      <c r="AA27" s="8" t="s">
        <v>600</v>
      </c>
      <c r="AB27" s="11">
        <v>0.0</v>
      </c>
      <c r="AC27" s="11">
        <v>0.0</v>
      </c>
      <c r="AD27" s="11">
        <v>0.0</v>
      </c>
      <c r="AE27" s="11">
        <v>0.0</v>
      </c>
      <c r="AF27" s="11">
        <v>0.0</v>
      </c>
      <c r="AG27" s="11">
        <v>0.0</v>
      </c>
      <c r="AH27" s="11">
        <v>0.0</v>
      </c>
      <c r="AI27" s="11">
        <v>0.0</v>
      </c>
      <c r="AJ27" s="11">
        <v>0.0</v>
      </c>
      <c r="AK27" s="11">
        <v>0.0</v>
      </c>
      <c r="AL27" s="11">
        <v>0.0</v>
      </c>
      <c r="AM27" s="8" t="s">
        <v>501</v>
      </c>
      <c r="AN27" s="13">
        <f t="shared" si="2"/>
        <v>0.08509258046</v>
      </c>
      <c r="AO27" s="8" t="s">
        <v>601</v>
      </c>
      <c r="AP27" s="8" t="s">
        <v>602</v>
      </c>
      <c r="AQ27" s="8" t="s">
        <v>591</v>
      </c>
      <c r="AR27" s="8" t="s">
        <v>504</v>
      </c>
      <c r="AS27" s="8" t="s">
        <v>603</v>
      </c>
      <c r="AT27" s="12" t="s">
        <v>604</v>
      </c>
      <c r="AU27" s="8" t="s">
        <v>605</v>
      </c>
      <c r="AV27" s="22" t="s">
        <v>606</v>
      </c>
      <c r="AW27" s="15"/>
      <c r="AX27" s="9">
        <v>100000.0</v>
      </c>
      <c r="AY27" s="16" t="str">
        <f>IFERROR(__xludf.DUMMYFUNCTION("IF(ISBLANK(AV27), """", IF(REGEXMATCH(AV27, ""/file/d/""), ""https://lh3.googleusercontent.com/d/"" &amp; REGEXEXTRACT(AV27, ""/d/([a-zA-Z0-9_-]+)""), AV27))"),"https://lh3.googleusercontent.com/d/1rdurO1qY6vAjQAHA6mSQqD7VCN0VgYob")</f>
        <v>https://lh3.googleusercontent.com/d/1rdurO1qY6vAjQAHA6mSQqD7VCN0VgYob</v>
      </c>
      <c r="AZ27" s="13">
        <f t="shared" si="3"/>
        <v>0.06844705882</v>
      </c>
      <c r="BA27" s="17" t="str">
        <f t="shared" si="4"/>
        <v>Est. Tax-Adjusted Yield⁹</v>
      </c>
      <c r="BB27" s="17" t="str">
        <f t="shared" si="5"/>
        <v>Offering Documents Available By Request</v>
      </c>
      <c r="BC27" s="8" t="s">
        <v>607</v>
      </c>
      <c r="BD27" s="8" t="s">
        <v>390</v>
      </c>
      <c r="BE27" s="8" t="s">
        <v>509</v>
      </c>
      <c r="BF27" s="17" t="str">
        <f t="shared" si="6"/>
        <v>Learn More About Net Lease Capital Advisors</v>
      </c>
      <c r="BG27" s="17" t="str">
        <f t="shared" si="7"/>
        <v>Learn More About Office Properties</v>
      </c>
      <c r="BH27" s="17">
        <f t="array" ref="BH27">IFERROR(XLOOKUP($B27, 'Sponsor Connection'!$A:$A, 'Sponsor Connection'!$B:$B), )</f>
        <v>1996</v>
      </c>
      <c r="BI27" s="17" t="str">
        <f t="array" ref="BI27">IFERROR(XLOOKUP($B27, 'Sponsor Connection'!$A:$A, 'Sponsor Connection'!$D:$D), )</f>
        <v>Net Lease Capital Advisors is a Nashua, New Hampshire net-lease advisory and sponsorship firm, founded in 1996, with a distinctive specialization in single-tenant assets leased to the U.S. Government (GSA) and investment-grade corporates, and particular expertise in zero-cash-flow structures for 1031 exchangers. The firm cites more than $15 billion in closed net-lease transactions since inception—a lifetime volume figure rather than current AUM—and pairs property sponsorship with capital-gains tax structuring. Its government-credit niche is among the most defensive tenant profiles available to exchange investors.</v>
      </c>
      <c r="BJ27" s="18">
        <f t="array" ref="BJ27">IF($B27="", "", LET(aum, IFERROR(XLOOKUP($B27, 'Sponsor Connection'!$A:$A, 'Sponsor Connection'!$C:$C), ""), IF(OR(aum="", aum=0), "Not Reported", aum)))</f>
        <v>9200000000</v>
      </c>
      <c r="BK27" s="19">
        <f t="array" ref="BK27">IF(ISBLANK($B27), "", LET(val, IFERROR(XLOOKUP($B27, 'Sponsor Connection'!$A:$A, 'Sponsor Connection'!$M:$M), ""), IF(OR(ISBLANK(val), val="", val=0), "Not Reported", val)))</f>
        <v>3</v>
      </c>
      <c r="BL27" s="13">
        <f t="array" ref="BL27">IF(ISBLANK($B27), "", LET(val, IFERROR(XLOOKUP($B27, 'Sponsor Connection'!$A:$A, 'Sponsor Connection'!$N:$N), ""), IF(val="", "Not Reported", val)))</f>
        <v>0.08716666667</v>
      </c>
      <c r="BM27" s="20">
        <f t="array" ref="BM27">IF(ISBLANK($B27), "", LET(val, IFERROR(XLOOKUP($B27, 'Sponsor Connection'!$A:$A, 'Sponsor Connection'!$O:$O), ""), IF(val="", "Not Reported", val)))</f>
        <v>2.736666667</v>
      </c>
      <c r="BN27" s="21">
        <f t="array" ref="BN27">IF(ISBLANK($B27), "", LET(val, IFERROR(XLOOKUP($B27, 'Sponsor Connection'!$A:$A, 'Sponsor Connection'!$P:$P), ""), IF(val="", "Not Reported", val)))</f>
        <v>10.82333333</v>
      </c>
      <c r="BO27" s="13">
        <f t="array" ref="BO27">IF(ISBLANK($B27), "", LET(val, IFERROR(XLOOKUP($B27, 'Sponsor Connection'!$A:$A, 'Sponsor Connection'!$Q:$Q), ""), IF(val="", "Not Reported", val)))</f>
        <v>1</v>
      </c>
      <c r="BP27" s="16" t="str">
        <f t="array" ref="BP27">IFERROR(XLOOKUP($B27, 'Sponsor Connection'!$A:$A, 'Sponsor Connection'!$L:$L), )</f>
        <v>https://img.logo.dev/netleasecapital.com?token=pk_FIVsDKgZTvCedVXXtt2rEg&amp;size=200&amp;retina=true</v>
      </c>
      <c r="BQ27" s="13">
        <f t="shared" si="8"/>
        <v>0</v>
      </c>
      <c r="BR27" s="13">
        <f>IFERROR(VLOOKUP(L27, Benchmarks!$A$2:$D$15, 2, FALSE), "Not Analyzed")</f>
        <v>0.0279</v>
      </c>
      <c r="BS27" s="17" t="str">
        <f t="shared" si="9"/>
        <v>Not Analyzed</v>
      </c>
      <c r="BT27" s="13">
        <f t="shared" si="10"/>
        <v>0</v>
      </c>
      <c r="BU27" s="13">
        <f>IFERROR(VLOOKUP(L27, Benchmarks!$A$2:$D$15, 4, FALSE), "Not Analyzed")</f>
        <v>0.1147540984</v>
      </c>
      <c r="BV27" s="17" t="str">
        <f t="shared" si="11"/>
        <v>Not Analyzed</v>
      </c>
      <c r="BW27" s="13">
        <f t="shared" si="12"/>
        <v>0</v>
      </c>
      <c r="BX27" s="13">
        <f>IFERROR(VLOOKUP(L27, Benchmarks!$A$2:$D$15, 3, FALSE), "Not Analyzed")</f>
        <v>0.03</v>
      </c>
      <c r="BY27" s="17" t="str">
        <f t="shared" si="13"/>
        <v>Not Analyzed</v>
      </c>
      <c r="BZ27" s="17" t="str">
        <f t="shared" si="14"/>
        <v>Investment: NLC Financial Service HQ DST | Sponsor: Net Lease Capital Advisors | Structure: Delaware Statutory Trust (DST) | Status: Closed | LTV: 82.75% LTV | Availability: 0 | Location: MI | Strategy: Core | 721 Exchange Exit: None | Estimated Hold: 18 years | Cap Rate Equivalent: 0.085092580464938 | Minimum Investment: 100000</v>
      </c>
      <c r="CA27" s="17" t="str">
        <f>A27&amp;" ("&amp;H27&amp;")"&amp;CHAR(10)&amp;CHAR(10)&amp;"NLC Financial Service HQ is a Zero Cash Flow DST owning the Huntington Tower, a 2023-built, 20-story Class A office headquarters in downtown Detroit, 100% leased to The Huntington National Bank under a 22.5-year absolute-NNN lease expiring June 2044 with "&amp;"2.00% annual escalations, guaranteed by Huntington Bancshares (BBB+). By design, 100% of lease rent services mortgage debt, so no current distributions are paid; investor return accrues through amortization-driven equity buildup, 1031 tax-deferral, and ap"&amp;"preciation at disposition. The $137.69M transaction (79.30% share) comprises $23.75M equity and $113.94M assumed non-recourse debt (82.75% LTV) across senior and subordinated notes all maturing coterminous with the lease."&amp;CHAR(10)&amp;CHAR(10)&amp;"&gt;&gt; Download Offering Documents"&amp;CHAR(10)&amp;"https://www.baker1031.com/sponsors/net-lease-capital-advisors"</f>
        <v>NLC Financial Service HQ DST (82.75% LTV)
NLC Financial Service HQ is a Zero Cash Flow DST owning the Huntington Tower, a 2023-built, 20-story Class A office headquarters in downtown Detroit, 100% leased to The Huntington National Bank under a 22.5-year absolute-NNN lease expiring June 2044 with 2.00% annual escalations, guaranteed by Huntington Bancshares (BBB+). By design, 100% of lease rent services mortgage debt, so no current distributions are paid; investor return accrues through amortization-driven equity buildup, 1031 tax-deferral, and appreciation at disposition. The $137.69M transaction (79.30% share) comprises $23.75M equity and $113.94M assumed non-recourse debt (82.75% LTV) across senior and subordinated notes all maturing coterminous with the lease.
&gt;&gt; Download Offering Documents
https://www.baker1031.com/sponsors/net-lease-capital-advisors</v>
      </c>
    </row>
    <row r="28">
      <c r="A28" s="8" t="s">
        <v>608</v>
      </c>
      <c r="B28" s="8" t="s">
        <v>609</v>
      </c>
      <c r="C28" s="8" t="s">
        <v>81</v>
      </c>
      <c r="D28" s="8" t="s">
        <v>82</v>
      </c>
      <c r="E28" s="9">
        <v>8.3565E7</v>
      </c>
      <c r="F28" s="9">
        <v>4.435E7</v>
      </c>
      <c r="G28" s="9">
        <v>3.9215E7</v>
      </c>
      <c r="H28" s="8" t="s">
        <v>610</v>
      </c>
      <c r="I28" s="9">
        <v>2.0E7</v>
      </c>
      <c r="J28" s="10">
        <v>46196.0</v>
      </c>
      <c r="K28" s="11">
        <f t="shared" si="1"/>
        <v>0.4509582864</v>
      </c>
      <c r="L28" s="8" t="s">
        <v>176</v>
      </c>
      <c r="M28" s="8" t="s">
        <v>177</v>
      </c>
      <c r="N28" s="12" t="str">
        <f>IFERROR(__xludf.DUMMYFUNCTION("TEXTJOIN("", "", TRUE, SORT(TRANSPOSE(SPLIT(M28, "", ""))))"),"NC")</f>
        <v>NC</v>
      </c>
      <c r="O28" s="12" t="s">
        <v>611</v>
      </c>
      <c r="P28" s="8" t="s">
        <v>113</v>
      </c>
      <c r="Q28" s="8" t="s">
        <v>258</v>
      </c>
      <c r="R28" s="8" t="s">
        <v>89</v>
      </c>
      <c r="S28" s="8" t="s">
        <v>612</v>
      </c>
      <c r="T28" s="8" t="s">
        <v>613</v>
      </c>
      <c r="U28" s="8" t="s">
        <v>614</v>
      </c>
      <c r="V28" s="8" t="s">
        <v>615</v>
      </c>
      <c r="W28" s="8" t="s">
        <v>616</v>
      </c>
      <c r="X28" s="8" t="s">
        <v>617</v>
      </c>
      <c r="Y28" s="8" t="s">
        <v>618</v>
      </c>
      <c r="Z28" s="8" t="s">
        <v>619</v>
      </c>
      <c r="AA28" s="8" t="s">
        <v>620</v>
      </c>
      <c r="AB28" s="11">
        <v>0.0445</v>
      </c>
      <c r="AC28" s="11">
        <v>0.0456</v>
      </c>
      <c r="AD28" s="11">
        <v>0.0456</v>
      </c>
      <c r="AE28" s="11">
        <v>0.0469</v>
      </c>
      <c r="AF28" s="11">
        <v>0.0496</v>
      </c>
      <c r="AG28" s="11">
        <v>0.0505</v>
      </c>
      <c r="AH28" s="11">
        <v>0.0519</v>
      </c>
      <c r="AI28" s="11">
        <v>0.0472</v>
      </c>
      <c r="AJ28" s="11">
        <v>0.0487</v>
      </c>
      <c r="AK28" s="11">
        <v>0.0502</v>
      </c>
      <c r="AL28" s="11">
        <v>0.0481</v>
      </c>
      <c r="AM28" s="8" t="s">
        <v>501</v>
      </c>
      <c r="AN28" s="13">
        <f t="shared" si="2"/>
        <v>0.08358644971</v>
      </c>
      <c r="AO28" s="8" t="s">
        <v>621</v>
      </c>
      <c r="AP28" s="8" t="s">
        <v>622</v>
      </c>
      <c r="AQ28" s="8" t="s">
        <v>89</v>
      </c>
      <c r="AR28" s="8" t="s">
        <v>132</v>
      </c>
      <c r="AS28" s="8" t="s">
        <v>360</v>
      </c>
      <c r="AT28" s="12" t="s">
        <v>361</v>
      </c>
      <c r="AU28" s="8" t="s">
        <v>623</v>
      </c>
      <c r="AV28" s="14" t="s">
        <v>624</v>
      </c>
      <c r="AW28" s="15"/>
      <c r="AX28" s="9">
        <v>100000.0</v>
      </c>
      <c r="AY28" s="16" t="str">
        <f>IFERROR(__xludf.DUMMYFUNCTION("IF(ISBLANK(AV28), """", IF(REGEXMATCH(AV28, ""/file/d/""), ""https://lh3.googleusercontent.com/d/"" &amp; REGEXEXTRACT(AV28, ""/d/([a-zA-Z0-9_-]+)""), AV28))"),"https://lh3.googleusercontent.com/d/1JkqhF99raEFNfMXb_nl2AaP7PG0Lmh19")</f>
        <v>https://lh3.googleusercontent.com/d/1JkqhF99raEFNfMXb_nl2AaP7PG0Lmh19</v>
      </c>
      <c r="AZ28" s="13">
        <f t="shared" si="3"/>
        <v>0.1129470588</v>
      </c>
      <c r="BA28" s="17" t="str">
        <f t="shared" si="4"/>
        <v>Est. Tax-Adjusted Yield⁹</v>
      </c>
      <c r="BB28" s="17" t="str">
        <f t="shared" si="5"/>
        <v>Offering Documents Available By Request</v>
      </c>
      <c r="BC28" s="8" t="s">
        <v>625</v>
      </c>
      <c r="BD28" s="8" t="s">
        <v>626</v>
      </c>
      <c r="BE28" s="8" t="s">
        <v>197</v>
      </c>
      <c r="BF28" s="17" t="str">
        <f t="shared" si="6"/>
        <v>Learn More About Passco</v>
      </c>
      <c r="BG28" s="17" t="str">
        <f t="shared" si="7"/>
        <v>Learn More About Multifamily Properties</v>
      </c>
      <c r="BH28" s="17">
        <f t="array" ref="BH28">IFERROR(XLOOKUP($B28, 'Sponsor Connection'!$A:$A, 'Sponsor Connection'!$B:$B), )</f>
        <v>1998</v>
      </c>
      <c r="BI28" s="17" t="str">
        <f t="array" ref="BI28">IFERROR(XLOOKUP($B28, 'Sponsor Connection'!$A:$A, 'Sponsor Connection'!$D:$D), )</f>
        <v>Passco Companies is an Irvine multifamily and commercial sponsor, founded in 1998, whose founder Bill Passo helped pioneer the modern tenant-in-common 1031 structure that preceded the DST—giving the firm genuine standing in the history of securitized exchanges. With $4.1 billion in AUM as of late 2025 and more than $8 billion in lifetime acquisitions across multiple cycles, Passco concentrates on Class A multifamily in Southeastern and secondary/tertiary markets, owning or managing some 30,000 units. Its structural heritage and through-cycle acquisition record make it a seasoned, large-scale name in the category.</v>
      </c>
      <c r="BJ28" s="18">
        <f t="array" ref="BJ28">IF($B28="", "", LET(aum, IFERROR(XLOOKUP($B28, 'Sponsor Connection'!$A:$A, 'Sponsor Connection'!$C:$C), ""), IF(OR(aum="", aum=0), "Not Reported", aum)))</f>
        <v>4100000000</v>
      </c>
      <c r="BK28" s="19">
        <f t="array" ref="BK28">IF(ISBLANK($B28), "", LET(val, IFERROR(XLOOKUP($B28, 'Sponsor Connection'!$A:$A, 'Sponsor Connection'!$M:$M), ""), IF(OR(ISBLANK(val), val="", val=0), "Not Reported", val)))</f>
        <v>34</v>
      </c>
      <c r="BL28" s="13">
        <f t="array" ref="BL28">IF(ISBLANK($B28), "", LET(val, IFERROR(XLOOKUP($B28, 'Sponsor Connection'!$A:$A, 'Sponsor Connection'!$N:$N), ""), IF(val="", "Not Reported", val)))</f>
        <v>0.1233264706</v>
      </c>
      <c r="BM28" s="20">
        <f t="array" ref="BM28">IF(ISBLANK($B28), "", LET(val, IFERROR(XLOOKUP($B28, 'Sponsor Connection'!$A:$A, 'Sponsor Connection'!$O:$O), ""), IF(val="", "Not Reported", val)))</f>
        <v>1.915294118</v>
      </c>
      <c r="BN28" s="21">
        <f t="array" ref="BN28">IF(ISBLANK($B28), "", LET(val, IFERROR(XLOOKUP($B28, 'Sponsor Connection'!$A:$A, 'Sponsor Connection'!$P:$P), ""), IF(val="", "Not Reported", val)))</f>
        <v>5.676470588</v>
      </c>
      <c r="BO28" s="13">
        <f t="array" ref="BO28">IF(ISBLANK($B28), "", LET(val, IFERROR(XLOOKUP($B28, 'Sponsor Connection'!$A:$A, 'Sponsor Connection'!$Q:$Q), ""), IF(val="", "Not Reported", val)))</f>
        <v>1</v>
      </c>
      <c r="BP28" s="16" t="str">
        <f t="array" ref="BP28">IFERROR(XLOOKUP($B28, 'Sponsor Connection'!$A:$A, 'Sponsor Connection'!$L:$L), )</f>
        <v>https://img.logo.dev/passco.com?token=pk_FIVsDKgZTvCedVXXtt2rEg&amp;size=200&amp;retina=true</v>
      </c>
      <c r="BQ28" s="13">
        <f t="shared" si="8"/>
        <v>0.0481</v>
      </c>
      <c r="BR28" s="13">
        <f>IFERROR(VLOOKUP(L28, Benchmarks!$A$2:$D$15, 2, FALSE), "Not Analyzed")</f>
        <v>0.050338</v>
      </c>
      <c r="BS28" s="17" t="str">
        <f t="shared" si="9"/>
        <v>Meets Average</v>
      </c>
      <c r="BT28" s="13">
        <f t="shared" si="10"/>
        <v>0.1662921348</v>
      </c>
      <c r="BU28" s="13">
        <f>IFERROR(VLOOKUP(L28, Benchmarks!$A$2:$D$15, 4, FALSE), "Not Analyzed")</f>
        <v>0.2473634914</v>
      </c>
      <c r="BV28" s="17" t="str">
        <f t="shared" si="11"/>
        <v>Below Average</v>
      </c>
      <c r="BW28" s="13">
        <f t="shared" si="12"/>
        <v>0.0519</v>
      </c>
      <c r="BX28" s="13">
        <f>IFERROR(VLOOKUP(L28, Benchmarks!$A$2:$D$15, 3, FALSE), "Not Analyzed")</f>
        <v>0.05289545455</v>
      </c>
      <c r="BY28" s="17" t="str">
        <f t="shared" si="13"/>
        <v>Meets Average</v>
      </c>
      <c r="BZ28" s="17" t="str">
        <f t="shared" si="14"/>
        <v>Investment: Passco Preston Ridge DST | Sponsor: Passco | Structure: Delaware Statutory Trust (DST) | Status: Available | LTV: 46.93% LTV | Availability: 0.450958286358512 | Location: NC | Strategy: Core-Plus | 721 Exchange Exit: None | Estimated Hold: 10 years | Cap Rate Equivalent: 0.0835864497126228 | Minimum Investment: 100000</v>
      </c>
      <c r="CA28" s="17" t="str">
        <f>A28&amp;" ("&amp;H28&amp;")"&amp;CHAR(10)&amp;CHAR(10)&amp;"Passco Preston Ridge is a 2020/2023-vintage, 340-unit garden multifamily community in Hickory, NC, 89.12% occupied and acquired in January 2026 for a $73.08M gross price against a $73.3M appraisal. Total capitalization is $83.57M ($44.35M Class A equity +"&amp;" $39.22M KeyBank/Fannie Mae DUS loan fixed at 5.01%, seven-year interest-only then 30-year amortization). Net distributions are projected at 4.45% in 2026, rising to ~5.19% by 2032 before dipping to 4.72% in 2033 as amortization commences, under a Core-Pl"&amp;"us stabilization plan with Fogelman Properties management."&amp;CHAR(10)&amp;CHAR(10)&amp;"&gt;&gt; Download Offering Documents"&amp;CHAR(10)&amp;"https://www.baker1031.com/sponsors/passco"</f>
        <v>Passco Preston Ridge DST (46.93% LTV)
Passco Preston Ridge is a 2020/2023-vintage, 340-unit garden multifamily community in Hickory, NC, 89.12% occupied and acquired in January 2026 for a $73.08M gross price against a $73.3M appraisal. Total capitalization is $83.57M ($44.35M Class A equity + $39.22M KeyBank/Fannie Mae DUS loan fixed at 5.01%, seven-year interest-only then 30-year amortization). Net distributions are projected at 4.45% in 2026, rising to ~5.19% by 2032 before dipping to 4.72% in 2033 as amortization commences, under a Core-Plus stabilization plan with Fogelman Properties management.
&gt;&gt; Download Offering Documents
https://www.baker1031.com/sponsors/passco</v>
      </c>
    </row>
    <row r="29">
      <c r="A29" s="8" t="s">
        <v>627</v>
      </c>
      <c r="B29" s="8" t="s">
        <v>609</v>
      </c>
      <c r="C29" s="8" t="s">
        <v>81</v>
      </c>
      <c r="D29" s="8" t="s">
        <v>199</v>
      </c>
      <c r="E29" s="9">
        <v>8.9701E7</v>
      </c>
      <c r="F29" s="9">
        <v>4.89E7</v>
      </c>
      <c r="G29" s="9">
        <v>4.0801E7</v>
      </c>
      <c r="H29" s="8" t="s">
        <v>628</v>
      </c>
      <c r="I29" s="9">
        <v>5000000.0</v>
      </c>
      <c r="J29" s="10">
        <v>46196.0</v>
      </c>
      <c r="K29" s="11">
        <f t="shared" si="1"/>
        <v>0.1022494888</v>
      </c>
      <c r="L29" s="8" t="s">
        <v>176</v>
      </c>
      <c r="M29" s="8" t="s">
        <v>629</v>
      </c>
      <c r="N29" s="12" t="str">
        <f>IFERROR(__xludf.DUMMYFUNCTION("TEXTJOIN("", "", TRUE, SORT(TRANSPOSE(SPLIT(M29, "", ""))))"),"KY")</f>
        <v>KY</v>
      </c>
      <c r="O29" s="12" t="s">
        <v>630</v>
      </c>
      <c r="P29" s="8" t="s">
        <v>113</v>
      </c>
      <c r="Q29" s="8" t="s">
        <v>88</v>
      </c>
      <c r="R29" s="8" t="s">
        <v>89</v>
      </c>
      <c r="S29" s="8" t="s">
        <v>631</v>
      </c>
      <c r="T29" s="8" t="s">
        <v>632</v>
      </c>
      <c r="U29" s="8" t="s">
        <v>633</v>
      </c>
      <c r="V29" s="8" t="s">
        <v>634</v>
      </c>
      <c r="W29" s="8" t="s">
        <v>635</v>
      </c>
      <c r="X29" s="8" t="s">
        <v>636</v>
      </c>
      <c r="Y29" s="8" t="s">
        <v>637</v>
      </c>
      <c r="Z29" s="8" t="s">
        <v>638</v>
      </c>
      <c r="AA29" s="8" t="s">
        <v>639</v>
      </c>
      <c r="AB29" s="11">
        <v>0.0435</v>
      </c>
      <c r="AC29" s="11">
        <v>0.0435</v>
      </c>
      <c r="AD29" s="11">
        <v>0.0437</v>
      </c>
      <c r="AE29" s="11">
        <v>0.0446</v>
      </c>
      <c r="AF29" s="11">
        <v>0.0464</v>
      </c>
      <c r="AG29" s="11">
        <v>0.0482</v>
      </c>
      <c r="AH29" s="11">
        <v>0.0489</v>
      </c>
      <c r="AI29" s="11">
        <v>0.043</v>
      </c>
      <c r="AJ29" s="11">
        <v>0.0454</v>
      </c>
      <c r="AK29" s="11">
        <v>0.0481</v>
      </c>
      <c r="AL29" s="11">
        <v>0.0455</v>
      </c>
      <c r="AM29" s="8" t="s">
        <v>501</v>
      </c>
      <c r="AN29" s="13">
        <f t="shared" si="2"/>
        <v>0.08261642988</v>
      </c>
      <c r="AO29" s="8" t="s">
        <v>640</v>
      </c>
      <c r="AP29" s="8" t="s">
        <v>548</v>
      </c>
      <c r="AQ29" s="8" t="s">
        <v>89</v>
      </c>
      <c r="AR29" s="8" t="s">
        <v>132</v>
      </c>
      <c r="AS29" s="8" t="s">
        <v>360</v>
      </c>
      <c r="AT29" s="12" t="s">
        <v>641</v>
      </c>
      <c r="AU29" s="8" t="s">
        <v>642</v>
      </c>
      <c r="AV29" s="22" t="s">
        <v>643</v>
      </c>
      <c r="AW29" s="15"/>
      <c r="AX29" s="9">
        <v>100000.0</v>
      </c>
      <c r="AY29" s="16" t="str">
        <f>IFERROR(__xludf.DUMMYFUNCTION("IF(ISBLANK(AV29), """", IF(REGEXMATCH(AV29, ""/file/d/""), ""https://lh3.googleusercontent.com/d/"" &amp; REGEXEXTRACT(AV29, ""/d/([a-zA-Z0-9_-]+)""), AV29))"),"https://lh3.googleusercontent.com/d/1TdvSzDrJzQMgl-Pz1Qx4geNikr2Lud4L")</f>
        <v>https://lh3.googleusercontent.com/d/1TdvSzDrJzQMgl-Pz1Qx4geNikr2Lud4L</v>
      </c>
      <c r="AZ29" s="13">
        <f t="shared" si="3"/>
        <v>0.1119470588</v>
      </c>
      <c r="BA29" s="17" t="str">
        <f t="shared" si="4"/>
        <v>Est. Tax-Adjusted Yield⁹</v>
      </c>
      <c r="BB29" s="17" t="str">
        <f t="shared" si="5"/>
        <v>Offering Documents Available By Request</v>
      </c>
      <c r="BC29" s="8" t="s">
        <v>644</v>
      </c>
      <c r="BD29" s="8" t="s">
        <v>626</v>
      </c>
      <c r="BE29" s="8" t="s">
        <v>197</v>
      </c>
      <c r="BF29" s="17" t="str">
        <f t="shared" si="6"/>
        <v>Learn More About Passco</v>
      </c>
      <c r="BG29" s="17" t="str">
        <f t="shared" si="7"/>
        <v>Learn More About Multifamily Properties</v>
      </c>
      <c r="BH29" s="17">
        <f t="array" ref="BH29">IFERROR(XLOOKUP($B29, 'Sponsor Connection'!$A:$A, 'Sponsor Connection'!$B:$B), )</f>
        <v>1998</v>
      </c>
      <c r="BI29" s="17" t="str">
        <f t="array" ref="BI29">IFERROR(XLOOKUP($B29, 'Sponsor Connection'!$A:$A, 'Sponsor Connection'!$D:$D), )</f>
        <v>Passco Companies is an Irvine multifamily and commercial sponsor, founded in 1998, whose founder Bill Passo helped pioneer the modern tenant-in-common 1031 structure that preceded the DST—giving the firm genuine standing in the history of securitized exchanges. With $4.1 billion in AUM as of late 2025 and more than $8 billion in lifetime acquisitions across multiple cycles, Passco concentrates on Class A multifamily in Southeastern and secondary/tertiary markets, owning or managing some 30,000 units. Its structural heritage and through-cycle acquisition record make it a seasoned, large-scale name in the category.</v>
      </c>
      <c r="BJ29" s="18">
        <f t="array" ref="BJ29">IF($B29="", "", LET(aum, IFERROR(XLOOKUP($B29, 'Sponsor Connection'!$A:$A, 'Sponsor Connection'!$C:$C), ""), IF(OR(aum="", aum=0), "Not Reported", aum)))</f>
        <v>4100000000</v>
      </c>
      <c r="BK29" s="19">
        <f t="array" ref="BK29">IF(ISBLANK($B29), "", LET(val, IFERROR(XLOOKUP($B29, 'Sponsor Connection'!$A:$A, 'Sponsor Connection'!$M:$M), ""), IF(OR(ISBLANK(val), val="", val=0), "Not Reported", val)))</f>
        <v>34</v>
      </c>
      <c r="BL29" s="13">
        <f t="array" ref="BL29">IF(ISBLANK($B29), "", LET(val, IFERROR(XLOOKUP($B29, 'Sponsor Connection'!$A:$A, 'Sponsor Connection'!$N:$N), ""), IF(val="", "Not Reported", val)))</f>
        <v>0.1233264706</v>
      </c>
      <c r="BM29" s="20">
        <f t="array" ref="BM29">IF(ISBLANK($B29), "", LET(val, IFERROR(XLOOKUP($B29, 'Sponsor Connection'!$A:$A, 'Sponsor Connection'!$O:$O), ""), IF(val="", "Not Reported", val)))</f>
        <v>1.915294118</v>
      </c>
      <c r="BN29" s="21">
        <f t="array" ref="BN29">IF(ISBLANK($B29), "", LET(val, IFERROR(XLOOKUP($B29, 'Sponsor Connection'!$A:$A, 'Sponsor Connection'!$P:$P), ""), IF(val="", "Not Reported", val)))</f>
        <v>5.676470588</v>
      </c>
      <c r="BO29" s="13">
        <f t="array" ref="BO29">IF(ISBLANK($B29), "", LET(val, IFERROR(XLOOKUP($B29, 'Sponsor Connection'!$A:$A, 'Sponsor Connection'!$Q:$Q), ""), IF(val="", "Not Reported", val)))</f>
        <v>1</v>
      </c>
      <c r="BP29" s="16" t="str">
        <f t="array" ref="BP29">IFERROR(XLOOKUP($B29, 'Sponsor Connection'!$A:$A, 'Sponsor Connection'!$L:$L), )</f>
        <v>https://img.logo.dev/passco.com?token=pk_FIVsDKgZTvCedVXXtt2rEg&amp;size=200&amp;retina=true</v>
      </c>
      <c r="BQ29" s="13">
        <f t="shared" si="8"/>
        <v>0.0455</v>
      </c>
      <c r="BR29" s="13">
        <f>IFERROR(VLOOKUP(L29, Benchmarks!$A$2:$D$15, 2, FALSE), "Not Analyzed")</f>
        <v>0.050338</v>
      </c>
      <c r="BS29" s="17" t="str">
        <f t="shared" si="9"/>
        <v>Below Average</v>
      </c>
      <c r="BT29" s="13">
        <f t="shared" si="10"/>
        <v>0.124137931</v>
      </c>
      <c r="BU29" s="13">
        <f>IFERROR(VLOOKUP(L29, Benchmarks!$A$2:$D$15, 4, FALSE), "Not Analyzed")</f>
        <v>0.2473634914</v>
      </c>
      <c r="BV29" s="17" t="str">
        <f t="shared" si="11"/>
        <v>Below Average</v>
      </c>
      <c r="BW29" s="13">
        <f t="shared" si="12"/>
        <v>0.0489</v>
      </c>
      <c r="BX29" s="13">
        <f>IFERROR(VLOOKUP(L29, Benchmarks!$A$2:$D$15, 3, FALSE), "Not Analyzed")</f>
        <v>0.05289545455</v>
      </c>
      <c r="BY29" s="17" t="str">
        <f t="shared" si="13"/>
        <v>Meets Average</v>
      </c>
      <c r="BZ29" s="17" t="str">
        <f t="shared" si="14"/>
        <v>Investment: Passco Riverside DST | Sponsor: Passco | Structure: Delaware Statutory Trust (DST) | Status: Limited Availability | LTV: 45.49% LTV | Availability: 0.102249488752556 | Location: KY | Strategy: Core-Plus | 721 Exchange Exit: Optional | Estimated Hold: 10 years | Cap Rate Equivalent: 0.082616429883384 | Minimum Investment: 100000</v>
      </c>
      <c r="CA29" s="17" t="str">
        <f>A29&amp;" ("&amp;H29&amp;")"&amp;CHAR(10)&amp;CHAR(10)&amp;"Passco Riverside is a 265-unit Class A apartment community (Velo Riverside) completed in 2024 on the Northern Kentucky riverfront in Dayton, KY, directly across the Ohio River from downtown Cincinnati. The thesis monetizes cross-river cost arbitrage - CBD"&amp;" employer and logistics-cluster access against a lower Kentucky tax basis - into a forecast 2026 contraction in submarket deliveries. The operating plan targets occupancy normalization from 91.69% toward a modeled 94.24% via revenue management and ancilla"&amp;"ry-income growth, capitalized at 45.49% LTC on fixed-rate Fannie Mae DUS debt over a 10-year hold."&amp;CHAR(10)&amp;CHAR(10)&amp;"&gt;&gt; Download Offering Documents"&amp;CHAR(10)&amp;"https://www.baker1031.com/sponsors/passco"</f>
        <v>Passco Riverside DST (45.49% LTV)
Passco Riverside is a 265-unit Class A apartment community (Velo Riverside) completed in 2024 on the Northern Kentucky riverfront in Dayton, KY, directly across the Ohio River from downtown Cincinnati. The thesis monetizes cross-river cost arbitrage - CBD employer and logistics-cluster access against a lower Kentucky tax basis - into a forecast 2026 contraction in submarket deliveries. The operating plan targets occupancy normalization from 91.69% toward a modeled 94.24% via revenue management and ancillary-income growth, capitalized at 45.49% LTC on fixed-rate Fannie Mae DUS debt over a 10-year hold.
&gt;&gt; Download Offering Documents
https://www.baker1031.com/sponsors/passco</v>
      </c>
    </row>
    <row r="30">
      <c r="A30" s="8" t="s">
        <v>645</v>
      </c>
      <c r="B30" s="8" t="s">
        <v>646</v>
      </c>
      <c r="C30" s="8" t="s">
        <v>81</v>
      </c>
      <c r="D30" s="8" t="s">
        <v>82</v>
      </c>
      <c r="E30" s="9">
        <v>9.1509083E7</v>
      </c>
      <c r="F30" s="9">
        <v>9.1509083E7</v>
      </c>
      <c r="G30" s="9">
        <v>0.0</v>
      </c>
      <c r="H30" s="8" t="s">
        <v>83</v>
      </c>
      <c r="I30" s="9">
        <v>2.0E7</v>
      </c>
      <c r="J30" s="10">
        <v>46193.0</v>
      </c>
      <c r="K30" s="11">
        <f t="shared" si="1"/>
        <v>0.2185575393</v>
      </c>
      <c r="L30" s="8" t="s">
        <v>153</v>
      </c>
      <c r="M30" s="8" t="s">
        <v>236</v>
      </c>
      <c r="N30" s="12" t="str">
        <f>IFERROR(__xludf.DUMMYFUNCTION("TEXTJOIN("", "", TRUE, SORT(TRANSPOSE(SPLIT(M30, "", ""))))"),"GA")</f>
        <v>GA</v>
      </c>
      <c r="O30" s="12" t="s">
        <v>647</v>
      </c>
      <c r="P30" s="8" t="s">
        <v>87</v>
      </c>
      <c r="Q30" s="8" t="s">
        <v>258</v>
      </c>
      <c r="R30" s="8" t="s">
        <v>89</v>
      </c>
      <c r="S30" s="8" t="s">
        <v>648</v>
      </c>
      <c r="T30" s="8" t="s">
        <v>649</v>
      </c>
      <c r="U30" s="8" t="s">
        <v>650</v>
      </c>
      <c r="V30" s="8" t="s">
        <v>651</v>
      </c>
      <c r="W30" s="8" t="s">
        <v>652</v>
      </c>
      <c r="X30" s="8" t="s">
        <v>653</v>
      </c>
      <c r="Y30" s="8" t="s">
        <v>654</v>
      </c>
      <c r="Z30" s="8" t="s">
        <v>655</v>
      </c>
      <c r="AA30" s="8" t="s">
        <v>656</v>
      </c>
      <c r="AB30" s="11">
        <v>0.05</v>
      </c>
      <c r="AC30" s="11">
        <v>0.0507</v>
      </c>
      <c r="AD30" s="11">
        <v>0.051</v>
      </c>
      <c r="AE30" s="11">
        <v>0.0516</v>
      </c>
      <c r="AF30" s="11">
        <v>0.0523</v>
      </c>
      <c r="AG30" s="11">
        <v>0.0536</v>
      </c>
      <c r="AH30" s="11">
        <v>0.0544</v>
      </c>
      <c r="AI30" s="11">
        <v>0.0558</v>
      </c>
      <c r="AJ30" s="11">
        <v>0.057</v>
      </c>
      <c r="AK30" s="11">
        <v>0.0586</v>
      </c>
      <c r="AL30" s="11">
        <v>0.0535</v>
      </c>
      <c r="AM30" s="8" t="s">
        <v>501</v>
      </c>
      <c r="AN30" s="13">
        <f t="shared" si="2"/>
        <v>0.076</v>
      </c>
      <c r="AO30" s="8" t="s">
        <v>100</v>
      </c>
      <c r="AP30" s="8" t="s">
        <v>101</v>
      </c>
      <c r="AQ30" s="8" t="s">
        <v>101</v>
      </c>
      <c r="AR30" s="8" t="s">
        <v>101</v>
      </c>
      <c r="AS30" s="8" t="s">
        <v>101</v>
      </c>
      <c r="AT30" s="12" t="s">
        <v>102</v>
      </c>
      <c r="AU30" s="8" t="s">
        <v>657</v>
      </c>
      <c r="AV30" s="14" t="s">
        <v>658</v>
      </c>
      <c r="AW30" s="15"/>
      <c r="AX30" s="9">
        <v>100000.0</v>
      </c>
      <c r="AY30" s="16" t="str">
        <f>IFERROR(__xludf.DUMMYFUNCTION("IF(ISBLANK(AV30), """", IF(REGEXMATCH(AV30, ""/file/d/""), ""https://lh3.googleusercontent.com/d/"" &amp; REGEXEXTRACT(AV30, ""/d/([a-zA-Z0-9_-]+)""), AV30))"),"https://lh3.googleusercontent.com/d/1VRR4CuSy4Ugk4MD0g8dZsdmPGMot8Dcw")</f>
        <v>https://lh3.googleusercontent.com/d/1VRR4CuSy4Ugk4MD0g8dZsdmPGMot8Dcw</v>
      </c>
      <c r="AZ30" s="13">
        <f t="shared" si="3"/>
        <v>0.1184470588</v>
      </c>
      <c r="BA30" s="17" t="str">
        <f t="shared" si="4"/>
        <v>Est. Tax-Adjusted Yield⁹</v>
      </c>
      <c r="BB30" s="17" t="str">
        <f t="shared" si="5"/>
        <v>Offering Documents Available By Request</v>
      </c>
      <c r="BC30" s="8" t="s">
        <v>659</v>
      </c>
      <c r="BD30" s="8" t="s">
        <v>660</v>
      </c>
      <c r="BE30" s="8" t="s">
        <v>171</v>
      </c>
      <c r="BF30" s="17" t="str">
        <f t="shared" si="6"/>
        <v>Learn More About Peachtree Group</v>
      </c>
      <c r="BG30" s="17" t="str">
        <f t="shared" si="7"/>
        <v>Learn More About Industrial Properties</v>
      </c>
      <c r="BH30" s="17">
        <f t="array" ref="BH30">IFERROR(XLOOKUP($B30, 'Sponsor Connection'!$A:$A, 'Sponsor Connection'!$B:$B), )</f>
        <v>2007</v>
      </c>
      <c r="BI30" s="17" t="str">
        <f t="array" ref="BI30">IFERROR(XLOOKUP($B30, 'Sponsor Connection'!$A:$A, 'Sponsor Connection'!$D:$D), )</f>
        <v>Peachtree Group is an Atlanta vertically integrated investment manager with more than $2.5 billion in equity under management and over $9 billion in asset value, anchored in deep hospitality expertise across 48-plus hotels and extended into CRE lending, CPACE financing and, since 2022, a debt-free DST platform. Ranked a top-15 DST sponsor in 2024 on the strength of seven all-cash DST acquisitions, and complemented by EB-5 and QOZ programs, Peachtree brings unusual capital-markets breadth—equity, credit and tax-advantaged structures—to the exchange channel. The hospitality depth and lending arm differentiate it from pure-play property sponsors.</v>
      </c>
      <c r="BJ30" s="18">
        <f t="array" ref="BJ30">IF($B30="", "", LET(aum, IFERROR(XLOOKUP($B30, 'Sponsor Connection'!$A:$A, 'Sponsor Connection'!$C:$C), ""), IF(OR(aum="", aum=0), "Not Reported", aum)))</f>
        <v>2500000000</v>
      </c>
      <c r="BK30" s="19">
        <f t="array" ref="BK30">IF(ISBLANK($B30), "", LET(val, IFERROR(XLOOKUP($B30, 'Sponsor Connection'!$A:$A, 'Sponsor Connection'!$M:$M), ""), IF(OR(ISBLANK(val), val="", val=0), "Not Reported", val)))</f>
        <v>28</v>
      </c>
      <c r="BL30" s="13">
        <f t="array" ref="BL30">IF(ISBLANK($B30), "", LET(val, IFERROR(XLOOKUP($B30, 'Sponsor Connection'!$A:$A, 'Sponsor Connection'!$N:$N), ""), IF(val="", "Not Reported", val)))</f>
        <v>0.3118214286</v>
      </c>
      <c r="BM30" s="20">
        <f t="array" ref="BM30">IF(ISBLANK($B30), "", LET(val, IFERROR(XLOOKUP($B30, 'Sponsor Connection'!$A:$A, 'Sponsor Connection'!$O:$O), ""), IF(val="", "Not Reported", val)))</f>
        <v>2.1525</v>
      </c>
      <c r="BN30" s="21">
        <f t="array" ref="BN30">IF(ISBLANK($B30), "", LET(val, IFERROR(XLOOKUP($B30, 'Sponsor Connection'!$A:$A, 'Sponsor Connection'!$P:$P), ""), IF(val="", "Not Reported", val)))</f>
        <v>5.115357143</v>
      </c>
      <c r="BO30" s="13">
        <f t="array" ref="BO30">IF(ISBLANK($B30), "", LET(val, IFERROR(XLOOKUP($B30, 'Sponsor Connection'!$A:$A, 'Sponsor Connection'!$Q:$Q), ""), IF(val="", "Not Reported", val)))</f>
        <v>1</v>
      </c>
      <c r="BP30" s="16" t="str">
        <f t="array" ref="BP30">IFERROR(XLOOKUP($B30, 'Sponsor Connection'!$A:$A, 'Sponsor Connection'!$L:$L), )</f>
        <v>https://img.logo.dev/peachtreegroup.com?token=pk_FIVsDKgZTvCedVXXtt2rEg&amp;size=200&amp;retina=true</v>
      </c>
      <c r="BQ30" s="13">
        <f t="shared" si="8"/>
        <v>0.0535</v>
      </c>
      <c r="BR30" s="13">
        <f>IFERROR(VLOOKUP(L30, Benchmarks!$A$2:$D$15, 2, FALSE), "Not Analyzed")</f>
        <v>0</v>
      </c>
      <c r="BS30" s="17" t="str">
        <f t="shared" si="9"/>
        <v>Above Average</v>
      </c>
      <c r="BT30" s="13">
        <f t="shared" si="10"/>
        <v>0.172</v>
      </c>
      <c r="BU30" s="13">
        <f>IFERROR(VLOOKUP(L30, Benchmarks!$A$2:$D$15, 4, FALSE), "Not Analyzed")</f>
        <v>0.1441469396</v>
      </c>
      <c r="BV30" s="17" t="str">
        <f t="shared" si="11"/>
        <v>Above Average</v>
      </c>
      <c r="BW30" s="13">
        <f t="shared" si="12"/>
        <v>0.0586</v>
      </c>
      <c r="BX30" s="13">
        <f>IFERROR(VLOOKUP(L30, Benchmarks!$A$2:$D$15, 3, FALSE), "Not Analyzed")</f>
        <v>0.05854</v>
      </c>
      <c r="BY30" s="17" t="str">
        <f t="shared" si="13"/>
        <v>Meets Average</v>
      </c>
      <c r="BZ30" s="17" t="str">
        <f t="shared" si="14"/>
        <v>Investment: PG Savannah Industrial DST | Sponsor: Peachtree Group | Structure: Delaware Statutory Trust (DST) | Status: Available | LTV: 0.00% LTV | Availability: 0.21855753925542 | Location: GA | Strategy: Core | 721 Exchange Exit: None | Estimated Hold: 10 years | Cap Rate Equivalent: 0.076 | Minimum Investment: 100000</v>
      </c>
      <c r="CA30" s="17" t="str">
        <f>A30&amp;" ("&amp;H30&amp;")"&amp;CHAR(10)&amp;CHAR(10)&amp;"PG Savannah Industrial is a debt-free DST holding a 594,552 SF Class A bulk distribution warehouse in Midway, GA, within the Port of Savannah / I-95 logistics corridor, featuring 40-foot clear heights and 58 dock doors. The asset is 100% net-leased to Has"&amp;"bro (BBB/Baa2) under a new ~10-year NNN lease expiring May 2036 with 3.25% fixed annual escalations and tenant-reimbursed taxes, insurance, and management. It is held through a leasehold/bond-lease arrangement delivering a full ad valorem abatement throug"&amp;"h Year 8, supporting durable, contractually escalating investment-grade net-lease income."&amp;CHAR(10)&amp;CHAR(10)&amp;"&gt;&gt; Download Offering Documents"&amp;CHAR(10)&amp;"https://www.baker1031.com/sponsors/peachtree-group"</f>
        <v>PG Savannah Industrial DST (0.00% LTV)
PG Savannah Industrial is a debt-free DST holding a 594,552 SF Class A bulk distribution warehouse in Midway, GA, within the Port of Savannah / I-95 logistics corridor, featuring 40-foot clear heights and 58 dock doors. The asset is 100% net-leased to Hasbro (BBB/Baa2) under a new ~10-year NNN lease expiring May 2036 with 3.25% fixed annual escalations and tenant-reimbursed taxes, insurance, and management. It is held through a leasehold/bond-lease arrangement delivering a full ad valorem abatement through Year 8, supporting durable, contractually escalating investment-grade net-lease income.
&gt;&gt; Download Offering Documents
https://www.baker1031.com/sponsors/peachtree-group</v>
      </c>
    </row>
    <row r="31">
      <c r="A31" s="8" t="s">
        <v>661</v>
      </c>
      <c r="B31" s="8" t="s">
        <v>662</v>
      </c>
      <c r="C31" s="8" t="s">
        <v>81</v>
      </c>
      <c r="D31" s="8" t="s">
        <v>82</v>
      </c>
      <c r="E31" s="9">
        <v>4.0468388E7</v>
      </c>
      <c r="F31" s="9">
        <v>4.0468388E7</v>
      </c>
      <c r="G31" s="9">
        <v>0.0</v>
      </c>
      <c r="H31" s="8" t="s">
        <v>83</v>
      </c>
      <c r="I31" s="9">
        <v>1.2E7</v>
      </c>
      <c r="J31" s="10">
        <v>46202.0</v>
      </c>
      <c r="K31" s="11">
        <f t="shared" si="1"/>
        <v>0.296527749</v>
      </c>
      <c r="L31" s="8" t="s">
        <v>153</v>
      </c>
      <c r="M31" s="8" t="s">
        <v>663</v>
      </c>
      <c r="N31" s="12" t="str">
        <f>IFERROR(__xludf.DUMMYFUNCTION("TEXTJOIN("", "", TRUE, SORT(TRANSPOSE(SPLIT(M31, "", ""))))"),"IN")</f>
        <v>IN</v>
      </c>
      <c r="O31" s="12" t="s">
        <v>664</v>
      </c>
      <c r="P31" s="8" t="s">
        <v>87</v>
      </c>
      <c r="Q31" s="8" t="s">
        <v>258</v>
      </c>
      <c r="R31" s="8" t="s">
        <v>89</v>
      </c>
      <c r="S31" s="8" t="s">
        <v>665</v>
      </c>
      <c r="T31" s="8" t="s">
        <v>666</v>
      </c>
      <c r="U31" s="8" t="s">
        <v>667</v>
      </c>
      <c r="V31" s="8" t="s">
        <v>668</v>
      </c>
      <c r="W31" s="8" t="s">
        <v>669</v>
      </c>
      <c r="X31" s="8" t="s">
        <v>670</v>
      </c>
      <c r="Y31" s="8" t="s">
        <v>671</v>
      </c>
      <c r="Z31" s="8" t="s">
        <v>672</v>
      </c>
      <c r="AA31" s="8" t="s">
        <v>673</v>
      </c>
      <c r="AB31" s="11">
        <v>0.0481</v>
      </c>
      <c r="AC31" s="11">
        <v>0.0465</v>
      </c>
      <c r="AD31" s="11">
        <v>0.0492</v>
      </c>
      <c r="AE31" s="11">
        <v>0.0491</v>
      </c>
      <c r="AF31" s="11">
        <v>0.0491</v>
      </c>
      <c r="AG31" s="11">
        <v>0.0515</v>
      </c>
      <c r="AH31" s="11">
        <v>0.0514</v>
      </c>
      <c r="AI31" s="11">
        <v>0.0514</v>
      </c>
      <c r="AJ31" s="11">
        <v>0.0544</v>
      </c>
      <c r="AK31" s="11">
        <v>0.0543</v>
      </c>
      <c r="AL31" s="11">
        <v>0.0505</v>
      </c>
      <c r="AM31" s="8" t="s">
        <v>501</v>
      </c>
      <c r="AN31" s="13">
        <f t="shared" si="2"/>
        <v>0.074062</v>
      </c>
      <c r="AO31" s="8" t="s">
        <v>100</v>
      </c>
      <c r="AP31" s="8" t="s">
        <v>101</v>
      </c>
      <c r="AQ31" s="8" t="s">
        <v>101</v>
      </c>
      <c r="AR31" s="8" t="s">
        <v>101</v>
      </c>
      <c r="AS31" s="8" t="s">
        <v>101</v>
      </c>
      <c r="AT31" s="12" t="s">
        <v>102</v>
      </c>
      <c r="AU31" s="8" t="s">
        <v>674</v>
      </c>
      <c r="AV31" s="14" t="s">
        <v>675</v>
      </c>
      <c r="AW31" s="15"/>
      <c r="AX31" s="9">
        <v>100000.0</v>
      </c>
      <c r="AY31" s="16" t="str">
        <f>IFERROR(__xludf.DUMMYFUNCTION("IF(ISBLANK(AV31), """", IF(REGEXMATCH(AV31, ""/file/d/""), ""https://lh3.googleusercontent.com/d/"" &amp; REGEXEXTRACT(AV31, ""/d/([a-zA-Z0-9_-]+)""), AV31))"),"https://lh3.googleusercontent.com/d/1hVy0pJGp1NBQ7plv-HE83aCQna55A9OR")</f>
        <v>https://lh3.googleusercontent.com/d/1hVy0pJGp1NBQ7plv-HE83aCQna55A9OR</v>
      </c>
      <c r="AZ31" s="13">
        <f t="shared" si="3"/>
        <v>0.1165470588</v>
      </c>
      <c r="BA31" s="17" t="str">
        <f t="shared" si="4"/>
        <v>Est. Tax-Adjusted Yield⁹</v>
      </c>
      <c r="BB31" s="17" t="str">
        <f t="shared" si="5"/>
        <v>Offering Documents Available By Request</v>
      </c>
      <c r="BC31" s="8" t="s">
        <v>676</v>
      </c>
      <c r="BD31" s="8" t="s">
        <v>677</v>
      </c>
      <c r="BE31" s="8" t="s">
        <v>171</v>
      </c>
      <c r="BF31" s="17" t="str">
        <f t="shared" si="6"/>
        <v>Learn More About Sealy &amp; Company</v>
      </c>
      <c r="BG31" s="17" t="str">
        <f t="shared" si="7"/>
        <v>Learn More About Industrial Properties</v>
      </c>
      <c r="BH31" s="17">
        <f t="array" ref="BH31">IFERROR(XLOOKUP($B31, 'Sponsor Connection'!$A:$A, 'Sponsor Connection'!$B:$B), )</f>
        <v>1946</v>
      </c>
      <c r="BI31" s="17" t="str">
        <f t="array" ref="BI31">IFERROR(XLOOKUP($B31, 'Sponsor Connection'!$A:$A, 'Sponsor Connection'!$D:$D), )</f>
        <v>Sealy &amp; Company is a Shreveport- and Dallas-based industrial-only specialist, founded in 1946 and now in its fourth generation of family ownership, managing $3 billion across roughly 33 million square feet. The single-sector focus on industrial—the most secularly favored property type—paired with a 75-plus-year, nine-cycle track record and a vertically integrated platform across some 28 markets, makes Sealy a focused, durable operator. Its longevity and asset-class concentration are precisely the qualities institutional allocators prize in industrial.</v>
      </c>
      <c r="BJ31" s="18">
        <f t="array" ref="BJ31">IF($B31="", "", LET(aum, IFERROR(XLOOKUP($B31, 'Sponsor Connection'!$A:$A, 'Sponsor Connection'!$C:$C), ""), IF(OR(aum="", aum=0), "Not Reported", aum)))</f>
        <v>3000000000</v>
      </c>
      <c r="BK31" s="19" t="str">
        <f t="array" ref="BK31">IF(ISBLANK($B31), "", LET(val, IFERROR(XLOOKUP($B31, 'Sponsor Connection'!$A:$A, 'Sponsor Connection'!$M:$M), ""), IF(OR(ISBLANK(val), val="", val=0), "Not Reported", val)))</f>
        <v>Not Reported</v>
      </c>
      <c r="BL31" s="13" t="str">
        <f t="array" ref="BL31">IF(ISBLANK($B31), "", LET(val, IFERROR(XLOOKUP($B31, 'Sponsor Connection'!$A:$A, 'Sponsor Connection'!$N:$N), ""), IF(val="", "Not Reported", val)))</f>
        <v>No Data</v>
      </c>
      <c r="BM31" s="20" t="str">
        <f t="array" ref="BM31">IF(ISBLANK($B31), "", LET(val, IFERROR(XLOOKUP($B31, 'Sponsor Connection'!$A:$A, 'Sponsor Connection'!$O:$O), ""), IF(val="", "Not Reported", val)))</f>
        <v>No Data</v>
      </c>
      <c r="BN31" s="21" t="str">
        <f t="array" ref="BN31">IF(ISBLANK($B31), "", LET(val, IFERROR(XLOOKUP($B31, 'Sponsor Connection'!$A:$A, 'Sponsor Connection'!$P:$P), ""), IF(val="", "Not Reported", val)))</f>
        <v>No Data</v>
      </c>
      <c r="BO31" s="13" t="str">
        <f t="array" ref="BO31">IF(ISBLANK($B31), "", LET(val, IFERROR(XLOOKUP($B31, 'Sponsor Connection'!$A:$A, 'Sponsor Connection'!$Q:$Q), ""), IF(val="", "Not Reported", val)))</f>
        <v>No Data</v>
      </c>
      <c r="BP31" s="16" t="str">
        <f t="array" ref="BP31">IFERROR(XLOOKUP($B31, 'Sponsor Connection'!$A:$A, 'Sponsor Connection'!$L:$L), )</f>
        <v>https://img.logo.dev/sealynet.com?token=pk_FIVsDKgZTvCedVXXtt2rEg&amp;size=200&amp;retina=true</v>
      </c>
      <c r="BQ31" s="13">
        <f t="shared" si="8"/>
        <v>0.0505</v>
      </c>
      <c r="BR31" s="13">
        <f>IFERROR(VLOOKUP(L31, Benchmarks!$A$2:$D$15, 2, FALSE), "Not Analyzed")</f>
        <v>0</v>
      </c>
      <c r="BS31" s="17" t="str">
        <f t="shared" si="9"/>
        <v>Above Average</v>
      </c>
      <c r="BT31" s="13">
        <f t="shared" si="10"/>
        <v>0.130977131</v>
      </c>
      <c r="BU31" s="13">
        <f>IFERROR(VLOOKUP(L31, Benchmarks!$A$2:$D$15, 4, FALSE), "Not Analyzed")</f>
        <v>0.1441469396</v>
      </c>
      <c r="BV31" s="17" t="str">
        <f t="shared" si="11"/>
        <v>Below Average</v>
      </c>
      <c r="BW31" s="13">
        <f t="shared" si="12"/>
        <v>0.0544</v>
      </c>
      <c r="BX31" s="13">
        <f>IFERROR(VLOOKUP(L31, Benchmarks!$A$2:$D$15, 3, FALSE), "Not Analyzed")</f>
        <v>0.05854</v>
      </c>
      <c r="BY31" s="17" t="str">
        <f t="shared" si="13"/>
        <v>Meets Average</v>
      </c>
      <c r="BZ31" s="17" t="str">
        <f t="shared" si="14"/>
        <v>Investment: Sealy Industrial I, DST | Sponsor: Sealy &amp; Company | Structure: Delaware Statutory Trust (DST) | Status: Available | LTV: 0.00% LTV | Availability: 0.296527749017332 | Location: IN | Strategy: Core | 721 Exchange Exit: None | Estimated Hold: 10 years | Cap Rate Equivalent: 0.074062 | Minimum Investment: 100000</v>
      </c>
      <c r="CA31" s="17" t="str">
        <f>A31&amp;" ("&amp;H31&amp;")"&amp;CHAR(10)&amp;CHAR(10)&amp;"Sealy Industrial I is a debt-free DST holding a 300,000 SF Class A, climate-controlled bulk distribution warehouse completed in 2024 in Indianapolis, 100% net-leased to a Corteva (A-) subsidiary, Pioneer Hi-Bred, with ~10.5 years remaining plus two renewa"&amp;"l options and 5.5% triennial escalations. The mission-critical facility stores more than $1 billion of seed inventory 36 miles from Corteva's headquarters at the I-65/I-69/I-70 logistics crossroads. The thesis is durable, escalating, investment-grade-guar"&amp;"anteed net-lease income, sponsored by ~80-year industrial specialist Sealy &amp; Company over a 10-year hold."&amp;CHAR(10)&amp;CHAR(10)&amp;"&gt;&gt; Download Offering Documents"&amp;CHAR(10)&amp;"https://www.baker1031.com/sponsors/sealy-&amp;-company"</f>
        <v>Sealy Industrial I, DST (0.00% LTV)
Sealy Industrial I is a debt-free DST holding a 300,000 SF Class A, climate-controlled bulk distribution warehouse completed in 2024 in Indianapolis, 100% net-leased to a Corteva (A-) subsidiary, Pioneer Hi-Bred, with ~10.5 years remaining plus two renewal options and 5.5% triennial escalations. The mission-critical facility stores more than $1 billion of seed inventory 36 miles from Corteva's headquarters at the I-65/I-69/I-70 logistics crossroads. The thesis is durable, escalating, investment-grade-guaranteed net-lease income, sponsored by ~80-year industrial specialist Sealy &amp; Company over a 10-year hold.
&gt;&gt; Download Offering Documents
https://www.baker1031.com/sponsors/sealy-&amp;-company</v>
      </c>
    </row>
    <row r="32">
      <c r="A32" s="8" t="s">
        <v>678</v>
      </c>
      <c r="B32" s="8" t="s">
        <v>679</v>
      </c>
      <c r="C32" s="8" t="s">
        <v>81</v>
      </c>
      <c r="D32" s="8" t="s">
        <v>82</v>
      </c>
      <c r="E32" s="9">
        <v>4.1868E7</v>
      </c>
      <c r="F32" s="9">
        <v>2.257E7</v>
      </c>
      <c r="G32" s="9">
        <v>1.9298E7</v>
      </c>
      <c r="H32" s="8" t="s">
        <v>680</v>
      </c>
      <c r="I32" s="9">
        <v>2.1810005E7</v>
      </c>
      <c r="J32" s="10">
        <v>46162.0</v>
      </c>
      <c r="K32" s="11">
        <f t="shared" si="1"/>
        <v>0.9663272043</v>
      </c>
      <c r="L32" s="8" t="s">
        <v>176</v>
      </c>
      <c r="M32" s="8" t="s">
        <v>681</v>
      </c>
      <c r="N32" s="12" t="str">
        <f>IFERROR(__xludf.DUMMYFUNCTION("TEXTJOIN("", "", TRUE, SORT(TRANSPOSE(SPLIT(M32, "", ""))))"),"WA")</f>
        <v>WA</v>
      </c>
      <c r="O32" s="12" t="s">
        <v>682</v>
      </c>
      <c r="P32" s="8" t="s">
        <v>113</v>
      </c>
      <c r="Q32" s="8" t="s">
        <v>258</v>
      </c>
      <c r="R32" s="8" t="s">
        <v>89</v>
      </c>
      <c r="S32" s="8" t="s">
        <v>683</v>
      </c>
      <c r="T32" s="8" t="s">
        <v>684</v>
      </c>
      <c r="U32" s="8" t="s">
        <v>685</v>
      </c>
      <c r="V32" s="8" t="s">
        <v>686</v>
      </c>
      <c r="W32" s="8" t="s">
        <v>687</v>
      </c>
      <c r="X32" s="8" t="s">
        <v>688</v>
      </c>
      <c r="Y32" s="8" t="s">
        <v>689</v>
      </c>
      <c r="Z32" s="8" t="s">
        <v>690</v>
      </c>
      <c r="AA32" s="8" t="s">
        <v>691</v>
      </c>
      <c r="AB32" s="11">
        <v>0.0443</v>
      </c>
      <c r="AC32" s="11">
        <v>0.0445</v>
      </c>
      <c r="AD32" s="11">
        <v>0.0467</v>
      </c>
      <c r="AE32" s="11">
        <v>0.0491</v>
      </c>
      <c r="AF32" s="11">
        <v>0.0512</v>
      </c>
      <c r="AG32" s="11">
        <v>0.0534</v>
      </c>
      <c r="AH32" s="11">
        <v>0.0554</v>
      </c>
      <c r="AI32" s="11">
        <v>0.0467</v>
      </c>
      <c r="AJ32" s="11">
        <v>0.0494</v>
      </c>
      <c r="AK32" s="11">
        <v>0.0517</v>
      </c>
      <c r="AL32" s="11">
        <v>0.0492</v>
      </c>
      <c r="AM32" s="8" t="s">
        <v>501</v>
      </c>
      <c r="AN32" s="13">
        <f t="shared" si="2"/>
        <v>0.08323842648</v>
      </c>
      <c r="AO32" s="8" t="s">
        <v>640</v>
      </c>
      <c r="AP32" s="8" t="s">
        <v>692</v>
      </c>
      <c r="AQ32" s="8" t="s">
        <v>89</v>
      </c>
      <c r="AR32" s="8" t="s">
        <v>132</v>
      </c>
      <c r="AS32" s="8" t="s">
        <v>360</v>
      </c>
      <c r="AT32" s="12" t="s">
        <v>693</v>
      </c>
      <c r="AU32" s="8" t="s">
        <v>694</v>
      </c>
      <c r="AV32" s="14" t="s">
        <v>695</v>
      </c>
      <c r="AW32" s="15"/>
      <c r="AX32" s="9">
        <v>100000.0</v>
      </c>
      <c r="AY32" s="16" t="str">
        <f>IFERROR(__xludf.DUMMYFUNCTION("IF(ISBLANK(AV32), """", IF(REGEXMATCH(AV32, ""/file/d/""), ""https://lh3.googleusercontent.com/d/"" &amp; REGEXEXTRACT(AV32, ""/d/([a-zA-Z0-9_-]+)""), AV32))"),"https://lh3.googleusercontent.com/d/1WBZ_e81HmNfZ67lsbHDmQY-7RoDfgTBA")</f>
        <v>https://lh3.googleusercontent.com/d/1WBZ_e81HmNfZ67lsbHDmQY-7RoDfgTBA</v>
      </c>
      <c r="AZ32" s="13">
        <f t="shared" si="3"/>
        <v>0.1127470588</v>
      </c>
      <c r="BA32" s="17" t="str">
        <f t="shared" si="4"/>
        <v>Est. Tax-Adjusted Yield⁹</v>
      </c>
      <c r="BB32" s="17" t="str">
        <f t="shared" si="5"/>
        <v>Offering Documents Available By Request</v>
      </c>
      <c r="BC32" s="8" t="s">
        <v>696</v>
      </c>
      <c r="BD32" s="8" t="s">
        <v>697</v>
      </c>
      <c r="BE32" s="8" t="s">
        <v>197</v>
      </c>
      <c r="BF32" s="17" t="str">
        <f t="shared" si="6"/>
        <v>Learn More About Starboard Realty Advisors</v>
      </c>
      <c r="BG32" s="17" t="str">
        <f t="shared" si="7"/>
        <v>Learn More About Multifamily Properties</v>
      </c>
      <c r="BH32" s="17">
        <f t="array" ref="BH32">IFERROR(XLOOKUP($B32, 'Sponsor Connection'!$A:$A, 'Sponsor Connection'!$B:$B), )</f>
        <v>2014</v>
      </c>
      <c r="BI32" s="17" t="str">
        <f t="array" ref="BI32">IFERROR(XLOOKUP($B32, 'Sponsor Connection'!$A:$A, 'Sponsor Connection'!$D:$D), )</f>
        <v>Starboard Realty Advisors is an Irvine fully integrated firm, founded in 2014 and led by a CEO with prior Passco pedigree, acquiring multifamily and multi-tenant/NNN retail for 1031 clients, with more than $500 million in acquisitions and over 1,900 units. Its differentiation includes a DST Bridge Fund that supplies preferred equity, an ADU-driven multifamily value-add angle, and a disciplined 7-to-10-year stabilized hold model. The leadership lineage and integrated execution position it as a focused mid-market sponsor.</v>
      </c>
      <c r="BJ32" s="18">
        <f t="array" ref="BJ32">IF($B32="", "", LET(aum, IFERROR(XLOOKUP($B32, 'Sponsor Connection'!$A:$A, 'Sponsor Connection'!$C:$C), ""), IF(OR(aum="", aum=0), "Not Reported", aum)))</f>
        <v>500000000</v>
      </c>
      <c r="BK32" s="19">
        <f t="array" ref="BK32">IF(ISBLANK($B32), "", LET(val, IFERROR(XLOOKUP($B32, 'Sponsor Connection'!$A:$A, 'Sponsor Connection'!$M:$M), ""), IF(OR(ISBLANK(val), val="", val=0), "Not Reported", val)))</f>
        <v>4</v>
      </c>
      <c r="BL32" s="13">
        <f t="array" ref="BL32">IF(ISBLANK($B32), "", LET(val, IFERROR(XLOOKUP($B32, 'Sponsor Connection'!$A:$A, 'Sponsor Connection'!$N:$N), ""), IF(val="", "Not Reported", val)))</f>
        <v>0.063375</v>
      </c>
      <c r="BM32" s="20">
        <f t="array" ref="BM32">IF(ISBLANK($B32), "", LET(val, IFERROR(XLOOKUP($B32, 'Sponsor Connection'!$A:$A, 'Sponsor Connection'!$O:$O), ""), IF(val="", "Not Reported", val)))</f>
        <v>1.35</v>
      </c>
      <c r="BN32" s="21">
        <f t="array" ref="BN32">IF(ISBLANK($B32), "", LET(val, IFERROR(XLOOKUP($B32, 'Sponsor Connection'!$A:$A, 'Sponsor Connection'!$P:$P), ""), IF(val="", "Not Reported", val)))</f>
        <v>6.13</v>
      </c>
      <c r="BO32" s="13">
        <f t="array" ref="BO32">IF(ISBLANK($B32), "", LET(val, IFERROR(XLOOKUP($B32, 'Sponsor Connection'!$A:$A, 'Sponsor Connection'!$Q:$Q), ""), IF(val="", "Not Reported", val)))</f>
        <v>1</v>
      </c>
      <c r="BP32" s="16" t="str">
        <f t="array" ref="BP32">IFERROR(XLOOKUP($B32, 'Sponsor Connection'!$A:$A, 'Sponsor Connection'!$L:$L), )</f>
        <v>https://img.logo.dev/starboard-realty.com?token=pk_FIVsDKgZTvCedVXXtt2rEg&amp;size=200&amp;retina=true</v>
      </c>
      <c r="BQ32" s="13">
        <f t="shared" si="8"/>
        <v>0.0492</v>
      </c>
      <c r="BR32" s="13">
        <f>IFERROR(VLOOKUP(L32, Benchmarks!$A$2:$D$15, 2, FALSE), "Not Analyzed")</f>
        <v>0.050338</v>
      </c>
      <c r="BS32" s="17" t="str">
        <f t="shared" si="9"/>
        <v>Meets Average</v>
      </c>
      <c r="BT32" s="13">
        <f t="shared" si="10"/>
        <v>0.2505643341</v>
      </c>
      <c r="BU32" s="13">
        <f>IFERROR(VLOOKUP(L32, Benchmarks!$A$2:$D$15, 4, FALSE), "Not Analyzed")</f>
        <v>0.2473634914</v>
      </c>
      <c r="BV32" s="17" t="str">
        <f t="shared" si="11"/>
        <v>Meets Average</v>
      </c>
      <c r="BW32" s="13">
        <f t="shared" si="12"/>
        <v>0.0554</v>
      </c>
      <c r="BX32" s="13">
        <f>IFERROR(VLOOKUP(L32, Benchmarks!$A$2:$D$15, 3, FALSE), "Not Analyzed")</f>
        <v>0.05289545455</v>
      </c>
      <c r="BY32" s="17" t="str">
        <f t="shared" si="13"/>
        <v>Meets Average</v>
      </c>
      <c r="BZ32" s="17" t="str">
        <f t="shared" si="14"/>
        <v>Investment: Starboard Bradley DST | Sponsor: Starboard Realty Advisors | Structure: Delaware Statutory Trust (DST) | Status: Available | LTV: 46.09% LTV | Availability: 0.966327204253434 | Location: WA | Strategy: Core-Plus | 721 Exchange Exit: None | Estimated Hold: 10 years | Cap Rate Equivalent: 0.0832384264789002 | Minimum Investment: 100000</v>
      </c>
      <c r="CA32" s="17" t="str">
        <f>A32&amp;" ("&amp;H32&amp;")"&amp;CHAR(10)&amp;CHAR(10)&amp;"Starboard Bradley is a 144-unit, newly constructed garden multifamily community (The Banks on Bradley) in the Tri-Cities market of Richland, WA, held on a Freddie Mac fixed-rate loan (5.11% fixed, seven-year interest-only, 30-year amortization, 46.09% LTC"&amp;"). The investment thesis stabilizes the recently delivered asset from a Year-1 economic occupancy of ~80.5% toward ~90% as initial concessions burn off, capturing forecast Tri-Cities rent growth. It was acquired at a positive going-in basis, with the ~$34"&amp;".7M-$35.3M price below the $36.7M appraisal, over a 10-year hold."&amp;CHAR(10)&amp;CHAR(10)&amp;"&gt;&gt; Download Offering Documents"&amp;CHAR(10)&amp;"https://www.baker1031.com/sponsors/starboard-realty-advisors"</f>
        <v>Starboard Bradley DST (46.09% LTV)
Starboard Bradley is a 144-unit, newly constructed garden multifamily community (The Banks on Bradley) in the Tri-Cities market of Richland, WA, held on a Freddie Mac fixed-rate loan (5.11% fixed, seven-year interest-only, 30-year amortization, 46.09% LTC). The investment thesis stabilizes the recently delivered asset from a Year-1 economic occupancy of ~80.5% toward ~90% as initial concessions burn off, capturing forecast Tri-Cities rent growth. It was acquired at a positive going-in basis, with the ~$34.7M-$35.3M price below the $36.7M appraisal, over a 10-year hold.
&gt;&gt; Download Offering Documents
https://www.baker1031.com/sponsors/starboard-realty-advisors</v>
      </c>
    </row>
    <row r="33">
      <c r="A33" s="8" t="s">
        <v>698</v>
      </c>
      <c r="B33" s="8" t="s">
        <v>679</v>
      </c>
      <c r="C33" s="8" t="s">
        <v>81</v>
      </c>
      <c r="D33" s="8" t="s">
        <v>82</v>
      </c>
      <c r="E33" s="9">
        <v>4.4994E7</v>
      </c>
      <c r="F33" s="9">
        <v>2.131E7</v>
      </c>
      <c r="G33" s="9">
        <v>2.3684E7</v>
      </c>
      <c r="H33" s="8" t="s">
        <v>699</v>
      </c>
      <c r="I33" s="9">
        <v>1.174453E7</v>
      </c>
      <c r="J33" s="10">
        <v>46162.0</v>
      </c>
      <c r="K33" s="11">
        <f t="shared" si="1"/>
        <v>0.5511276396</v>
      </c>
      <c r="L33" s="8" t="s">
        <v>176</v>
      </c>
      <c r="M33" s="8" t="s">
        <v>700</v>
      </c>
      <c r="N33" s="12" t="str">
        <f>IFERROR(__xludf.DUMMYFUNCTION("TEXTJOIN("", "", TRUE, SORT(TRANSPOSE(SPLIT(M33, "", ""))))"),"OH")</f>
        <v>OH</v>
      </c>
      <c r="O33" s="12" t="s">
        <v>701</v>
      </c>
      <c r="P33" s="8" t="s">
        <v>113</v>
      </c>
      <c r="Q33" s="8" t="s">
        <v>88</v>
      </c>
      <c r="R33" s="8" t="s">
        <v>89</v>
      </c>
      <c r="S33" s="8" t="s">
        <v>702</v>
      </c>
      <c r="T33" s="8" t="s">
        <v>703</v>
      </c>
      <c r="U33" s="8" t="s">
        <v>704</v>
      </c>
      <c r="V33" s="8" t="s">
        <v>705</v>
      </c>
      <c r="W33" s="8" t="s">
        <v>706</v>
      </c>
      <c r="X33" s="8" t="s">
        <v>707</v>
      </c>
      <c r="Y33" s="8" t="s">
        <v>708</v>
      </c>
      <c r="Z33" s="8" t="s">
        <v>709</v>
      </c>
      <c r="AA33" s="8" t="s">
        <v>710</v>
      </c>
      <c r="AB33" s="11">
        <v>0.0452</v>
      </c>
      <c r="AC33" s="11">
        <v>0.0461</v>
      </c>
      <c r="AD33" s="11">
        <v>0.0467</v>
      </c>
      <c r="AE33" s="11">
        <v>0.045</v>
      </c>
      <c r="AF33" s="11">
        <v>0.0457</v>
      </c>
      <c r="AG33" s="11">
        <v>0.0477</v>
      </c>
      <c r="AH33" s="11">
        <v>0.0508</v>
      </c>
      <c r="AI33" s="11">
        <v>0.053</v>
      </c>
      <c r="AJ33" s="11">
        <v>0.0553</v>
      </c>
      <c r="AK33" s="11">
        <v>0.0577</v>
      </c>
      <c r="AL33" s="11">
        <v>0.0493</v>
      </c>
      <c r="AM33" s="8" t="s">
        <v>501</v>
      </c>
      <c r="AN33" s="13">
        <f t="shared" si="2"/>
        <v>0.08553758931</v>
      </c>
      <c r="AO33" s="8" t="s">
        <v>547</v>
      </c>
      <c r="AP33" s="8" t="s">
        <v>711</v>
      </c>
      <c r="AQ33" s="8" t="s">
        <v>89</v>
      </c>
      <c r="AR33" s="8" t="s">
        <v>89</v>
      </c>
      <c r="AS33" s="8" t="s">
        <v>145</v>
      </c>
      <c r="AT33" s="12" t="s">
        <v>712</v>
      </c>
      <c r="AU33" s="8" t="s">
        <v>713</v>
      </c>
      <c r="AV33" s="22" t="s">
        <v>714</v>
      </c>
      <c r="AW33" s="15"/>
      <c r="AX33" s="9">
        <v>100000.0</v>
      </c>
      <c r="AY33" s="16" t="str">
        <f>IFERROR(__xludf.DUMMYFUNCTION("IF(ISBLANK(AV33), """", IF(REGEXMATCH(AV33, ""/file/d/""), ""https://lh3.googleusercontent.com/d/"" &amp; REGEXEXTRACT(AV33, ""/d/([a-zA-Z0-9_-]+)""), AV33))"),"https://lh3.googleusercontent.com/d/1ksYyUHr3LEBLUD4z68M4E-9x4tScjRNQ")</f>
        <v>https://lh3.googleusercontent.com/d/1ksYyUHr3LEBLUD4z68M4E-9x4tScjRNQ</v>
      </c>
      <c r="AZ33" s="13">
        <f t="shared" si="3"/>
        <v>0.1136470588</v>
      </c>
      <c r="BA33" s="17" t="str">
        <f t="shared" si="4"/>
        <v>Est. Tax-Adjusted Yield⁹</v>
      </c>
      <c r="BB33" s="17" t="str">
        <f t="shared" si="5"/>
        <v>Offering Documents Available By Request</v>
      </c>
      <c r="BC33" s="8" t="s">
        <v>715</v>
      </c>
      <c r="BD33" s="8" t="s">
        <v>697</v>
      </c>
      <c r="BE33" s="8" t="s">
        <v>197</v>
      </c>
      <c r="BF33" s="17" t="str">
        <f t="shared" si="6"/>
        <v>Learn More About Starboard Realty Advisors</v>
      </c>
      <c r="BG33" s="17" t="str">
        <f t="shared" si="7"/>
        <v>Learn More About Multifamily Properties</v>
      </c>
      <c r="BH33" s="17">
        <f t="array" ref="BH33">IFERROR(XLOOKUP($B33, 'Sponsor Connection'!$A:$A, 'Sponsor Connection'!$B:$B), )</f>
        <v>2014</v>
      </c>
      <c r="BI33" s="17" t="str">
        <f t="array" ref="BI33">IFERROR(XLOOKUP($B33, 'Sponsor Connection'!$A:$A, 'Sponsor Connection'!$D:$D), )</f>
        <v>Starboard Realty Advisors is an Irvine fully integrated firm, founded in 2014 and led by a CEO with prior Passco pedigree, acquiring multifamily and multi-tenant/NNN retail for 1031 clients, with more than $500 million in acquisitions and over 1,900 units. Its differentiation includes a DST Bridge Fund that supplies preferred equity, an ADU-driven multifamily value-add angle, and a disciplined 7-to-10-year stabilized hold model. The leadership lineage and integrated execution position it as a focused mid-market sponsor.</v>
      </c>
      <c r="BJ33" s="18">
        <f t="array" ref="BJ33">IF($B33="", "", LET(aum, IFERROR(XLOOKUP($B33, 'Sponsor Connection'!$A:$A, 'Sponsor Connection'!$C:$C), ""), IF(OR(aum="", aum=0), "Not Reported", aum)))</f>
        <v>500000000</v>
      </c>
      <c r="BK33" s="19">
        <f t="array" ref="BK33">IF(ISBLANK($B33), "", LET(val, IFERROR(XLOOKUP($B33, 'Sponsor Connection'!$A:$A, 'Sponsor Connection'!$M:$M), ""), IF(OR(ISBLANK(val), val="", val=0), "Not Reported", val)))</f>
        <v>4</v>
      </c>
      <c r="BL33" s="13">
        <f t="array" ref="BL33">IF(ISBLANK($B33), "", LET(val, IFERROR(XLOOKUP($B33, 'Sponsor Connection'!$A:$A, 'Sponsor Connection'!$N:$N), ""), IF(val="", "Not Reported", val)))</f>
        <v>0.063375</v>
      </c>
      <c r="BM33" s="20">
        <f t="array" ref="BM33">IF(ISBLANK($B33), "", LET(val, IFERROR(XLOOKUP($B33, 'Sponsor Connection'!$A:$A, 'Sponsor Connection'!$O:$O), ""), IF(val="", "Not Reported", val)))</f>
        <v>1.35</v>
      </c>
      <c r="BN33" s="21">
        <f t="array" ref="BN33">IF(ISBLANK($B33), "", LET(val, IFERROR(XLOOKUP($B33, 'Sponsor Connection'!$A:$A, 'Sponsor Connection'!$P:$P), ""), IF(val="", "Not Reported", val)))</f>
        <v>6.13</v>
      </c>
      <c r="BO33" s="13">
        <f t="array" ref="BO33">IF(ISBLANK($B33), "", LET(val, IFERROR(XLOOKUP($B33, 'Sponsor Connection'!$A:$A, 'Sponsor Connection'!$Q:$Q), ""), IF(val="", "Not Reported", val)))</f>
        <v>1</v>
      </c>
      <c r="BP33" s="16" t="str">
        <f t="array" ref="BP33">IFERROR(XLOOKUP($B33, 'Sponsor Connection'!$A:$A, 'Sponsor Connection'!$L:$L), )</f>
        <v>https://img.logo.dev/starboard-realty.com?token=pk_FIVsDKgZTvCedVXXtt2rEg&amp;size=200&amp;retina=true</v>
      </c>
      <c r="BQ33" s="13">
        <f t="shared" si="8"/>
        <v>0.0493</v>
      </c>
      <c r="BR33" s="13">
        <f>IFERROR(VLOOKUP(L33, Benchmarks!$A$2:$D$15, 2, FALSE), "Not Analyzed")</f>
        <v>0.050338</v>
      </c>
      <c r="BS33" s="17" t="str">
        <f t="shared" si="9"/>
        <v>Meets Average</v>
      </c>
      <c r="BT33" s="13">
        <f t="shared" si="10"/>
        <v>0.2765486726</v>
      </c>
      <c r="BU33" s="13">
        <f>IFERROR(VLOOKUP(L33, Benchmarks!$A$2:$D$15, 4, FALSE), "Not Analyzed")</f>
        <v>0.2473634914</v>
      </c>
      <c r="BV33" s="17" t="str">
        <f t="shared" si="11"/>
        <v>Above Average</v>
      </c>
      <c r="BW33" s="13">
        <f t="shared" si="12"/>
        <v>0.0577</v>
      </c>
      <c r="BX33" s="13">
        <f>IFERROR(VLOOKUP(L33, Benchmarks!$A$2:$D$15, 3, FALSE), "Not Analyzed")</f>
        <v>0.05289545455</v>
      </c>
      <c r="BY33" s="17" t="str">
        <f t="shared" si="13"/>
        <v>Meets Average</v>
      </c>
      <c r="BZ33" s="17" t="str">
        <f t="shared" si="14"/>
        <v>Investment: Starboard Makley DST | Sponsor: Starboard Realty Advisors | Structure: Delaware Statutory Trust (DST) | Status: Available | LTV: 52.64% LTV | Availability: 0.551127639605819 | Location: OH | Strategy: Core-Plus | 721 Exchange Exit: Optional | Estimated Hold: 10 years | Cap Rate Equivalent: 0.085537589313285 | Minimum Investment: 100000</v>
      </c>
      <c r="CA33" s="17" t="str">
        <f>A33&amp;" ("&amp;H33&amp;")"&amp;CHAR(10)&amp;CHAR(10)&amp;"Starboard Makley is a recently delivered, 140-unit Class A mixed-use community in an OSU-adjacent infill submarket of Columbus, OH, drawing on a deep university, healthcare, and public-administration renter pool. The asset carries a City of Columbus Commu"&amp;"nity Reinvestment Area agreement abating 100% of the assessed-value increment for 15 years in exchange for 28 income-restricted units, financed with fixed-rate, interest-only Freddie Mac debt (52.64% LTV). The thesis is stabilization-and-optimization - cl"&amp;"osing the ~260 bp gap between in-place (91.4%) and stabilized (94%) occupancy while layering corporate-rental and resident-protection ancillary revenue under a sponsor-affiliated master lease."&amp;CHAR(10)&amp;CHAR(10)&amp;"&gt;&gt; Download Offering Documents"&amp;CHAR(10)&amp;"https://www.baker1031.com/sponsors/starboard-realty-advisors"</f>
        <v>Starboard Makley DST (52.64% LTV)
Starboard Makley is a recently delivered, 140-unit Class A mixed-use community in an OSU-adjacent infill submarket of Columbus, OH, drawing on a deep university, healthcare, and public-administration renter pool. The asset carries a City of Columbus Community Reinvestment Area agreement abating 100% of the assessed-value increment for 15 years in exchange for 28 income-restricted units, financed with fixed-rate, interest-only Freddie Mac debt (52.64% LTV). The thesis is stabilization-and-optimization - closing the ~260 bp gap between in-place (91.4%) and stabilized (94%) occupancy while layering corporate-rental and resident-protection ancillary revenue under a sponsor-affiliated master lease.
&gt;&gt; Download Offering Documents
https://www.baker1031.com/sponsors/starboard-realty-advisors</v>
      </c>
    </row>
    <row r="34">
      <c r="A34" s="8" t="s">
        <v>716</v>
      </c>
      <c r="B34" s="8" t="s">
        <v>717</v>
      </c>
      <c r="C34" s="8" t="s">
        <v>81</v>
      </c>
      <c r="D34" s="8" t="s">
        <v>152</v>
      </c>
      <c r="E34" s="9">
        <v>7.5983939E7</v>
      </c>
      <c r="F34" s="9">
        <v>4.0178939E7</v>
      </c>
      <c r="G34" s="9">
        <v>3.5805E7</v>
      </c>
      <c r="H34" s="8" t="s">
        <v>718</v>
      </c>
      <c r="I34" s="9">
        <v>3.1433942E7</v>
      </c>
      <c r="J34" s="10">
        <v>46202.0</v>
      </c>
      <c r="K34" s="11">
        <f t="shared" si="1"/>
        <v>0.7823487325</v>
      </c>
      <c r="L34" s="8" t="s">
        <v>719</v>
      </c>
      <c r="M34" s="8" t="s">
        <v>720</v>
      </c>
      <c r="N34" s="12" t="str">
        <f>IFERROR(__xludf.DUMMYFUNCTION("TEXTJOIN("", "", TRUE, SORT(TRANSPOSE(SPLIT(M34, "", ""))))"),"WV")</f>
        <v>WV</v>
      </c>
      <c r="O34" s="12" t="s">
        <v>721</v>
      </c>
      <c r="P34" s="8" t="s">
        <v>113</v>
      </c>
      <c r="Q34" s="8" t="s">
        <v>156</v>
      </c>
      <c r="R34" s="8" t="s">
        <v>89</v>
      </c>
      <c r="S34" s="8" t="s">
        <v>722</v>
      </c>
      <c r="T34" s="8" t="s">
        <v>723</v>
      </c>
      <c r="U34" s="8" t="s">
        <v>724</v>
      </c>
      <c r="V34" s="8" t="s">
        <v>725</v>
      </c>
      <c r="W34" s="8" t="s">
        <v>726</v>
      </c>
      <c r="X34" s="8" t="s">
        <v>727</v>
      </c>
      <c r="Y34" s="8" t="s">
        <v>728</v>
      </c>
      <c r="Z34" s="8" t="s">
        <v>729</v>
      </c>
      <c r="AA34" s="8" t="s">
        <v>730</v>
      </c>
      <c r="AB34" s="11">
        <v>0.05</v>
      </c>
      <c r="AC34" s="11">
        <v>0.0548</v>
      </c>
      <c r="AD34" s="11">
        <v>0.0576</v>
      </c>
      <c r="AE34" s="11">
        <v>0.0549</v>
      </c>
      <c r="AF34" s="11">
        <v>0.0585</v>
      </c>
      <c r="AG34" s="11">
        <v>0.062</v>
      </c>
      <c r="AH34" s="11">
        <v>0.0658</v>
      </c>
      <c r="AI34" s="11">
        <v>0.0696</v>
      </c>
      <c r="AJ34" s="11">
        <v>0.0735</v>
      </c>
      <c r="AK34" s="11">
        <v>0.0769</v>
      </c>
      <c r="AL34" s="11">
        <v>0.0624</v>
      </c>
      <c r="AM34" s="11">
        <v>0.081</v>
      </c>
      <c r="AN34" s="13">
        <f t="shared" si="2"/>
        <v>0.08665827663</v>
      </c>
      <c r="AO34" s="8" t="s">
        <v>731</v>
      </c>
      <c r="AP34" s="8" t="s">
        <v>732</v>
      </c>
      <c r="AQ34" s="8" t="s">
        <v>89</v>
      </c>
      <c r="AR34" s="8" t="s">
        <v>89</v>
      </c>
      <c r="AS34" s="8" t="s">
        <v>145</v>
      </c>
      <c r="AT34" s="12" t="s">
        <v>693</v>
      </c>
      <c r="AU34" s="8" t="s">
        <v>733</v>
      </c>
      <c r="AV34" s="22" t="s">
        <v>734</v>
      </c>
      <c r="AW34" s="15"/>
      <c r="AX34" s="9">
        <v>100000.0</v>
      </c>
      <c r="AY34" s="16" t="str">
        <f>IFERROR(__xludf.DUMMYFUNCTION("IF(ISBLANK(AV34), """", IF(REGEXMATCH(AV34, ""/file/d/""), ""https://lh3.googleusercontent.com/d/"" &amp; REGEXEXTRACT(AV34, ""/d/([a-zA-Z0-9_-]+)""), AV34))"),"https://lh3.googleusercontent.com/d/1B59bXHp6z_7rNJGyHz2lNu_XKF9yhRpn=s0")</f>
        <v>https://lh3.googleusercontent.com/d/1B59bXHp6z_7rNJGyHz2lNu_XKF9yhRpn=s0</v>
      </c>
      <c r="AZ34" s="13">
        <f t="shared" si="3"/>
        <v>0.081</v>
      </c>
      <c r="BA34" s="17" t="str">
        <f t="shared" si="4"/>
        <v>Tax-Adjusted Yield</v>
      </c>
      <c r="BB34" s="17" t="str">
        <f t="shared" si="5"/>
        <v>Offering Documents Available By Request</v>
      </c>
      <c r="BC34" s="8" t="s">
        <v>735</v>
      </c>
      <c r="BD34" s="8" t="s">
        <v>736</v>
      </c>
      <c r="BE34" s="8" t="s">
        <v>737</v>
      </c>
      <c r="BF34" s="17" t="str">
        <f t="shared" si="6"/>
        <v>Learn More About Fortress Investment Group</v>
      </c>
      <c r="BG34" s="17" t="str">
        <f t="shared" si="7"/>
        <v>Learn More About Student Housing Properties</v>
      </c>
      <c r="BH34" s="17">
        <f t="array" ref="BH34">IFERROR(XLOOKUP($B34, 'Sponsor Connection'!$A:$A, 'Sponsor Connection'!$B:$B), )</f>
        <v>1998</v>
      </c>
      <c r="BI34" s="17" t="str">
        <f t="array" ref="BI34">IFERROR(XLOOKUP($B34, 'Sponsor Connection'!$A:$A, 'Sponsor Connection'!$D:$D), )</f>
        <v>Fortress Investment Group is a roughly $49 billion diversified alternatives manager spanning credit, real estate and private equity, with a heritage rooted in distressed and credit investing. Its real estate exposure runs through funds and net-lease vehicles rather than a marquee retail DST franchise, and its Mubadala ownership provides a deep, patient capital base. For exchange investors, the relevance is institutional underwriting and balance-sheet strength, set against the reality that property sponsorship is one line in a credit-centric business.</v>
      </c>
      <c r="BJ34" s="18">
        <f t="array" ref="BJ34">IF($B34="", "", LET(aum, IFERROR(XLOOKUP($B34, 'Sponsor Connection'!$A:$A, 'Sponsor Connection'!$C:$C), ""), IF(OR(aum="", aum=0), "Not Reported", aum)))</f>
        <v>49000000000</v>
      </c>
      <c r="BK34" s="19" t="str">
        <f t="array" ref="BK34">IF(ISBLANK($B34), "", LET(val, IFERROR(XLOOKUP($B34, 'Sponsor Connection'!$A:$A, 'Sponsor Connection'!$M:$M), ""), IF(OR(ISBLANK(val), val="", val=0), "Not Reported", val)))</f>
        <v>Not Reported</v>
      </c>
      <c r="BL34" s="13" t="str">
        <f t="array" ref="BL34">IF(ISBLANK($B34), "", LET(val, IFERROR(XLOOKUP($B34, 'Sponsor Connection'!$A:$A, 'Sponsor Connection'!$N:$N), ""), IF(val="", "Not Reported", val)))</f>
        <v>No Data</v>
      </c>
      <c r="BM34" s="20" t="str">
        <f t="array" ref="BM34">IF(ISBLANK($B34), "", LET(val, IFERROR(XLOOKUP($B34, 'Sponsor Connection'!$A:$A, 'Sponsor Connection'!$O:$O), ""), IF(val="", "Not Reported", val)))</f>
        <v>No Data</v>
      </c>
      <c r="BN34" s="21" t="str">
        <f t="array" ref="BN34">IF(ISBLANK($B34), "", LET(val, IFERROR(XLOOKUP($B34, 'Sponsor Connection'!$A:$A, 'Sponsor Connection'!$P:$P), ""), IF(val="", "Not Reported", val)))</f>
        <v>No Data</v>
      </c>
      <c r="BO34" s="13" t="str">
        <f t="array" ref="BO34">IF(ISBLANK($B34), "", LET(val, IFERROR(XLOOKUP($B34, 'Sponsor Connection'!$A:$A, 'Sponsor Connection'!$Q:$Q), ""), IF(val="", "Not Reported", val)))</f>
        <v>No Data</v>
      </c>
      <c r="BP34" s="16" t="str">
        <f t="array" ref="BP34">IFERROR(XLOOKUP($B34, 'Sponsor Connection'!$A:$A, 'Sponsor Connection'!$L:$L), )</f>
        <v>https://img.logo.dev/fortress.com?token=pk_FIVsDKgZTvCedVXXtt2rEg&amp;size=200&amp;retina=true</v>
      </c>
      <c r="BQ34" s="13">
        <f t="shared" si="8"/>
        <v>0.0624</v>
      </c>
      <c r="BR34" s="13" t="str">
        <f>IFERROR(VLOOKUP(L34, Benchmarks!$A$2:$D$15, 2, FALSE), "Not Analyzed")</f>
        <v>Not Analyzed</v>
      </c>
      <c r="BS34" s="17" t="str">
        <f t="shared" si="9"/>
        <v>Not Analyzed</v>
      </c>
      <c r="BT34" s="13">
        <f t="shared" si="10"/>
        <v>0.538</v>
      </c>
      <c r="BU34" s="13" t="str">
        <f>IFERROR(VLOOKUP(L34, Benchmarks!$A$2:$D$15, 4, FALSE), "Not Analyzed")</f>
        <v>Not Analyzed</v>
      </c>
      <c r="BV34" s="17" t="str">
        <f t="shared" si="11"/>
        <v>Not Analyzed</v>
      </c>
      <c r="BW34" s="13">
        <f t="shared" si="12"/>
        <v>0.0769</v>
      </c>
      <c r="BX34" s="13" t="str">
        <f>IFERROR(VLOOKUP(L34, Benchmarks!$A$2:$D$15, 3, FALSE), "Not Analyzed")</f>
        <v>Not Analyzed</v>
      </c>
      <c r="BY34" s="17" t="str">
        <f t="shared" si="13"/>
        <v>Not Analyzed</v>
      </c>
      <c r="BZ34" s="17" t="str">
        <f t="shared" si="14"/>
        <v>Investment: Fortress FREX DB Series I DST | Sponsor: Fortress Investment Group | Structure: Delaware Statutory Trust (DST) | Status: Coming Soon / Under Review | LTV: 47.12% LTV | Availability: 0.782348732503862 | Location: WV | Strategy: Core-Plus | 721 Exchange Exit: Mandatory | Estimated Hold: 10 years | Cap Rate Equivalent: 0.0866582766345363 | Minimum Investment: 100000</v>
      </c>
      <c r="CA34" s="17" t="str">
        <f>A34&amp;" ("&amp;H34&amp;")"&amp;CHAR(10)&amp;CHAR(10)&amp;"Fortress FREX DB Series I is a 2012-vintage, stabilized 336-unit/912-bed purpose-built student-housing community serving West Virginia University ~one mile from campus in Morgantown, WV. The trust acquired the asset for a $65.1M real estate price and capi"&amp;"talized it at $75.98M ($40.18M equity + $35.81M Wells Fargo mortgage, 6.098% fixed, full-term interest-only, 47.12% LTC), under a 10-year master lease backed by a $1.5M demand note. The operating thesis completes lease-up (93% occupied for 2025/26, 73% pr"&amp;"e-leased for 2026/27) and captures Morgantown rent growth in a supply-constrained submarket."&amp;CHAR(10)&amp;CHAR(10)&amp;"&gt;&gt; Download Offering Documents"&amp;CHAR(10)&amp;"https://www.baker1031.com/sponsors/fortress-investment-group"</f>
        <v>Fortress FREX DB Series I DST (47.12% LTV)
Fortress FREX DB Series I is a 2012-vintage, stabilized 336-unit/912-bed purpose-built student-housing community serving West Virginia University ~one mile from campus in Morgantown, WV. The trust acquired the asset for a $65.1M real estate price and capitalized it at $75.98M ($40.18M equity + $35.81M Wells Fargo mortgage, 6.098% fixed, full-term interest-only, 47.12% LTC), under a 10-year master lease backed by a $1.5M demand note. The operating thesis completes lease-up (93% occupied for 2025/26, 73% pre-leased for 2026/27) and captures Morgantown rent growth in a supply-constrained submarket.
&gt;&gt; Download Offering Documents
https://www.baker1031.com/sponsors/fortress-investment-group</v>
      </c>
    </row>
    <row r="35">
      <c r="A35" s="8" t="s">
        <v>738</v>
      </c>
      <c r="B35" s="8" t="s">
        <v>739</v>
      </c>
      <c r="C35" s="8" t="s">
        <v>81</v>
      </c>
      <c r="D35" s="8" t="s">
        <v>82</v>
      </c>
      <c r="E35" s="9">
        <v>9.152E7</v>
      </c>
      <c r="F35" s="9">
        <v>9.152E7</v>
      </c>
      <c r="G35" s="9">
        <v>0.0</v>
      </c>
      <c r="H35" s="8" t="s">
        <v>83</v>
      </c>
      <c r="I35" s="9">
        <v>9.152E7</v>
      </c>
      <c r="J35" s="10">
        <v>46172.0</v>
      </c>
      <c r="K35" s="11">
        <f t="shared" si="1"/>
        <v>1</v>
      </c>
      <c r="L35" s="8" t="s">
        <v>277</v>
      </c>
      <c r="M35" s="8" t="s">
        <v>681</v>
      </c>
      <c r="N35" s="12" t="str">
        <f>IFERROR(__xludf.DUMMYFUNCTION("TEXTJOIN("", "", TRUE, SORT(TRANSPOSE(SPLIT(M35, "", ""))))"),"WA")</f>
        <v>WA</v>
      </c>
      <c r="O35" s="12" t="s">
        <v>740</v>
      </c>
      <c r="P35" s="8" t="s">
        <v>87</v>
      </c>
      <c r="Q35" s="8" t="s">
        <v>88</v>
      </c>
      <c r="R35" s="8" t="s">
        <v>157</v>
      </c>
      <c r="S35" s="8" t="s">
        <v>741</v>
      </c>
      <c r="T35" s="8" t="s">
        <v>742</v>
      </c>
      <c r="U35" s="8" t="s">
        <v>743</v>
      </c>
      <c r="V35" s="8" t="s">
        <v>744</v>
      </c>
      <c r="W35" s="8" t="s">
        <v>745</v>
      </c>
      <c r="X35" s="8" t="s">
        <v>746</v>
      </c>
      <c r="Y35" s="8" t="s">
        <v>747</v>
      </c>
      <c r="Z35" s="8" t="s">
        <v>748</v>
      </c>
      <c r="AA35" s="8" t="s">
        <v>749</v>
      </c>
      <c r="AB35" s="11">
        <v>0.043</v>
      </c>
      <c r="AC35" s="11">
        <v>0.044</v>
      </c>
      <c r="AD35" s="8" t="s">
        <v>142</v>
      </c>
      <c r="AE35" s="8" t="s">
        <v>142</v>
      </c>
      <c r="AF35" s="8" t="s">
        <v>142</v>
      </c>
      <c r="AG35" s="8" t="s">
        <v>142</v>
      </c>
      <c r="AH35" s="8" t="s">
        <v>142</v>
      </c>
      <c r="AI35" s="8" t="s">
        <v>142</v>
      </c>
      <c r="AJ35" s="8" t="s">
        <v>142</v>
      </c>
      <c r="AK35" s="8" t="s">
        <v>142</v>
      </c>
      <c r="AL35" s="11">
        <v>0.0475</v>
      </c>
      <c r="AM35" s="11">
        <v>0.057</v>
      </c>
      <c r="AN35" s="13">
        <f t="shared" si="2"/>
        <v>0.06886</v>
      </c>
      <c r="AO35" s="8" t="s">
        <v>100</v>
      </c>
      <c r="AP35" s="8" t="s">
        <v>101</v>
      </c>
      <c r="AQ35" s="8" t="s">
        <v>101</v>
      </c>
      <c r="AR35" s="8" t="s">
        <v>101</v>
      </c>
      <c r="AS35" s="8" t="s">
        <v>101</v>
      </c>
      <c r="AT35" s="12" t="s">
        <v>102</v>
      </c>
      <c r="AU35" s="8" t="s">
        <v>750</v>
      </c>
      <c r="AV35" s="22" t="s">
        <v>751</v>
      </c>
      <c r="AW35" s="15"/>
      <c r="AX35" s="9">
        <v>250000.0</v>
      </c>
      <c r="AY35" s="16" t="str">
        <f>IFERROR(__xludf.DUMMYFUNCTION("IF(ISBLANK(AV35), """", IF(REGEXMATCH(AV35, ""/file/d/""), ""https://lh3.googleusercontent.com/d/"" &amp; REGEXEXTRACT(AV35, ""/d/([a-zA-Z0-9_-]+)""), AV35))"),"https://lh3.googleusercontent.com/d/1y5lCVcwSGDfdfPH-URuHfCwlJkBVovJ7=s0")</f>
        <v>https://lh3.googleusercontent.com/d/1y5lCVcwSGDfdfPH-URuHfCwlJkBVovJ7=s0</v>
      </c>
      <c r="AZ35" s="13">
        <f t="shared" si="3"/>
        <v>0.057</v>
      </c>
      <c r="BA35" s="17" t="str">
        <f t="shared" si="4"/>
        <v>Tax-Adjusted Yield</v>
      </c>
      <c r="BB35" s="17" t="str">
        <f t="shared" si="5"/>
        <v>Offering Documents Available By Request</v>
      </c>
      <c r="BC35" s="8" t="s">
        <v>752</v>
      </c>
      <c r="BD35" s="8" t="s">
        <v>753</v>
      </c>
      <c r="BE35" s="8" t="s">
        <v>293</v>
      </c>
      <c r="BF35" s="17" t="str">
        <f t="shared" si="6"/>
        <v>Learn More About Apollo Global Management</v>
      </c>
      <c r="BG35" s="17" t="str">
        <f t="shared" si="7"/>
        <v>Learn More About Net Lease Properties</v>
      </c>
      <c r="BH35" s="17">
        <f t="array" ref="BH35">IFERROR(XLOOKUP($B35, 'Sponsor Connection'!$A:$A, 'Sponsor Connection'!$B:$B), )</f>
        <v>1990</v>
      </c>
      <c r="BI35" s="17" t="str">
        <f t="array" ref="BI35">IFERROR(XLOOKUP($B35, 'Sponsor Connection'!$A:$A, 'Sponsor Connection'!$D:$D), )</f>
        <v>Apollo Global Management is one of the world's largest alternative asset managers, with roughly $840 billion in assets across credit, private equity and real assets, and its scale is the headline. Real estate is a comparatively modest sleeve of the platform, but Apollo reaches 1031 investors through Apollo Real Estate Exchange (AREX), its DST vehicle, while the broader franchise is powered by a credit-led origination engine and the permanent capital of its Athene insurance balance sheet. For exchangers, the draw is institutional underwriting and sponsor durability; the caveat is that DSTs are peripheral to a business whose center of gravity is credit.</v>
      </c>
      <c r="BJ35" s="18">
        <f t="array" ref="BJ35">IF($B35="", "", LET(aum, IFERROR(XLOOKUP($B35, 'Sponsor Connection'!$A:$A, 'Sponsor Connection'!$C:$C), ""), IF(OR(aum="", aum=0), "Not Reported", aum)))</f>
        <v>840000000000</v>
      </c>
      <c r="BK35" s="19" t="str">
        <f t="array" ref="BK35">IF(ISBLANK($B35), "", LET(val, IFERROR(XLOOKUP($B35, 'Sponsor Connection'!$A:$A, 'Sponsor Connection'!$M:$M), ""), IF(OR(ISBLANK(val), val="", val=0), "Not Reported", val)))</f>
        <v>Not Reported</v>
      </c>
      <c r="BL35" s="13" t="str">
        <f t="array" ref="BL35">IF(ISBLANK($B35), "", LET(val, IFERROR(XLOOKUP($B35, 'Sponsor Connection'!$A:$A, 'Sponsor Connection'!$N:$N), ""), IF(val="", "Not Reported", val)))</f>
        <v>No Data</v>
      </c>
      <c r="BM35" s="20" t="str">
        <f t="array" ref="BM35">IF(ISBLANK($B35), "", LET(val, IFERROR(XLOOKUP($B35, 'Sponsor Connection'!$A:$A, 'Sponsor Connection'!$O:$O), ""), IF(val="", "Not Reported", val)))</f>
        <v>No Data</v>
      </c>
      <c r="BN35" s="21" t="str">
        <f t="array" ref="BN35">IF(ISBLANK($B35), "", LET(val, IFERROR(XLOOKUP($B35, 'Sponsor Connection'!$A:$A, 'Sponsor Connection'!$P:$P), ""), IF(val="", "Not Reported", val)))</f>
        <v>No Data</v>
      </c>
      <c r="BO35" s="13" t="str">
        <f t="array" ref="BO35">IF(ISBLANK($B35), "", LET(val, IFERROR(XLOOKUP($B35, 'Sponsor Connection'!$A:$A, 'Sponsor Connection'!$Q:$Q), ""), IF(val="", "Not Reported", val)))</f>
        <v>No Data</v>
      </c>
      <c r="BP35" s="16" t="str">
        <f t="array" ref="BP35">IFERROR(XLOOKUP($B35, 'Sponsor Connection'!$A:$A, 'Sponsor Connection'!$L:$L), )</f>
        <v>https://img.logo.dev/apollo.com?token=pk_FIVsDKgZTvCedVXXtt2rEg&amp;size=200&amp;retina=true</v>
      </c>
      <c r="BQ35" s="13">
        <f t="shared" si="8"/>
        <v>0.0475</v>
      </c>
      <c r="BR35" s="13">
        <f>IFERROR(VLOOKUP(L35, Benchmarks!$A$2:$D$15, 2, FALSE), "Not Analyzed")</f>
        <v>0.05184571429</v>
      </c>
      <c r="BS35" s="17" t="str">
        <f t="shared" si="9"/>
        <v>Meets Average</v>
      </c>
      <c r="BT35" s="13">
        <f t="shared" si="10"/>
        <v>0.02325581395</v>
      </c>
      <c r="BU35" s="13">
        <f>IFERROR(VLOOKUP(L35, Benchmarks!$A$2:$D$15, 4, FALSE), "Not Analyzed")</f>
        <v>0.09042966756</v>
      </c>
      <c r="BV35" s="17" t="str">
        <f t="shared" si="11"/>
        <v>Below Average</v>
      </c>
      <c r="BW35" s="13">
        <f t="shared" si="12"/>
        <v>0.044</v>
      </c>
      <c r="BX35" s="13">
        <f>IFERROR(VLOOKUP(L35, Benchmarks!$A$2:$D$15, 3, FALSE), "Not Analyzed")</f>
        <v>0.05365714286</v>
      </c>
      <c r="BY35" s="17" t="str">
        <f t="shared" si="13"/>
        <v>Below Average</v>
      </c>
      <c r="BZ35" s="17" t="str">
        <f t="shared" si="14"/>
        <v>Investment: AX Essential Retail Portfolio DST | Sponsor: Apollo Global Management | Structure: Delaware Statutory Trust (DST) | Status: Available | LTV: 0.00% LTV | Availability: 1 | Location: WA | Strategy: Core | 721 Exchange Exit: Optional | Estimated Hold: 2 years | Cap Rate Equivalent: 0.06886 | Minimum Investment: 250000</v>
      </c>
      <c r="CA35" s="17" t="str">
        <f>A35&amp;" ("&amp;H35&amp;")"&amp;CHAR(10)&amp;CHAR(10)&amp;"AX Essential Retail Portfolio is an Apollo-sponsored, debt-free offering of four standalone grocery stores (248,103 SF) along the supply-constrained North Puget Sound / I-5 corridor north of Seattle, all leased on an absolute-net basis to Safeway d/b/a Ha"&amp;"ggen (an Albertsons subsidiary) with a ~10-year weighted-average remaining term. The portfolio represents ~25% of Haggen's regional sales, with three of four stores in the top foot-traffic quartile and ~4.2 million annual visits. The business plan targets"&amp;" monthly distributions rising from 4.3% to 5.2% over a ~7-10 year hold, with an optional Section 721/FMV exchange into an Apollo operating partnership after a two-year minimum hold."&amp;CHAR(10)&amp;CHAR(10)&amp;"&gt;&gt; Download Offering Documents"&amp;CHAR(10)&amp;"https://www.baker1031.com/sponsors/apollo-global-management"</f>
        <v>AX Essential Retail Portfolio DST (0.00% LTV)
AX Essential Retail Portfolio is an Apollo-sponsored, debt-free offering of four standalone grocery stores (248,103 SF) along the supply-constrained North Puget Sound / I-5 corridor north of Seattle, all leased on an absolute-net basis to Safeway d/b/a Haggen (an Albertsons subsidiary) with a ~10-year weighted-average remaining term. The portfolio represents ~25% of Haggen's regional sales, with three of four stores in the top foot-traffic quartile and ~4.2 million annual visits. The business plan targets monthly distributions rising from 4.3% to 5.2% over a ~7-10 year hold, with an optional Section 721/FMV exchange into an Apollo operating partnership after a two-year minimum hold.
&gt;&gt; Download Offering Documents
https://www.baker1031.com/sponsors/apollo-global-management</v>
      </c>
    </row>
    <row r="36">
      <c r="A36" s="8" t="s">
        <v>754</v>
      </c>
      <c r="B36" s="8" t="s">
        <v>755</v>
      </c>
      <c r="C36" s="8" t="s">
        <v>81</v>
      </c>
      <c r="D36" s="8" t="s">
        <v>82</v>
      </c>
      <c r="E36" s="9">
        <v>1.42736E8</v>
      </c>
      <c r="F36" s="9">
        <v>6.4E7</v>
      </c>
      <c r="G36" s="9">
        <v>7.8736E7</v>
      </c>
      <c r="H36" s="8" t="s">
        <v>756</v>
      </c>
      <c r="I36" s="9">
        <v>6.4E7</v>
      </c>
      <c r="J36" s="10">
        <v>46172.0</v>
      </c>
      <c r="K36" s="11">
        <f t="shared" si="1"/>
        <v>1</v>
      </c>
      <c r="L36" s="8" t="s">
        <v>176</v>
      </c>
      <c r="M36" s="8" t="s">
        <v>328</v>
      </c>
      <c r="N36" s="12" t="str">
        <f>IFERROR(__xludf.DUMMYFUNCTION("TEXTJOIN("", "", TRUE, SORT(TRANSPOSE(SPLIT(M36, "", ""))))"),"FL")</f>
        <v>FL</v>
      </c>
      <c r="O36" s="12" t="s">
        <v>757</v>
      </c>
      <c r="P36" s="8" t="s">
        <v>113</v>
      </c>
      <c r="Q36" s="8" t="s">
        <v>258</v>
      </c>
      <c r="R36" s="8" t="s">
        <v>758</v>
      </c>
      <c r="S36" s="8" t="s">
        <v>759</v>
      </c>
      <c r="T36" s="8" t="s">
        <v>760</v>
      </c>
      <c r="U36" s="8" t="s">
        <v>761</v>
      </c>
      <c r="V36" s="8" t="s">
        <v>762</v>
      </c>
      <c r="W36" s="8" t="s">
        <v>763</v>
      </c>
      <c r="X36" s="8" t="s">
        <v>764</v>
      </c>
      <c r="Y36" s="8" t="s">
        <v>765</v>
      </c>
      <c r="Z36" s="8" t="s">
        <v>766</v>
      </c>
      <c r="AA36" s="8" t="s">
        <v>767</v>
      </c>
      <c r="AB36" s="11">
        <v>0.0425</v>
      </c>
      <c r="AC36" s="11">
        <v>0.0425</v>
      </c>
      <c r="AD36" s="11">
        <v>0.0431</v>
      </c>
      <c r="AE36" s="11">
        <v>0.0435</v>
      </c>
      <c r="AF36" s="11">
        <v>0.0461</v>
      </c>
      <c r="AG36" s="11">
        <v>0.0488</v>
      </c>
      <c r="AH36" s="11">
        <v>0.0503</v>
      </c>
      <c r="AI36" s="8" t="s">
        <v>142</v>
      </c>
      <c r="AJ36" s="8" t="s">
        <v>142</v>
      </c>
      <c r="AK36" s="8" t="s">
        <v>142</v>
      </c>
      <c r="AL36" s="11">
        <v>0.0453</v>
      </c>
      <c r="AM36" s="11">
        <v>0.059</v>
      </c>
      <c r="AN36" s="13">
        <f t="shared" si="2"/>
        <v>0.08496387901</v>
      </c>
      <c r="AO36" s="8" t="s">
        <v>768</v>
      </c>
      <c r="AP36" s="8" t="s">
        <v>769</v>
      </c>
      <c r="AQ36" s="8" t="s">
        <v>132</v>
      </c>
      <c r="AR36" s="8" t="s">
        <v>132</v>
      </c>
      <c r="AS36" s="8" t="s">
        <v>145</v>
      </c>
      <c r="AT36" s="12" t="s">
        <v>770</v>
      </c>
      <c r="AU36" s="8" t="s">
        <v>771</v>
      </c>
      <c r="AV36" s="22" t="s">
        <v>772</v>
      </c>
      <c r="AW36" s="15"/>
      <c r="AX36" s="9">
        <v>100000.0</v>
      </c>
      <c r="AY36" s="16" t="str">
        <f>IFERROR(__xludf.DUMMYFUNCTION("IF(ISBLANK(AV36), """", IF(REGEXMATCH(AV36, ""/file/d/""), ""https://lh3.googleusercontent.com/d/"" &amp; REGEXEXTRACT(AV36, ""/d/([a-zA-Z0-9_-]+)""), AV36))"),"https://lh3.googleusercontent.com/d/1xcJQo5yqAG5Bx-_ZLkZwe64ruQaIzSq5=s0")</f>
        <v>https://lh3.googleusercontent.com/d/1xcJQo5yqAG5Bx-_ZLkZwe64ruQaIzSq5=s0</v>
      </c>
      <c r="AZ36" s="13">
        <f t="shared" si="3"/>
        <v>0.059</v>
      </c>
      <c r="BA36" s="17" t="str">
        <f t="shared" si="4"/>
        <v>Tax-Adjusted Yield</v>
      </c>
      <c r="BB36" s="17" t="str">
        <f t="shared" si="5"/>
        <v>Offering Documents Available By Request</v>
      </c>
      <c r="BC36" s="8" t="s">
        <v>773</v>
      </c>
      <c r="BD36" s="8" t="s">
        <v>774</v>
      </c>
      <c r="BE36" s="8" t="s">
        <v>197</v>
      </c>
      <c r="BF36" s="17" t="str">
        <f t="shared" si="6"/>
        <v>Learn More About Cantor Fitzgerald</v>
      </c>
      <c r="BG36" s="17" t="str">
        <f t="shared" si="7"/>
        <v>Learn More About Multifamily Properties</v>
      </c>
      <c r="BH36" s="17">
        <f t="array" ref="BH36">IFERROR(XLOOKUP($B36, 'Sponsor Connection'!$A:$A, 'Sponsor Connection'!$B:$B), )</f>
        <v>1945</v>
      </c>
      <c r="BI36" s="17" t="str">
        <f t="array" ref="BI36">IFERROR(XLOOKUP($B36, 'Sponsor Connection'!$A:$A, 'Sponsor Connection'!$D:$D), )</f>
        <v>Cantor Fitzgerald reaches the 1031 market through Cantor Fitzgerald Investors, leveraging the global capital-markets and brokerage muscle of its 1945-founded parent and its Newmark affiliation to source institutional-quality DSTs and feed its non-traded Cantor Fitzgerald Income Trust. With roughly $13 billion under management at Cantor Fitzgerald Asset Management as of early 2024 and a portfolio approaching 12 million square feet across multifamily and net-lease assets, the franchise blends investment-bank sourcing with an UPREIT exit path. Its Opportunity Zone partnership with Silverstein Properties extends the platform into ground-up development, broadening the tax-advantaged menu it can offer.</v>
      </c>
      <c r="BJ36" s="18">
        <f t="array" ref="BJ36">IF($B36="", "", LET(aum, IFERROR(XLOOKUP($B36, 'Sponsor Connection'!$A:$A, 'Sponsor Connection'!$C:$C), ""), IF(OR(aum="", aum=0), "Not Reported", aum)))</f>
        <v>13000000000</v>
      </c>
      <c r="BK36" s="19">
        <f t="array" ref="BK36">IF(ISBLANK($B36), "", LET(val, IFERROR(XLOOKUP($B36, 'Sponsor Connection'!$A:$A, 'Sponsor Connection'!$M:$M), ""), IF(OR(ISBLANK(val), val="", val=0), "Not Reported", val)))</f>
        <v>9</v>
      </c>
      <c r="BL36" s="13">
        <f t="array" ref="BL36">IF(ISBLANK($B36), "", LET(val, IFERROR(XLOOKUP($B36, 'Sponsor Connection'!$A:$A, 'Sponsor Connection'!$N:$N), ""), IF(val="", "Not Reported", val)))</f>
        <v>0.1166666667</v>
      </c>
      <c r="BM36" s="20">
        <f t="array" ref="BM36">IF(ISBLANK($B36), "", LET(val, IFERROR(XLOOKUP($B36, 'Sponsor Connection'!$A:$A, 'Sponsor Connection'!$O:$O), ""), IF(val="", "Not Reported", val)))</f>
        <v>1.448888889</v>
      </c>
      <c r="BN36" s="21">
        <f t="array" ref="BN36">IF(ISBLANK($B36), "", LET(val, IFERROR(XLOOKUP($B36, 'Sponsor Connection'!$A:$A, 'Sponsor Connection'!$P:$P), ""), IF(val="", "Not Reported", val)))</f>
        <v>3.922222222</v>
      </c>
      <c r="BO36" s="13">
        <f t="array" ref="BO36">IF(ISBLANK($B36), "", LET(val, IFERROR(XLOOKUP($B36, 'Sponsor Connection'!$A:$A, 'Sponsor Connection'!$Q:$Q), ""), IF(val="", "Not Reported", val)))</f>
        <v>1</v>
      </c>
      <c r="BP36" s="16" t="str">
        <f t="array" ref="BP36">IFERROR(XLOOKUP($B36, 'Sponsor Connection'!$A:$A, 'Sponsor Connection'!$L:$L), )</f>
        <v>https://img.logo.dev/cantor.com?token=pk_FIVsDKgZTvCedVXXtt2rEg&amp;size=200&amp;retina=true</v>
      </c>
      <c r="BQ36" s="13">
        <f t="shared" si="8"/>
        <v>0.0453</v>
      </c>
      <c r="BR36" s="13">
        <f>IFERROR(VLOOKUP(L36, Benchmarks!$A$2:$D$15, 2, FALSE), "Not Analyzed")</f>
        <v>0.050338</v>
      </c>
      <c r="BS36" s="17" t="str">
        <f t="shared" si="9"/>
        <v>Below Average</v>
      </c>
      <c r="BT36" s="13">
        <f t="shared" si="10"/>
        <v>0.1835294118</v>
      </c>
      <c r="BU36" s="13">
        <f>IFERROR(VLOOKUP(L36, Benchmarks!$A$2:$D$15, 4, FALSE), "Not Analyzed")</f>
        <v>0.2473634914</v>
      </c>
      <c r="BV36" s="17" t="str">
        <f t="shared" si="11"/>
        <v>Below Average</v>
      </c>
      <c r="BW36" s="13">
        <f t="shared" si="12"/>
        <v>0.0503</v>
      </c>
      <c r="BX36" s="13">
        <f>IFERROR(VLOOKUP(L36, Benchmarks!$A$2:$D$15, 3, FALSE), "Not Analyzed")</f>
        <v>0.05289545455</v>
      </c>
      <c r="BY36" s="17" t="str">
        <f t="shared" si="13"/>
        <v>Meets Average</v>
      </c>
      <c r="BZ36" s="17" t="str">
        <f t="shared" si="14"/>
        <v>Investment: CF Westshore Multifamily DST | Sponsor: Cantor Fitzgerald | Structure: Delaware Statutory Trust (DST) | Status: Available | LTV: 55.16% LTV | Availability: 1 | Location: FL | Strategy: Core-Plus | 721 Exchange Exit: None | Estimated Hold: 5-7 years | Cap Rate Equivalent: 0.0849638790144529 | Minimum Investment: 100000</v>
      </c>
      <c r="CA36" s="17" t="str">
        <f>A36&amp;" ("&amp;H36&amp;")"&amp;CHAR(10)&amp;CHAR(10)&amp;"CF Westshore Multifamily is a Cantor Fitzgerald/RPM Living offering owning The Residences at Westshore Marina, a 351-unit, 2019-vintage Class A waterfront apartment community in Tampa, FL, 93.7% occupied with new leases ~6.0% above in-place. The trust acq"&amp;"uired the asset for $125.55M and capitalized it at $142.74M ($64.0M equity + $78.74M Freddie Mac loan fixed at 4.93%, full-term interest-only, 55.16% LTV). A light value-add program targets vinyl-flooring upgrades and amenity improvements, with targeted c"&amp;"ash-on-cash rising from 4.25% to 5.03% over a ~7-year hold to the November 2032 maturity."&amp;CHAR(10)&amp;CHAR(10)&amp;"&gt;&gt; Download Offering Documents"&amp;CHAR(10)&amp;"https://www.baker1031.com/sponsors/cantor-fitzgerald"</f>
        <v>CF Westshore Multifamily DST (55.16% LTV)
CF Westshore Multifamily is a Cantor Fitzgerald/RPM Living offering owning The Residences at Westshore Marina, a 351-unit, 2019-vintage Class A waterfront apartment community in Tampa, FL, 93.7% occupied with new leases ~6.0% above in-place. The trust acquired the asset for $125.55M and capitalized it at $142.74M ($64.0M equity + $78.74M Freddie Mac loan fixed at 4.93%, full-term interest-only, 55.16% LTV). A light value-add program targets vinyl-flooring upgrades and amenity improvements, with targeted cash-on-cash rising from 4.25% to 5.03% over a ~7-year hold to the November 2032 maturity.
&gt;&gt; Download Offering Documents
https://www.baker1031.com/sponsors/cantor-fitzgerald</v>
      </c>
    </row>
    <row r="37">
      <c r="A37" s="8" t="s">
        <v>775</v>
      </c>
      <c r="B37" s="8" t="s">
        <v>776</v>
      </c>
      <c r="C37" s="8" t="s">
        <v>81</v>
      </c>
      <c r="D37" s="8" t="s">
        <v>82</v>
      </c>
      <c r="E37" s="9">
        <v>3.93E7</v>
      </c>
      <c r="F37" s="9">
        <v>3.93E7</v>
      </c>
      <c r="G37" s="9">
        <v>0.0</v>
      </c>
      <c r="H37" s="8" t="s">
        <v>83</v>
      </c>
      <c r="I37" s="9">
        <v>6004545.0</v>
      </c>
      <c r="J37" s="10">
        <v>46181.0</v>
      </c>
      <c r="K37" s="11">
        <f t="shared" si="1"/>
        <v>0.1527874046</v>
      </c>
      <c r="L37" s="8" t="s">
        <v>433</v>
      </c>
      <c r="M37" s="8" t="s">
        <v>473</v>
      </c>
      <c r="N37" s="12" t="str">
        <f>IFERROR(__xludf.DUMMYFUNCTION("TEXTJOIN("", "", TRUE, SORT(TRANSPOSE(SPLIT(M37, "", ""))))"),"TX")</f>
        <v>TX</v>
      </c>
      <c r="O37" s="12" t="s">
        <v>777</v>
      </c>
      <c r="P37" s="8" t="s">
        <v>87</v>
      </c>
      <c r="Q37" s="8" t="s">
        <v>88</v>
      </c>
      <c r="R37" s="8" t="s">
        <v>89</v>
      </c>
      <c r="S37" s="8" t="s">
        <v>778</v>
      </c>
      <c r="T37" s="8" t="s">
        <v>779</v>
      </c>
      <c r="U37" s="8" t="s">
        <v>780</v>
      </c>
      <c r="V37" s="8" t="s">
        <v>781</v>
      </c>
      <c r="W37" s="8" t="s">
        <v>782</v>
      </c>
      <c r="X37" s="8" t="s">
        <v>783</v>
      </c>
      <c r="Y37" s="8" t="s">
        <v>784</v>
      </c>
      <c r="Z37" s="8" t="s">
        <v>785</v>
      </c>
      <c r="AA37" s="8" t="s">
        <v>786</v>
      </c>
      <c r="AB37" s="11">
        <v>0.045</v>
      </c>
      <c r="AC37" s="11">
        <v>0.0453</v>
      </c>
      <c r="AD37" s="11">
        <v>0.0458</v>
      </c>
      <c r="AE37" s="11">
        <v>0.0462</v>
      </c>
      <c r="AF37" s="11">
        <v>0.0477</v>
      </c>
      <c r="AG37" s="11">
        <v>0.0493</v>
      </c>
      <c r="AH37" s="11">
        <v>0.0508</v>
      </c>
      <c r="AI37" s="11">
        <v>0.0525</v>
      </c>
      <c r="AJ37" s="11">
        <v>0.0541</v>
      </c>
      <c r="AK37" s="11">
        <v>0.0559</v>
      </c>
      <c r="AL37" s="11">
        <v>0.0493</v>
      </c>
      <c r="AM37" s="11">
        <v>0.064</v>
      </c>
      <c r="AN37" s="13">
        <f t="shared" si="2"/>
        <v>0.0709</v>
      </c>
      <c r="AO37" s="8" t="s">
        <v>100</v>
      </c>
      <c r="AP37" s="8" t="s">
        <v>101</v>
      </c>
      <c r="AQ37" s="8" t="s">
        <v>101</v>
      </c>
      <c r="AR37" s="8" t="s">
        <v>101</v>
      </c>
      <c r="AS37" s="8" t="s">
        <v>101</v>
      </c>
      <c r="AT37" s="12" t="s">
        <v>102</v>
      </c>
      <c r="AU37" s="8" t="s">
        <v>787</v>
      </c>
      <c r="AV37" s="22" t="s">
        <v>788</v>
      </c>
      <c r="AW37" s="15"/>
      <c r="AX37" s="9">
        <v>50000.0</v>
      </c>
      <c r="AY37" s="16" t="str">
        <f>IFERROR(__xludf.DUMMYFUNCTION("IF(ISBLANK(AV37), """", IF(REGEXMATCH(AV37, ""/file/d/""), ""https://lh3.googleusercontent.com/d/"" &amp; REGEXEXTRACT(AV37, ""/d/([a-zA-Z0-9_-]+)""), AV37))"),"https://lh3.googleusercontent.com/d/1sZh6aZNrWY6_Y3TH8p8E8mt65ZNdLj2A=s0")</f>
        <v>https://lh3.googleusercontent.com/d/1sZh6aZNrWY6_Y3TH8p8E8mt65ZNdLj2A=s0</v>
      </c>
      <c r="AZ37" s="13">
        <f t="shared" si="3"/>
        <v>0.064</v>
      </c>
      <c r="BA37" s="17" t="str">
        <f t="shared" si="4"/>
        <v>Tax-Adjusted Yield</v>
      </c>
      <c r="BB37" s="17" t="str">
        <f t="shared" si="5"/>
        <v>Offering Documents Available By Request</v>
      </c>
      <c r="BC37" s="8" t="s">
        <v>789</v>
      </c>
      <c r="BD37" s="8" t="s">
        <v>790</v>
      </c>
      <c r="BE37" s="8" t="s">
        <v>451</v>
      </c>
      <c r="BF37" s="17" t="str">
        <f t="shared" si="6"/>
        <v>Learn More About Capital Square</v>
      </c>
      <c r="BG37" s="17" t="str">
        <f t="shared" si="7"/>
        <v>Learn More About Senior Living Properties</v>
      </c>
      <c r="BH37" s="17">
        <f t="array" ref="BH37">IFERROR(XLOOKUP($B37, 'Sponsor Connection'!$A:$A, 'Sponsor Connection'!$B:$B), )</f>
        <v>2012</v>
      </c>
      <c r="BI37" s="17" t="str">
        <f t="array" ref="BI37">IFERROR(XLOOKUP($B37, 'Sponsor Connection'!$A:$A, 'Sponsor Connection'!$D:$D), )</f>
        <v>Capital Square has evolved from a pure 1031/DST sponsor into one of the more vertically integrated platforms in the securitized exchange market, with over $6 billion in AUM and more than $7.5 billion in transaction volume since its 2012 founding by Louis Rogers. Beyond sponsoring DSTs across 175-plus assets for some 6,500 investors, the firm develops its own multifamily product, manages roughly 13,000 apartments through Capital Square Living, and diversifies into Qualified Opportunity Zone funds and a REIT. That control of the full lifecycle—and full-cycle results such as a cited 159% return of equity on a completed DST—make it a benchmark name for diligence-minded exchangers.</v>
      </c>
      <c r="BJ37" s="18">
        <f t="array" ref="BJ37">IF($B37="", "", LET(aum, IFERROR(XLOOKUP($B37, 'Sponsor Connection'!$A:$A, 'Sponsor Connection'!$C:$C), ""), IF(OR(aum="", aum=0), "Not Reported", aum)))</f>
        <v>6000000000</v>
      </c>
      <c r="BK37" s="19">
        <f t="array" ref="BK37">IF(ISBLANK($B37), "", LET(val, IFERROR(XLOOKUP($B37, 'Sponsor Connection'!$A:$A, 'Sponsor Connection'!$M:$M), ""), IF(OR(ISBLANK(val), val="", val=0), "Not Reported", val)))</f>
        <v>19</v>
      </c>
      <c r="BL37" s="13">
        <f t="array" ref="BL37">IF(ISBLANK($B37), "", LET(val, IFERROR(XLOOKUP($B37, 'Sponsor Connection'!$A:$A, 'Sponsor Connection'!$N:$N), ""), IF(val="", "Not Reported", val)))</f>
        <v>0.1519947368</v>
      </c>
      <c r="BM37" s="20">
        <f t="array" ref="BM37">IF(ISBLANK($B37), "", LET(val, IFERROR(XLOOKUP($B37, 'Sponsor Connection'!$A:$A, 'Sponsor Connection'!$O:$O), ""), IF(val="", "Not Reported", val)))</f>
        <v>1.833157895</v>
      </c>
      <c r="BN37" s="21">
        <f t="array" ref="BN37">IF(ISBLANK($B37), "", LET(val, IFERROR(XLOOKUP($B37, 'Sponsor Connection'!$A:$A, 'Sponsor Connection'!$P:$P), ""), IF(val="", "Not Reported", val)))</f>
        <v>4.810526316</v>
      </c>
      <c r="BO37" s="13">
        <f t="array" ref="BO37">IF(ISBLANK($B37), "", LET(val, IFERROR(XLOOKUP($B37, 'Sponsor Connection'!$A:$A, 'Sponsor Connection'!$Q:$Q), ""), IF(val="", "Not Reported", val)))</f>
        <v>1</v>
      </c>
      <c r="BP37" s="16" t="str">
        <f t="array" ref="BP37">IFERROR(XLOOKUP($B37, 'Sponsor Connection'!$A:$A, 'Sponsor Connection'!$L:$L), )</f>
        <v>https://img.logo.dev/capitalsq.com?token=pk_FIVsDKgZTvCedVXXtt2rEg&amp;size=200&amp;retina=true</v>
      </c>
      <c r="BQ37" s="13">
        <f t="shared" si="8"/>
        <v>0.0493</v>
      </c>
      <c r="BR37" s="13" t="str">
        <f>IFERROR(VLOOKUP(L37, Benchmarks!$A$2:$D$15, 2, FALSE), "Not Analyzed")</f>
        <v>Not Analyzed</v>
      </c>
      <c r="BS37" s="17" t="str">
        <f t="shared" si="9"/>
        <v>Not Analyzed</v>
      </c>
      <c r="BT37" s="13">
        <f t="shared" si="10"/>
        <v>0.2422222222</v>
      </c>
      <c r="BU37" s="13" t="str">
        <f>IFERROR(VLOOKUP(L37, Benchmarks!$A$2:$D$15, 4, FALSE), "Not Analyzed")</f>
        <v>Not Analyzed</v>
      </c>
      <c r="BV37" s="17" t="str">
        <f t="shared" si="11"/>
        <v>Not Analyzed</v>
      </c>
      <c r="BW37" s="13">
        <f t="shared" si="12"/>
        <v>0.0559</v>
      </c>
      <c r="BX37" s="13" t="str">
        <f>IFERROR(VLOOKUP(L37, Benchmarks!$A$2:$D$15, 3, FALSE), "Not Analyzed")</f>
        <v>Not Analyzed</v>
      </c>
      <c r="BY37" s="17" t="str">
        <f t="shared" si="13"/>
        <v>Not Analyzed</v>
      </c>
      <c r="BZ37" s="17" t="str">
        <f t="shared" si="14"/>
        <v>Investment: CS1031 Texas Active Living Portfolio I DST | Sponsor: Capital Square | Structure: Delaware Statutory Trust (DST) | Status: Available | LTV: 0.00% LTV | Availability: 0.152787404580153 | Location: TX | Strategy: Core | 721 Exchange Exit: Optional | Estimated Hold: 10 years | Cap Rate Equivalent: 0.0709 | Minimum Investment: 50000</v>
      </c>
      <c r="CA37" s="17" t="str">
        <f>A37&amp;" ("&amp;H37&amp;")"&amp;CHAR(10)&amp;CHAR(10)&amp;"CS1031 Texas Active Living Portfolio I is a Capital Square debt-free, all-cash offering ($39.3M, 0.0% LTV) of two boutique, age-restricted (55+) build-for-rent cottage communities in McKinney and Waco, TX (76 units total). Both communities were 100% occup"&amp;"ied as of March 2026 with a combined 30-resident waitlist, zero bad debt, and no concessions, net-leased to two affiliated master tenants under Carbon Shepherd operation. The forecast targets cash-on-cash rising from 4.50% to 5.59% (4.93% average) over a "&amp;"10-year hold, with the sponsor disposition fee subordinated to investors' return of capital and an optional Section 721 UPREIT exit."&amp;CHAR(10)&amp;CHAR(10)&amp;"&gt;&gt; Download Offering Documents"&amp;CHAR(10)&amp;"https://www.baker1031.com/sponsors/capital-square"</f>
        <v>CS1031 Texas Active Living Portfolio I DST (0.00% LTV)
CS1031 Texas Active Living Portfolio I is a Capital Square debt-free, all-cash offering ($39.3M, 0.0% LTV) of two boutique, age-restricted (55+) build-for-rent cottage communities in McKinney and Waco, TX (76 units total). Both communities were 100% occupied as of March 2026 with a combined 30-resident waitlist, zero bad debt, and no concessions, net-leased to two affiliated master tenants under Carbon Shepherd operation. The forecast targets cash-on-cash rising from 4.50% to 5.59% (4.93% average) over a 10-year hold, with the sponsor disposition fee subordinated to investors' return of capital and an optional Section 721 UPREIT exit.
&gt;&gt; Download Offering Documents
https://www.baker1031.com/sponsors/capital-square</v>
      </c>
    </row>
    <row r="38">
      <c r="A38" s="8" t="s">
        <v>791</v>
      </c>
      <c r="B38" s="8" t="s">
        <v>792</v>
      </c>
      <c r="C38" s="8" t="s">
        <v>81</v>
      </c>
      <c r="D38" s="8" t="s">
        <v>82</v>
      </c>
      <c r="E38" s="9">
        <v>9.3978495E7</v>
      </c>
      <c r="F38" s="9">
        <v>9.3978495E7</v>
      </c>
      <c r="G38" s="9">
        <v>0.0</v>
      </c>
      <c r="H38" s="8" t="s">
        <v>83</v>
      </c>
      <c r="I38" s="9">
        <v>9.3978495E7</v>
      </c>
      <c r="J38" s="10">
        <v>46113.0</v>
      </c>
      <c r="K38" s="11">
        <f t="shared" si="1"/>
        <v>1</v>
      </c>
      <c r="L38" s="8" t="s">
        <v>153</v>
      </c>
      <c r="M38" s="8" t="s">
        <v>793</v>
      </c>
      <c r="N38" s="12" t="str">
        <f>IFERROR(__xludf.DUMMYFUNCTION("TEXTJOIN("", "", TRUE, SORT(TRANSPOSE(SPLIT(M38, "", ""))))"),"FL, NC")</f>
        <v>FL, NC</v>
      </c>
      <c r="O38" s="12" t="s">
        <v>794</v>
      </c>
      <c r="P38" s="8" t="s">
        <v>87</v>
      </c>
      <c r="Q38" s="8" t="s">
        <v>156</v>
      </c>
      <c r="R38" s="8" t="s">
        <v>157</v>
      </c>
      <c r="S38" s="8" t="s">
        <v>795</v>
      </c>
      <c r="T38" s="8" t="s">
        <v>796</v>
      </c>
      <c r="U38" s="8" t="s">
        <v>797</v>
      </c>
      <c r="V38" s="8" t="s">
        <v>798</v>
      </c>
      <c r="W38" s="8" t="s">
        <v>799</v>
      </c>
      <c r="X38" s="8" t="s">
        <v>800</v>
      </c>
      <c r="Y38" s="8" t="s">
        <v>801</v>
      </c>
      <c r="Z38" s="8" t="s">
        <v>802</v>
      </c>
      <c r="AA38" s="8" t="s">
        <v>803</v>
      </c>
      <c r="AB38" s="11">
        <v>0.0433</v>
      </c>
      <c r="AC38" s="11">
        <v>0.0433</v>
      </c>
      <c r="AD38" s="8" t="s">
        <v>142</v>
      </c>
      <c r="AE38" s="8" t="s">
        <v>142</v>
      </c>
      <c r="AF38" s="8" t="s">
        <v>142</v>
      </c>
      <c r="AG38" s="8" t="s">
        <v>142</v>
      </c>
      <c r="AH38" s="8" t="s">
        <v>142</v>
      </c>
      <c r="AI38" s="8" t="s">
        <v>142</v>
      </c>
      <c r="AJ38" s="8" t="s">
        <v>142</v>
      </c>
      <c r="AK38" s="8" t="s">
        <v>142</v>
      </c>
      <c r="AL38" s="11">
        <v>0.0433</v>
      </c>
      <c r="AM38" s="11">
        <v>0.056</v>
      </c>
      <c r="AN38" s="13">
        <f t="shared" si="2"/>
        <v>0.069166</v>
      </c>
      <c r="AO38" s="8" t="s">
        <v>100</v>
      </c>
      <c r="AP38" s="8" t="s">
        <v>101</v>
      </c>
      <c r="AQ38" s="8" t="s">
        <v>101</v>
      </c>
      <c r="AR38" s="8" t="s">
        <v>101</v>
      </c>
      <c r="AS38" s="8" t="s">
        <v>101</v>
      </c>
      <c r="AT38" s="12" t="s">
        <v>102</v>
      </c>
      <c r="AV38" s="22" t="s">
        <v>804</v>
      </c>
      <c r="AW38" s="15"/>
      <c r="AX38" s="9">
        <v>250000.0</v>
      </c>
      <c r="AY38" s="16" t="str">
        <f>IFERROR(__xludf.DUMMYFUNCTION("IF(ISBLANK(AV38), """", IF(REGEXMATCH(AV38, ""/file/d/""), ""https://lh3.googleusercontent.com/d/"" &amp; REGEXEXTRACT(AV38, ""/d/([a-zA-Z0-9_-]+)""), AV38))"),"https://lh3.googleusercontent.com/d/1fyWOqubdt6wUydKZ6R_P95sW0uEU1UY5=s0")</f>
        <v>https://lh3.googleusercontent.com/d/1fyWOqubdt6wUydKZ6R_P95sW0uEU1UY5=s0</v>
      </c>
      <c r="AZ38" s="13">
        <f t="shared" si="3"/>
        <v>0.056</v>
      </c>
      <c r="BA38" s="17" t="str">
        <f t="shared" si="4"/>
        <v>Tax-Adjusted Yield</v>
      </c>
      <c r="BB38" s="17" t="str">
        <f t="shared" si="5"/>
        <v>Offering Documents Available By Request</v>
      </c>
      <c r="BC38" s="8" t="s">
        <v>805</v>
      </c>
      <c r="BD38" s="8" t="s">
        <v>806</v>
      </c>
      <c r="BE38" s="8" t="s">
        <v>171</v>
      </c>
      <c r="BF38" s="17" t="str">
        <f t="shared" si="6"/>
        <v>Learn More About Invesco</v>
      </c>
      <c r="BG38" s="17" t="str">
        <f t="shared" si="7"/>
        <v>Learn More About Industrial Properties</v>
      </c>
      <c r="BH38" s="17">
        <f t="array" ref="BH38">IFERROR(XLOOKUP($B38, 'Sponsor Connection'!$A:$A, 'Sponsor Connection'!$B:$B), )</f>
        <v>1935</v>
      </c>
      <c r="BI38" s="17" t="str">
        <f t="array" ref="BI38">IFERROR(XLOOKUP($B38, 'Sponsor Connection'!$A:$A, 'Sponsor Connection'!$D:$D), )</f>
        <v>Invesco reaches the 1031 market through Invesco Real Estate Exchange (INREX), the DST arm of a global asset manager whose real estate group oversees roughly $85 billion, and it complements that with the Invesco Commercial Real Estate Finance Trust. With a 40-year real estate track record and institutional sourcing across sectors including industrial and cold storage, Invesco brings disciplined, research-driven underwriting to exchangers—DSTs being one channel within a roughly $1.8 trillion global platform.</v>
      </c>
      <c r="BJ38" s="18">
        <f t="array" ref="BJ38">IF($B38="", "", LET(aum, IFERROR(XLOOKUP($B38, 'Sponsor Connection'!$A:$A, 'Sponsor Connection'!$C:$C), ""), IF(OR(aum="", aum=0), "Not Reported", aum)))</f>
        <v>85000000000</v>
      </c>
      <c r="BK38" s="19" t="str">
        <f t="array" ref="BK38">IF(ISBLANK($B38), "", LET(val, IFERROR(XLOOKUP($B38, 'Sponsor Connection'!$A:$A, 'Sponsor Connection'!$M:$M), ""), IF(OR(ISBLANK(val), val="", val=0), "Not Reported", val)))</f>
        <v>Not Reported</v>
      </c>
      <c r="BL38" s="13" t="str">
        <f t="array" ref="BL38">IF(ISBLANK($B38), "", LET(val, IFERROR(XLOOKUP($B38, 'Sponsor Connection'!$A:$A, 'Sponsor Connection'!$N:$N), ""), IF(val="", "Not Reported", val)))</f>
        <v>No Data</v>
      </c>
      <c r="BM38" s="20" t="str">
        <f t="array" ref="BM38">IF(ISBLANK($B38), "", LET(val, IFERROR(XLOOKUP($B38, 'Sponsor Connection'!$A:$A, 'Sponsor Connection'!$O:$O), ""), IF(val="", "Not Reported", val)))</f>
        <v>No Data</v>
      </c>
      <c r="BN38" s="21" t="str">
        <f t="array" ref="BN38">IF(ISBLANK($B38), "", LET(val, IFERROR(XLOOKUP($B38, 'Sponsor Connection'!$A:$A, 'Sponsor Connection'!$P:$P), ""), IF(val="", "Not Reported", val)))</f>
        <v>No Data</v>
      </c>
      <c r="BO38" s="13" t="str">
        <f t="array" ref="BO38">IF(ISBLANK($B38), "", LET(val, IFERROR(XLOOKUP($B38, 'Sponsor Connection'!$A:$A, 'Sponsor Connection'!$Q:$Q), ""), IF(val="", "Not Reported", val)))</f>
        <v>No Data</v>
      </c>
      <c r="BP38" s="16" t="str">
        <f t="array" ref="BP38">IFERROR(XLOOKUP($B38, 'Sponsor Connection'!$A:$A, 'Sponsor Connection'!$L:$L), )</f>
        <v>https://img.logo.dev/invesco.com?token=pk_FIVsDKgZTvCedVXXtt2rEg&amp;size=200&amp;retina=true</v>
      </c>
      <c r="BQ38" s="13">
        <f t="shared" si="8"/>
        <v>0.0433</v>
      </c>
      <c r="BR38" s="13">
        <f>IFERROR(VLOOKUP(L38, Benchmarks!$A$2:$D$15, 2, FALSE), "Not Analyzed")</f>
        <v>0</v>
      </c>
      <c r="BS38" s="17" t="str">
        <f t="shared" si="9"/>
        <v>Above Average</v>
      </c>
      <c r="BT38" s="13">
        <f t="shared" si="10"/>
        <v>0</v>
      </c>
      <c r="BU38" s="13">
        <f>IFERROR(VLOOKUP(L38, Benchmarks!$A$2:$D$15, 4, FALSE), "Not Analyzed")</f>
        <v>0.1441469396</v>
      </c>
      <c r="BV38" s="17" t="str">
        <f t="shared" si="11"/>
        <v>Not Analyzed</v>
      </c>
      <c r="BW38" s="13">
        <f t="shared" si="12"/>
        <v>0.0433</v>
      </c>
      <c r="BX38" s="13">
        <f>IFERROR(VLOOKUP(L38, Benchmarks!$A$2:$D$15, 3, FALSE), "Not Analyzed")</f>
        <v>0.05854</v>
      </c>
      <c r="BY38" s="17" t="str">
        <f t="shared" si="13"/>
        <v>Below Average</v>
      </c>
      <c r="BZ38" s="17" t="str">
        <f t="shared" si="14"/>
        <v>Investment: IREX IV Industrial Portfolio DST | Sponsor: Invesco | Structure: Delaware Statutory Trust (DST) | Status: Available | LTV: 0.00% LTV | Availability: 1 | Location: FL, NC | Strategy: Core | 721 Exchange Exit: Mandatory | Estimated Hold: 2 years | Cap Rate Equivalent: 0.069166 | Minimum Investment: 250000</v>
      </c>
      <c r="CA38" s="17" t="str">
        <f>A38&amp;" ("&amp;H38&amp;")"&amp;CHAR(10)&amp;CHAR(10)&amp;"IREX IV Industrial Portfolio is an Invesco-sponsored debt-free DST indirectly owning three modern, functional industrial buildings in Fort Pierce, FL and Concord and Mebane, NC. The properties are situated in growth-oriented markets with strong tenant dem"&amp;"and, institutional-quality infrastructure, and regional connectivity. The stabilized assets offer income-growth potential through below-market rents and long-term tenancy."&amp;CHAR(10)&amp;CHAR(10)&amp;"&gt;&gt; Download Offering Documents"&amp;CHAR(10)&amp;"https://www.baker1031.com/sponsors/invesco"</f>
        <v>IREX IV Industrial Portfolio DST (0.00% LTV)
IREX IV Industrial Portfolio is an Invesco-sponsored debt-free DST indirectly owning three modern, functional industrial buildings in Fort Pierce, FL and Concord and Mebane, NC. The properties are situated in growth-oriented markets with strong tenant demand, institutional-quality infrastructure, and regional connectivity. The stabilized assets offer income-growth potential through below-market rents and long-term tenancy.
&gt;&gt; Download Offering Documents
https://www.baker1031.com/sponsors/invesco</v>
      </c>
    </row>
    <row r="39">
      <c r="A39" s="8" t="s">
        <v>807</v>
      </c>
      <c r="B39" s="8" t="s">
        <v>808</v>
      </c>
      <c r="C39" s="8" t="s">
        <v>81</v>
      </c>
      <c r="D39" s="8" t="s">
        <v>82</v>
      </c>
      <c r="E39" s="9">
        <v>9.33599E7</v>
      </c>
      <c r="F39" s="9">
        <v>4.61709E7</v>
      </c>
      <c r="G39" s="9">
        <v>4.7189E7</v>
      </c>
      <c r="H39" s="8" t="s">
        <v>809</v>
      </c>
      <c r="I39" s="9">
        <v>1.6470471E7</v>
      </c>
      <c r="J39" s="10">
        <v>46202.0</v>
      </c>
      <c r="K39" s="11">
        <f t="shared" si="1"/>
        <v>0.3567283939</v>
      </c>
      <c r="L39" s="8" t="s">
        <v>176</v>
      </c>
      <c r="M39" s="8" t="s">
        <v>236</v>
      </c>
      <c r="N39" s="12" t="str">
        <f>IFERROR(__xludf.DUMMYFUNCTION("TEXTJOIN("", "", TRUE, SORT(TRANSPOSE(SPLIT(M39, "", ""))))"),"GA")</f>
        <v>GA</v>
      </c>
      <c r="O39" s="12" t="s">
        <v>810</v>
      </c>
      <c r="P39" s="8" t="s">
        <v>113</v>
      </c>
      <c r="Q39" s="8" t="s">
        <v>88</v>
      </c>
      <c r="R39" s="8" t="s">
        <v>89</v>
      </c>
      <c r="S39" s="8" t="s">
        <v>811</v>
      </c>
      <c r="T39" s="8" t="s">
        <v>812</v>
      </c>
      <c r="U39" s="8" t="s">
        <v>813</v>
      </c>
      <c r="V39" s="8" t="s">
        <v>814</v>
      </c>
      <c r="W39" s="8" t="s">
        <v>815</v>
      </c>
      <c r="X39" s="8" t="s">
        <v>816</v>
      </c>
      <c r="Y39" s="8" t="s">
        <v>817</v>
      </c>
      <c r="Z39" s="8" t="s">
        <v>818</v>
      </c>
      <c r="AA39" s="8" t="s">
        <v>819</v>
      </c>
      <c r="AB39" s="11">
        <v>0.0531</v>
      </c>
      <c r="AC39" s="11">
        <v>0.056</v>
      </c>
      <c r="AD39" s="11">
        <v>0.0596</v>
      </c>
      <c r="AE39" s="11">
        <v>0.0576</v>
      </c>
      <c r="AF39" s="11">
        <v>0.0521</v>
      </c>
      <c r="AG39" s="11">
        <v>0.0515</v>
      </c>
      <c r="AH39" s="11">
        <v>0.0537</v>
      </c>
      <c r="AI39" s="11">
        <v>0.0444</v>
      </c>
      <c r="AJ39" s="11">
        <v>0.0469</v>
      </c>
      <c r="AK39" s="11">
        <v>0.0503</v>
      </c>
      <c r="AL39" s="11">
        <v>0.0525</v>
      </c>
      <c r="AM39" s="11">
        <v>0.068</v>
      </c>
      <c r="AN39" s="13">
        <f t="shared" si="2"/>
        <v>0.08902907317</v>
      </c>
      <c r="AO39" s="8" t="s">
        <v>190</v>
      </c>
      <c r="AP39" s="8" t="s">
        <v>820</v>
      </c>
      <c r="AQ39" s="8" t="s">
        <v>89</v>
      </c>
      <c r="AR39" s="8" t="s">
        <v>132</v>
      </c>
      <c r="AS39" s="8" t="s">
        <v>360</v>
      </c>
      <c r="AT39" s="12" t="s">
        <v>821</v>
      </c>
      <c r="AU39" s="8" t="s">
        <v>822</v>
      </c>
      <c r="AV39" s="22" t="s">
        <v>823</v>
      </c>
      <c r="AW39" s="15"/>
      <c r="AX39" s="9">
        <v>100000.0</v>
      </c>
      <c r="AY39" s="16" t="str">
        <f>IFERROR(__xludf.DUMMYFUNCTION("IF(ISBLANK(AV39), """", IF(REGEXMATCH(AV39, ""/file/d/""), ""https://lh3.googleusercontent.com/d/"" &amp; REGEXEXTRACT(AV39, ""/d/([a-zA-Z0-9_-]+)""), AV39))"),"https://lh3.googleusercontent.com/d/1EL7A8S0seMAymN73emiKqk7wQJKSHHwa=s0")</f>
        <v>https://lh3.googleusercontent.com/d/1EL7A8S0seMAymN73emiKqk7wQJKSHHwa=s0</v>
      </c>
      <c r="AZ39" s="13">
        <f t="shared" si="3"/>
        <v>0.068</v>
      </c>
      <c r="BA39" s="17" t="str">
        <f t="shared" si="4"/>
        <v>Tax-Adjusted Yield</v>
      </c>
      <c r="BB39" s="17" t="str">
        <f t="shared" si="5"/>
        <v>Offering Documents Available By Request</v>
      </c>
      <c r="BC39" s="8" t="s">
        <v>824</v>
      </c>
      <c r="BD39" s="8" t="s">
        <v>825</v>
      </c>
      <c r="BE39" s="8" t="s">
        <v>197</v>
      </c>
      <c r="BF39" s="17" t="str">
        <f t="shared" si="6"/>
        <v>Learn More About JWCM</v>
      </c>
      <c r="BG39" s="17" t="str">
        <f t="shared" si="7"/>
        <v>Learn More About Multifamily Properties</v>
      </c>
      <c r="BH39" s="17" t="str">
        <f t="array" ref="BH39">IFERROR(XLOOKUP($B39, 'Sponsor Connection'!$A:$A, 'Sponsor Connection'!$B:$B), )</f>
        <v/>
      </c>
      <c r="BI39" s="17" t="str">
        <f t="array" ref="BI39">IFERROR(XLOOKUP($B39, 'Sponsor Connection'!$A:$A, 'Sponsor Connection'!$D:$D), )</f>
        <v/>
      </c>
      <c r="BJ39" s="18" t="str">
        <f t="array" ref="BJ39">IF($B39="", "", LET(aum, IFERROR(XLOOKUP($B39, 'Sponsor Connection'!$A:$A, 'Sponsor Connection'!$C:$C), ""), IF(OR(aum="", aum=0), "Not Reported", aum)))</f>
        <v>Not Reported</v>
      </c>
      <c r="BK39" s="19" t="str">
        <f t="array" ref="BK39">IF(ISBLANK($B39), "", LET(val, IFERROR(XLOOKUP($B39, 'Sponsor Connection'!$A:$A, 'Sponsor Connection'!$M:$M), ""), IF(OR(ISBLANK(val), val="", val=0), "Not Reported", val)))</f>
        <v>Not Reported</v>
      </c>
      <c r="BL39" s="13" t="str">
        <f t="array" ref="BL39">IF(ISBLANK($B39), "", LET(val, IFERROR(XLOOKUP($B39, 'Sponsor Connection'!$A:$A, 'Sponsor Connection'!$N:$N), ""), IF(val="", "Not Reported", val)))</f>
        <v>Not Reported</v>
      </c>
      <c r="BM39" s="20" t="str">
        <f t="array" ref="BM39">IF(ISBLANK($B39), "", LET(val, IFERROR(XLOOKUP($B39, 'Sponsor Connection'!$A:$A, 'Sponsor Connection'!$O:$O), ""), IF(val="", "Not Reported", val)))</f>
        <v>Not Reported</v>
      </c>
      <c r="BN39" s="21" t="str">
        <f t="array" ref="BN39">IF(ISBLANK($B39), "", LET(val, IFERROR(XLOOKUP($B39, 'Sponsor Connection'!$A:$A, 'Sponsor Connection'!$P:$P), ""), IF(val="", "Not Reported", val)))</f>
        <v>Not Reported</v>
      </c>
      <c r="BO39" s="13" t="str">
        <f t="array" ref="BO39">IF(ISBLANK($B39), "", LET(val, IFERROR(XLOOKUP($B39, 'Sponsor Connection'!$A:$A, 'Sponsor Connection'!$Q:$Q), ""), IF(val="", "Not Reported", val)))</f>
        <v>Not Reported</v>
      </c>
      <c r="BP39" s="17" t="str">
        <f t="array" ref="BP39">IFERROR(XLOOKUP($B39, 'Sponsor Connection'!$A:$A, 'Sponsor Connection'!$L:$L), )</f>
        <v/>
      </c>
      <c r="BQ39" s="13">
        <f t="shared" si="8"/>
        <v>0.0525</v>
      </c>
      <c r="BR39" s="13">
        <f>IFERROR(VLOOKUP(L39, Benchmarks!$A$2:$D$15, 2, FALSE), "Not Analyzed")</f>
        <v>0.050338</v>
      </c>
      <c r="BS39" s="17" t="str">
        <f t="shared" si="9"/>
        <v>Meets Average</v>
      </c>
      <c r="BT39" s="13">
        <f t="shared" si="10"/>
        <v>0.1224105461</v>
      </c>
      <c r="BU39" s="13">
        <f>IFERROR(VLOOKUP(L39, Benchmarks!$A$2:$D$15, 4, FALSE), "Not Analyzed")</f>
        <v>0.2473634914</v>
      </c>
      <c r="BV39" s="17" t="str">
        <f t="shared" si="11"/>
        <v>Below Average</v>
      </c>
      <c r="BW39" s="13">
        <f t="shared" si="12"/>
        <v>0.0596</v>
      </c>
      <c r="BX39" s="13">
        <f>IFERROR(VLOOKUP(L39, Benchmarks!$A$2:$D$15, 3, FALSE), "Not Analyzed")</f>
        <v>0.05289545455</v>
      </c>
      <c r="BY39" s="17" t="str">
        <f t="shared" si="13"/>
        <v>Above Average</v>
      </c>
      <c r="BZ39" s="17" t="str">
        <f t="shared" si="14"/>
        <v>Investment: JWCM Vivian DST | Sponsor: JWCM | Structure: Delaware Statutory Trust (DST) | Status: Available | LTV: 50.55% LTV | Availability: 0.356728393858469 | Location: GA | Strategy: Core-Plus | 721 Exchange Exit: Optional | Estimated Hold: 10 years | Cap Rate Equivalent: 0.0890290731722371 | Minimum Investment: 100000</v>
      </c>
      <c r="CA39" s="17" t="str">
        <f>A39&amp;" ("&amp;H39&amp;")"&amp;CHAR(10)&amp;CHAR(10)&amp;"JWCM Vivian is a 325-unit Class A mid-rise multifamily community completed in 2023 in the supply-constrained West End / Adair Park infill submarket of Southwest Atlanta, with direct frontage on the Beltline Westside Trail and ~94.7%-95% occupancy. The fee"&amp;" is held under a Fulton County bond-lease program delivering a sliding-scale ad valorem abatement, subject to a Land Use Restriction Agreement mandating affordable set-asides that constrain distributions. The thesis is an organic mark-to-market of embedde"&amp;"d loss-to-lease and ancillary-income optimization, harvesting abatement-inflated NOI over a five-to-ten-year hold with a 1031 or discretionary 721 UPREIT exit."&amp;CHAR(10)&amp;CHAR(10)&amp;"&gt;&gt; Download Offering Documents"&amp;CHAR(10)&amp;"https://www.baker1031.com/sponsors/jwcm"</f>
        <v>JWCM Vivian DST (50.55% LTV)
JWCM Vivian is a 325-unit Class A mid-rise multifamily community completed in 2023 in the supply-constrained West End / Adair Park infill submarket of Southwest Atlanta, with direct frontage on the Beltline Westside Trail and ~94.7%-95% occupancy. The fee is held under a Fulton County bond-lease program delivering a sliding-scale ad valorem abatement, subject to a Land Use Restriction Agreement mandating affordable set-asides that constrain distributions. The thesis is an organic mark-to-market of embedded loss-to-lease and ancillary-income optimization, harvesting abatement-inflated NOI over a five-to-ten-year hold with a 1031 or discretionary 721 UPREIT exit.
&gt;&gt; Download Offering Documents
https://www.baker1031.com/sponsors/jwcm</v>
      </c>
    </row>
    <row r="40">
      <c r="A40" s="8" t="s">
        <v>826</v>
      </c>
      <c r="B40" s="8" t="s">
        <v>511</v>
      </c>
      <c r="C40" s="8" t="s">
        <v>81</v>
      </c>
      <c r="D40" s="8" t="s">
        <v>82</v>
      </c>
      <c r="E40" s="9">
        <v>4.2710095E7</v>
      </c>
      <c r="F40" s="9">
        <v>4.2710095E7</v>
      </c>
      <c r="G40" s="9">
        <v>0.0</v>
      </c>
      <c r="H40" s="8" t="s">
        <v>83</v>
      </c>
      <c r="I40" s="9">
        <v>4.2710095E7</v>
      </c>
      <c r="J40" s="10">
        <v>46172.0</v>
      </c>
      <c r="K40" s="11">
        <f t="shared" si="1"/>
        <v>1</v>
      </c>
      <c r="L40" s="8" t="s">
        <v>827</v>
      </c>
      <c r="M40" s="8" t="s">
        <v>828</v>
      </c>
      <c r="N40" s="12" t="str">
        <f>IFERROR(__xludf.DUMMYFUNCTION("TEXTJOIN("", "", TRUE, SORT(TRANSPOSE(SPLIT(M40, "", ""))))"),"IL, OK")</f>
        <v>IL, OK</v>
      </c>
      <c r="O40" s="12" t="s">
        <v>515</v>
      </c>
      <c r="P40" s="8" t="s">
        <v>179</v>
      </c>
      <c r="Q40" s="8" t="s">
        <v>156</v>
      </c>
      <c r="R40" s="8" t="s">
        <v>89</v>
      </c>
      <c r="S40" s="8" t="s">
        <v>829</v>
      </c>
      <c r="T40" s="8" t="s">
        <v>830</v>
      </c>
      <c r="U40" s="8" t="s">
        <v>831</v>
      </c>
      <c r="V40" s="8" t="s">
        <v>832</v>
      </c>
      <c r="W40" s="8" t="s">
        <v>833</v>
      </c>
      <c r="X40" s="8" t="s">
        <v>834</v>
      </c>
      <c r="Y40" s="8" t="s">
        <v>835</v>
      </c>
      <c r="Z40" s="8" t="s">
        <v>836</v>
      </c>
      <c r="AA40" s="8" t="s">
        <v>837</v>
      </c>
      <c r="AB40" s="11">
        <v>0.0701</v>
      </c>
      <c r="AC40" s="11">
        <v>0.0726</v>
      </c>
      <c r="AD40" s="11">
        <v>0.0745</v>
      </c>
      <c r="AE40" s="11">
        <v>0.0747</v>
      </c>
      <c r="AF40" s="11">
        <v>0.075</v>
      </c>
      <c r="AG40" s="11">
        <v>0.076</v>
      </c>
      <c r="AH40" s="11">
        <v>0.0821</v>
      </c>
      <c r="AI40" s="11">
        <v>0.086</v>
      </c>
      <c r="AJ40" s="11">
        <v>0.0896</v>
      </c>
      <c r="AK40" s="11">
        <v>0.097</v>
      </c>
      <c r="AL40" s="11">
        <v>0.0798</v>
      </c>
      <c r="AM40" s="11">
        <v>0.087</v>
      </c>
      <c r="AN40" s="13">
        <f t="shared" si="2"/>
        <v>0.096502</v>
      </c>
      <c r="AO40" s="8" t="s">
        <v>100</v>
      </c>
      <c r="AP40" s="8" t="s">
        <v>101</v>
      </c>
      <c r="AQ40" s="8" t="s">
        <v>101</v>
      </c>
      <c r="AR40" s="8" t="s">
        <v>101</v>
      </c>
      <c r="AS40" s="8" t="s">
        <v>101</v>
      </c>
      <c r="AT40" s="12" t="s">
        <v>102</v>
      </c>
      <c r="AU40" s="8" t="s">
        <v>838</v>
      </c>
      <c r="AV40" s="22" t="s">
        <v>839</v>
      </c>
      <c r="AW40" s="15"/>
      <c r="AX40" s="9">
        <v>100000.0</v>
      </c>
      <c r="AY40" s="16" t="str">
        <f>IFERROR(__xludf.DUMMYFUNCTION("IF(ISBLANK(AV40), """", IF(REGEXMATCH(AV40, ""/file/d/""), ""https://lh3.googleusercontent.com/d/"" &amp; REGEXEXTRACT(AV40, ""/d/([a-zA-Z0-9_-]+)""), AV40))"),"https://lh3.googleusercontent.com/d/1wIFzSKE502eyrrgocMUc69TLO-hu9BAN=s0")</f>
        <v>https://lh3.googleusercontent.com/d/1wIFzSKE502eyrrgocMUc69TLO-hu9BAN=s0</v>
      </c>
      <c r="AZ40" s="13">
        <f t="shared" si="3"/>
        <v>0.087</v>
      </c>
      <c r="BA40" s="17" t="str">
        <f t="shared" si="4"/>
        <v>Tax-Adjusted Yield</v>
      </c>
      <c r="BB40" s="17" t="str">
        <f t="shared" si="5"/>
        <v>Offering Documents Available By Request</v>
      </c>
      <c r="BC40" s="8" t="s">
        <v>840</v>
      </c>
      <c r="BD40" s="8" t="s">
        <v>534</v>
      </c>
      <c r="BE40" s="8" t="s">
        <v>841</v>
      </c>
      <c r="BF40" s="17" t="str">
        <f t="shared" si="6"/>
        <v>Learn More About NexPoint</v>
      </c>
      <c r="BG40" s="17" t="str">
        <f t="shared" si="7"/>
        <v>Learn More About Marina Properties</v>
      </c>
      <c r="BH40" s="17">
        <f t="array" ref="BH40">IFERROR(XLOOKUP($B40, 'Sponsor Connection'!$A:$A, 'Sponsor Connection'!$B:$B), )</f>
        <v>2012</v>
      </c>
      <c r="BI40" s="17" t="str">
        <f t="array" ref="BI40">IFERROR(XLOOKUP($B40, 'Sponsor Connection'!$A:$A, 'Sponsor Connection'!$D:$D), )</f>
        <v>NexPoint is a Dallas alternative manager—an affiliate of the former Highland Capital complex—overseeing roughly $15 billion across listed and non-listed REITs, DSTs, 1031 exchanges, interval funds and a BDC. Its breadth across real estate and credit, paired with significant own-capital co-investment, gives it institutional heft in the exchange channel, and its concentrated Dallas/Uptown asset base reflects conviction in its home market. For exchangers, the platform offers a diversified menu backed by a sizable alternatives manager.</v>
      </c>
      <c r="BJ40" s="18">
        <f t="array" ref="BJ40">IF($B40="", "", LET(aum, IFERROR(XLOOKUP($B40, 'Sponsor Connection'!$A:$A, 'Sponsor Connection'!$C:$C), ""), IF(OR(aum="", aum=0), "Not Reported", aum)))</f>
        <v>15000000000</v>
      </c>
      <c r="BK40" s="19">
        <f t="array" ref="BK40">IF(ISBLANK($B40), "", LET(val, IFERROR(XLOOKUP($B40, 'Sponsor Connection'!$A:$A, 'Sponsor Connection'!$M:$M), ""), IF(OR(ISBLANK(val), val="", val=0), "Not Reported", val)))</f>
        <v>3</v>
      </c>
      <c r="BL40" s="13">
        <f t="array" ref="BL40">IF(ISBLANK($B40), "", LET(val, IFERROR(XLOOKUP($B40, 'Sponsor Connection'!$A:$A, 'Sponsor Connection'!$N:$N), ""), IF(val="", "Not Reported", val)))</f>
        <v>0.1683333333</v>
      </c>
      <c r="BM40" s="20">
        <f t="array" ref="BM40">IF(ISBLANK($B40), "", LET(val, IFERROR(XLOOKUP($B40, 'Sponsor Connection'!$A:$A, 'Sponsor Connection'!$O:$O), ""), IF(val="", "Not Reported", val)))</f>
        <v>1.646666667</v>
      </c>
      <c r="BN40" s="21">
        <f t="array" ref="BN40">IF(ISBLANK($B40), "", LET(val, IFERROR(XLOOKUP($B40, 'Sponsor Connection'!$A:$A, 'Sponsor Connection'!$P:$P), ""), IF(val="", "Not Reported", val)))</f>
        <v>4.64</v>
      </c>
      <c r="BO40" s="13">
        <f t="array" ref="BO40">IF(ISBLANK($B40), "", LET(val, IFERROR(XLOOKUP($B40, 'Sponsor Connection'!$A:$A, 'Sponsor Connection'!$Q:$Q), ""), IF(val="", "Not Reported", val)))</f>
        <v>1</v>
      </c>
      <c r="BP40" s="16" t="str">
        <f t="array" ref="BP40">IFERROR(XLOOKUP($B40, 'Sponsor Connection'!$A:$A, 'Sponsor Connection'!$L:$L), )</f>
        <v>https://img.logo.dev/nexpoint.com?token=pk_FIVsDKgZTvCedVXXtt2rEg&amp;size=200&amp;retina=true</v>
      </c>
      <c r="BQ40" s="13">
        <f t="shared" si="8"/>
        <v>0.0798</v>
      </c>
      <c r="BR40" s="13">
        <f>IFERROR(VLOOKUP(L40, Benchmarks!$A$2:$D$15, 2, FALSE), "Not Analyzed")</f>
        <v>0.0798</v>
      </c>
      <c r="BS40" s="17" t="str">
        <f t="shared" si="9"/>
        <v>Meets Average</v>
      </c>
      <c r="BT40" s="13">
        <f t="shared" si="10"/>
        <v>0.3837375178</v>
      </c>
      <c r="BU40" s="13">
        <f>IFERROR(VLOOKUP(L40, Benchmarks!$A$2:$D$15, 4, FALSE), "Not Analyzed")</f>
        <v>0.3837375178</v>
      </c>
      <c r="BV40" s="17" t="str">
        <f t="shared" si="11"/>
        <v>Meets Average</v>
      </c>
      <c r="BW40" s="13">
        <f t="shared" si="12"/>
        <v>0.097</v>
      </c>
      <c r="BX40" s="13">
        <f>IFERROR(VLOOKUP(L40, Benchmarks!$A$2:$D$15, 3, FALSE), "Not Analyzed")</f>
        <v>0.097</v>
      </c>
      <c r="BY40" s="17" t="str">
        <f t="shared" si="13"/>
        <v>Meets Average</v>
      </c>
      <c r="BZ40" s="17" t="str">
        <f t="shared" si="14"/>
        <v>Investment: NexPoint Marina DST | Sponsor: NexPoint | Structure: Delaware Statutory Trust (DST) | Status: Available | LTV: 0.00% LTV | Availability: 1 | Location: IL, OK | Strategy: Value-Add | 721 Exchange Exit: Mandatory | Estimated Hold: 10 years | Cap Rate Equivalent: 0.096502 | Minimum Investment: 100000</v>
      </c>
      <c r="CA40" s="17" t="str">
        <f>A40&amp;" ("&amp;H40&amp;")"&amp;CHAR(10)&amp;CHAR(10)&amp;"NexPoint Marina is a two-property, debt-free portfolio of marina and boatyard operating assets - Eufaula Cove Marina on Lake Eufaula, OK (459 wet slips) and Grafton Harbor on the Mississippi River in the St. Louis MSA (252 slips) - held as leasehold inter"&amp;"ests in improvements under long-dated municipal ground leases. Capitalized entirely with $42.71M of equity against ~$3.07M of Year-1 NOI, the thesis institutionalizes fragmented owner-operated marina assets in supply-constrained waterfront corridors. The "&amp;"value-add plan drives mark-to-market slip rents, lifts Eufaula seasonal occupancy, and expands ancillary revenue under specialist management, with a five-to-ten-year disposition via sale or a discretionary Section 721 UPREIT."&amp;CHAR(10)&amp;CHAR(10)&amp;"&gt;&gt; Download Offering Documents"&amp;CHAR(10)&amp;"https://www.baker1031.com/sponsors/nexpoint"</f>
        <v>NexPoint Marina DST (0.00% LTV)
NexPoint Marina is a two-property, debt-free portfolio of marina and boatyard operating assets - Eufaula Cove Marina on Lake Eufaula, OK (459 wet slips) and Grafton Harbor on the Mississippi River in the St. Louis MSA (252 slips) - held as leasehold interests in improvements under long-dated municipal ground leases. Capitalized entirely with $42.71M of equity against ~$3.07M of Year-1 NOI, the thesis institutionalizes fragmented owner-operated marina assets in supply-constrained waterfront corridors. The value-add plan drives mark-to-market slip rents, lifts Eufaula seasonal occupancy, and expands ancillary revenue under specialist management, with a five-to-ten-year disposition via sale or a discretionary Section 721 UPREIT.
&gt;&gt; Download Offering Documents
https://www.baker1031.com/sponsors/nexpoint</v>
      </c>
    </row>
    <row r="41">
      <c r="A41" s="8" t="s">
        <v>842</v>
      </c>
      <c r="B41" s="8" t="s">
        <v>511</v>
      </c>
      <c r="C41" s="8" t="s">
        <v>81</v>
      </c>
      <c r="D41" s="8" t="s">
        <v>82</v>
      </c>
      <c r="E41" s="9">
        <v>6.5603006E7</v>
      </c>
      <c r="F41" s="9">
        <v>3.2903006E7</v>
      </c>
      <c r="G41" s="9">
        <v>3.27E7</v>
      </c>
      <c r="H41" s="8" t="s">
        <v>843</v>
      </c>
      <c r="I41" s="9">
        <v>3.2903006E7</v>
      </c>
      <c r="J41" s="10">
        <v>46172.0</v>
      </c>
      <c r="K41" s="11">
        <f t="shared" si="1"/>
        <v>1</v>
      </c>
      <c r="L41" s="8" t="s">
        <v>176</v>
      </c>
      <c r="M41" s="8" t="s">
        <v>844</v>
      </c>
      <c r="N41" s="12" t="str">
        <f>IFERROR(__xludf.DUMMYFUNCTION("TEXTJOIN("", "", TRUE, SORT(TRANSPOSE(SPLIT(M41, "", ""))))"),"AL")</f>
        <v>AL</v>
      </c>
      <c r="O41" s="12" t="s">
        <v>515</v>
      </c>
      <c r="P41" s="8" t="s">
        <v>179</v>
      </c>
      <c r="Q41" s="8" t="s">
        <v>156</v>
      </c>
      <c r="R41" s="8" t="s">
        <v>89</v>
      </c>
      <c r="S41" s="8" t="s">
        <v>845</v>
      </c>
      <c r="T41" s="8" t="s">
        <v>846</v>
      </c>
      <c r="U41" s="8" t="s">
        <v>847</v>
      </c>
      <c r="V41" s="8" t="s">
        <v>848</v>
      </c>
      <c r="W41" s="8" t="s">
        <v>849</v>
      </c>
      <c r="X41" s="8" t="s">
        <v>850</v>
      </c>
      <c r="Y41" s="8" t="s">
        <v>851</v>
      </c>
      <c r="Z41" s="8" t="s">
        <v>852</v>
      </c>
      <c r="AA41" s="8" t="s">
        <v>853</v>
      </c>
      <c r="AB41" s="11">
        <v>0.0444</v>
      </c>
      <c r="AC41" s="11">
        <v>0.0461</v>
      </c>
      <c r="AD41" s="11">
        <v>0.0476</v>
      </c>
      <c r="AE41" s="11">
        <v>0.0489</v>
      </c>
      <c r="AF41" s="11">
        <v>0.0501</v>
      </c>
      <c r="AG41" s="11">
        <v>0.0502</v>
      </c>
      <c r="AH41" s="11">
        <v>0.0518</v>
      </c>
      <c r="AI41" s="11">
        <v>0.0583</v>
      </c>
      <c r="AJ41" s="11">
        <v>0.0612</v>
      </c>
      <c r="AK41" s="11">
        <v>0.0663</v>
      </c>
      <c r="AL41" s="11">
        <v>0.0525</v>
      </c>
      <c r="AM41" s="11">
        <v>0.08</v>
      </c>
      <c r="AN41" s="13">
        <f t="shared" si="2"/>
        <v>0.08435538714</v>
      </c>
      <c r="AO41" s="8" t="s">
        <v>581</v>
      </c>
      <c r="AP41" s="8" t="s">
        <v>854</v>
      </c>
      <c r="AQ41" s="8" t="s">
        <v>89</v>
      </c>
      <c r="AR41" s="8" t="s">
        <v>89</v>
      </c>
      <c r="AS41" s="8" t="s">
        <v>855</v>
      </c>
      <c r="AT41" s="12" t="s">
        <v>821</v>
      </c>
      <c r="AU41" s="8" t="s">
        <v>856</v>
      </c>
      <c r="AV41" s="22" t="s">
        <v>857</v>
      </c>
      <c r="AW41" s="15"/>
      <c r="AX41" s="9">
        <v>100000.0</v>
      </c>
      <c r="AY41" s="16" t="str">
        <f>IFERROR(__xludf.DUMMYFUNCTION("IF(ISBLANK(AV41), """", IF(REGEXMATCH(AV41, ""/file/d/""), ""https://lh3.googleusercontent.com/d/"" &amp; REGEXEXTRACT(AV41, ""/d/([a-zA-Z0-9_-]+)""), AV41))"),"https://lh3.googleusercontent.com/d/1atuBoA7MzJbPGg7GjRbc-2RlWG2viNFO=s0")</f>
        <v>https://lh3.googleusercontent.com/d/1atuBoA7MzJbPGg7GjRbc-2RlWG2viNFO=s0</v>
      </c>
      <c r="AZ41" s="13">
        <f t="shared" si="3"/>
        <v>0.08</v>
      </c>
      <c r="BA41" s="17" t="str">
        <f t="shared" si="4"/>
        <v>Tax-Adjusted Yield</v>
      </c>
      <c r="BB41" s="17" t="str">
        <f t="shared" si="5"/>
        <v>Offering Documents Available By Request</v>
      </c>
      <c r="BC41" s="8" t="s">
        <v>858</v>
      </c>
      <c r="BD41" s="8" t="s">
        <v>534</v>
      </c>
      <c r="BE41" s="8" t="s">
        <v>197</v>
      </c>
      <c r="BF41" s="17" t="str">
        <f t="shared" si="6"/>
        <v>Learn More About NexPoint</v>
      </c>
      <c r="BG41" s="17" t="str">
        <f t="shared" si="7"/>
        <v>Learn More About Multifamily Properties</v>
      </c>
      <c r="BH41" s="17">
        <f t="array" ref="BH41">IFERROR(XLOOKUP($B41, 'Sponsor Connection'!$A:$A, 'Sponsor Connection'!$B:$B), )</f>
        <v>2012</v>
      </c>
      <c r="BI41" s="17" t="str">
        <f t="array" ref="BI41">IFERROR(XLOOKUP($B41, 'Sponsor Connection'!$A:$A, 'Sponsor Connection'!$D:$D), )</f>
        <v>NexPoint is a Dallas alternative manager—an affiliate of the former Highland Capital complex—overseeing roughly $15 billion across listed and non-listed REITs, DSTs, 1031 exchanges, interval funds and a BDC. Its breadth across real estate and credit, paired with significant own-capital co-investment, gives it institutional heft in the exchange channel, and its concentrated Dallas/Uptown asset base reflects conviction in its home market. For exchangers, the platform offers a diversified menu backed by a sizable alternatives manager.</v>
      </c>
      <c r="BJ41" s="18">
        <f t="array" ref="BJ41">IF($B41="", "", LET(aum, IFERROR(XLOOKUP($B41, 'Sponsor Connection'!$A:$A, 'Sponsor Connection'!$C:$C), ""), IF(OR(aum="", aum=0), "Not Reported", aum)))</f>
        <v>15000000000</v>
      </c>
      <c r="BK41" s="19">
        <f t="array" ref="BK41">IF(ISBLANK($B41), "", LET(val, IFERROR(XLOOKUP($B41, 'Sponsor Connection'!$A:$A, 'Sponsor Connection'!$M:$M), ""), IF(OR(ISBLANK(val), val="", val=0), "Not Reported", val)))</f>
        <v>3</v>
      </c>
      <c r="BL41" s="13">
        <f t="array" ref="BL41">IF(ISBLANK($B41), "", LET(val, IFERROR(XLOOKUP($B41, 'Sponsor Connection'!$A:$A, 'Sponsor Connection'!$N:$N), ""), IF(val="", "Not Reported", val)))</f>
        <v>0.1683333333</v>
      </c>
      <c r="BM41" s="20">
        <f t="array" ref="BM41">IF(ISBLANK($B41), "", LET(val, IFERROR(XLOOKUP($B41, 'Sponsor Connection'!$A:$A, 'Sponsor Connection'!$O:$O), ""), IF(val="", "Not Reported", val)))</f>
        <v>1.646666667</v>
      </c>
      <c r="BN41" s="21">
        <f t="array" ref="BN41">IF(ISBLANK($B41), "", LET(val, IFERROR(XLOOKUP($B41, 'Sponsor Connection'!$A:$A, 'Sponsor Connection'!$P:$P), ""), IF(val="", "Not Reported", val)))</f>
        <v>4.64</v>
      </c>
      <c r="BO41" s="13">
        <f t="array" ref="BO41">IF(ISBLANK($B41), "", LET(val, IFERROR(XLOOKUP($B41, 'Sponsor Connection'!$A:$A, 'Sponsor Connection'!$Q:$Q), ""), IF(val="", "Not Reported", val)))</f>
        <v>1</v>
      </c>
      <c r="BP41" s="16" t="str">
        <f t="array" ref="BP41">IFERROR(XLOOKUP($B41, 'Sponsor Connection'!$A:$A, 'Sponsor Connection'!$L:$L), )</f>
        <v>https://img.logo.dev/nexpoint.com?token=pk_FIVsDKgZTvCedVXXtt2rEg&amp;size=200&amp;retina=true</v>
      </c>
      <c r="BQ41" s="13">
        <f t="shared" si="8"/>
        <v>0.0525</v>
      </c>
      <c r="BR41" s="13">
        <f>IFERROR(VLOOKUP(L41, Benchmarks!$A$2:$D$15, 2, FALSE), "Not Analyzed")</f>
        <v>0.050338</v>
      </c>
      <c r="BS41" s="17" t="str">
        <f t="shared" si="9"/>
        <v>Meets Average</v>
      </c>
      <c r="BT41" s="13">
        <f t="shared" si="10"/>
        <v>0.4932432432</v>
      </c>
      <c r="BU41" s="13">
        <f>IFERROR(VLOOKUP(L41, Benchmarks!$A$2:$D$15, 4, FALSE), "Not Analyzed")</f>
        <v>0.2473634914</v>
      </c>
      <c r="BV41" s="17" t="str">
        <f t="shared" si="11"/>
        <v>Above Average</v>
      </c>
      <c r="BW41" s="13">
        <f t="shared" si="12"/>
        <v>0.0663</v>
      </c>
      <c r="BX41" s="13">
        <f>IFERROR(VLOOKUP(L41, Benchmarks!$A$2:$D$15, 3, FALSE), "Not Analyzed")</f>
        <v>0.05289545455</v>
      </c>
      <c r="BY41" s="17" t="str">
        <f t="shared" si="13"/>
        <v>Above Average</v>
      </c>
      <c r="BZ41" s="17" t="str">
        <f t="shared" si="14"/>
        <v>Investment: NexPoint Outlook DST | Sponsor: NexPoint | Structure: Delaware Statutory Trust (DST) | Status: Available | LTV: 49.85% LTV | Availability: 1 | Location: AL | Strategy: Value-Add | 721 Exchange Exit: Mandatory | Estimated Hold: 10 years | Cap Rate Equivalent: 0.0843553871441349 | Minimum Investment: 100000</v>
      </c>
      <c r="CA41" s="17" t="str">
        <f>A41&amp;" ("&amp;H41&amp;")"&amp;CHAR(10)&amp;CHAR(10)&amp;"NexPoint Outlook is a 300-unit, 2007-vintage garden multifamily community in the affluent Greystone/Cahaba Valley submarket of southeast Birmingham, AL, 94.7% leased at acquisition. The trust acquired the asset in November 2025 for $54.5M, equal to apprai"&amp;"sed value, financed with a $32.7M Freddie Mac loan (4.67% fixed, full-term interest-only, 49.85% LTC) under a master lease with top-15 operator BH Management. The light value-add thesis pursues organic rent growth, expense control, and selective interior "&amp;"upgrades, with disposition targeted in five to ten years via sale or a discretionary Section 721 UPREIT."&amp;CHAR(10)&amp;CHAR(10)&amp;"&gt;&gt; Download Offering Documents"&amp;CHAR(10)&amp;"https://www.baker1031.com/sponsors/nexpoint"</f>
        <v>NexPoint Outlook DST (49.85% LTV)
NexPoint Outlook is a 300-unit, 2007-vintage garden multifamily community in the affluent Greystone/Cahaba Valley submarket of southeast Birmingham, AL, 94.7% leased at acquisition. The trust acquired the asset in November 2025 for $54.5M, equal to appraised value, financed with a $32.7M Freddie Mac loan (4.67% fixed, full-term interest-only, 49.85% LTC) under a master lease with top-15 operator BH Management. The light value-add thesis pursues organic rent growth, expense control, and selective interior upgrades, with disposition targeted in five to ten years via sale or a discretionary Section 721 UPREIT.
&gt;&gt; Download Offering Documents
https://www.baker1031.com/sponsors/nexpoint</v>
      </c>
    </row>
    <row r="42">
      <c r="A42" s="8" t="s">
        <v>859</v>
      </c>
      <c r="B42" s="8" t="s">
        <v>646</v>
      </c>
      <c r="C42" s="8" t="s">
        <v>81</v>
      </c>
      <c r="D42" s="8" t="s">
        <v>82</v>
      </c>
      <c r="E42" s="9">
        <v>2.8113527E7</v>
      </c>
      <c r="F42" s="9">
        <v>2.8113527E7</v>
      </c>
      <c r="G42" s="9">
        <v>0.0</v>
      </c>
      <c r="H42" s="8" t="s">
        <v>83</v>
      </c>
      <c r="I42" s="9">
        <v>2.8113527E7</v>
      </c>
      <c r="J42" s="10">
        <v>46172.0</v>
      </c>
      <c r="K42" s="11">
        <f t="shared" si="1"/>
        <v>1</v>
      </c>
      <c r="L42" s="8" t="s">
        <v>153</v>
      </c>
      <c r="M42" s="8" t="s">
        <v>860</v>
      </c>
      <c r="N42" s="12" t="str">
        <f>IFERROR(__xludf.DUMMYFUNCTION("TEXTJOIN("", "", TRUE, SORT(TRANSPOSE(SPLIT(M42, "", ""))))"),"NH")</f>
        <v>NH</v>
      </c>
      <c r="O42" s="12" t="s">
        <v>861</v>
      </c>
      <c r="P42" s="8" t="s">
        <v>87</v>
      </c>
      <c r="Q42" s="8" t="s">
        <v>258</v>
      </c>
      <c r="R42" s="8" t="s">
        <v>89</v>
      </c>
      <c r="S42" s="8" t="s">
        <v>862</v>
      </c>
      <c r="T42" s="8" t="s">
        <v>863</v>
      </c>
      <c r="U42" s="8" t="s">
        <v>864</v>
      </c>
      <c r="V42" s="8" t="s">
        <v>865</v>
      </c>
      <c r="W42" s="8" t="s">
        <v>866</v>
      </c>
      <c r="X42" s="8" t="s">
        <v>867</v>
      </c>
      <c r="Y42" s="8" t="s">
        <v>868</v>
      </c>
      <c r="Z42" s="8" t="s">
        <v>869</v>
      </c>
      <c r="AA42" s="8" t="s">
        <v>870</v>
      </c>
      <c r="AB42" s="11">
        <v>0.0503</v>
      </c>
      <c r="AC42" s="11">
        <v>0.051</v>
      </c>
      <c r="AD42" s="11">
        <v>0.0517</v>
      </c>
      <c r="AE42" s="11">
        <v>0.052</v>
      </c>
      <c r="AF42" s="11">
        <v>0.0524</v>
      </c>
      <c r="AG42" s="11">
        <v>0.0532</v>
      </c>
      <c r="AH42" s="11">
        <v>0.0541</v>
      </c>
      <c r="AI42" s="11">
        <v>0.0551</v>
      </c>
      <c r="AJ42" s="11">
        <v>0.0561</v>
      </c>
      <c r="AK42" s="11">
        <v>0.0572</v>
      </c>
      <c r="AL42" s="11">
        <v>0.0533</v>
      </c>
      <c r="AM42" s="11">
        <v>0.069</v>
      </c>
      <c r="AN42" s="13">
        <f t="shared" si="2"/>
        <v>0.076306</v>
      </c>
      <c r="AO42" s="8" t="s">
        <v>100</v>
      </c>
      <c r="AP42" s="8" t="s">
        <v>101</v>
      </c>
      <c r="AQ42" s="8" t="s">
        <v>101</v>
      </c>
      <c r="AR42" s="8" t="s">
        <v>101</v>
      </c>
      <c r="AS42" s="8" t="s">
        <v>101</v>
      </c>
      <c r="AT42" s="12" t="s">
        <v>102</v>
      </c>
      <c r="AU42" s="8" t="s">
        <v>871</v>
      </c>
      <c r="AV42" s="22" t="s">
        <v>872</v>
      </c>
      <c r="AW42" s="15"/>
      <c r="AX42" s="9">
        <v>100000.0</v>
      </c>
      <c r="AY42" s="16" t="str">
        <f>IFERROR(__xludf.DUMMYFUNCTION("IF(ISBLANK(AV42), """", IF(REGEXMATCH(AV42, ""/file/d/""), ""https://lh3.googleusercontent.com/d/"" &amp; REGEXEXTRACT(AV42, ""/d/([a-zA-Z0-9_-]+)""), AV42))"),"https://lh3.googleusercontent.com/d/1gjt9sYqnBK30kafE_NvtEYfA0ru0itwa=s0")</f>
        <v>https://lh3.googleusercontent.com/d/1gjt9sYqnBK30kafE_NvtEYfA0ru0itwa=s0</v>
      </c>
      <c r="AZ42" s="13">
        <f t="shared" si="3"/>
        <v>0.069</v>
      </c>
      <c r="BA42" s="17" t="str">
        <f t="shared" si="4"/>
        <v>Tax-Adjusted Yield</v>
      </c>
      <c r="BB42" s="17" t="str">
        <f t="shared" si="5"/>
        <v>Offering Documents Available By Request</v>
      </c>
      <c r="BC42" s="8" t="s">
        <v>873</v>
      </c>
      <c r="BD42" s="8" t="s">
        <v>660</v>
      </c>
      <c r="BE42" s="8" t="s">
        <v>171</v>
      </c>
      <c r="BF42" s="17" t="str">
        <f t="shared" si="6"/>
        <v>Learn More About Peachtree Group</v>
      </c>
      <c r="BG42" s="17" t="str">
        <f t="shared" si="7"/>
        <v>Learn More About Industrial Properties</v>
      </c>
      <c r="BH42" s="17">
        <f t="array" ref="BH42">IFERROR(XLOOKUP($B42, 'Sponsor Connection'!$A:$A, 'Sponsor Connection'!$B:$B), )</f>
        <v>2007</v>
      </c>
      <c r="BI42" s="17" t="str">
        <f t="array" ref="BI42">IFERROR(XLOOKUP($B42, 'Sponsor Connection'!$A:$A, 'Sponsor Connection'!$D:$D), )</f>
        <v>Peachtree Group is an Atlanta vertically integrated investment manager with more than $2.5 billion in equity under management and over $9 billion in asset value, anchored in deep hospitality expertise across 48-plus hotels and extended into CRE lending, CPACE financing and, since 2022, a debt-free DST platform. Ranked a top-15 DST sponsor in 2024 on the strength of seven all-cash DST acquisitions, and complemented by EB-5 and QOZ programs, Peachtree brings unusual capital-markets breadth—equity, credit and tax-advantaged structures—to the exchange channel. The hospitality depth and lending arm differentiate it from pure-play property sponsors.</v>
      </c>
      <c r="BJ42" s="18">
        <f t="array" ref="BJ42">IF($B42="", "", LET(aum, IFERROR(XLOOKUP($B42, 'Sponsor Connection'!$A:$A, 'Sponsor Connection'!$C:$C), ""), IF(OR(aum="", aum=0), "Not Reported", aum)))</f>
        <v>2500000000</v>
      </c>
      <c r="BK42" s="19">
        <f t="array" ref="BK42">IF(ISBLANK($B42), "", LET(val, IFERROR(XLOOKUP($B42, 'Sponsor Connection'!$A:$A, 'Sponsor Connection'!$M:$M), ""), IF(OR(ISBLANK(val), val="", val=0), "Not Reported", val)))</f>
        <v>28</v>
      </c>
      <c r="BL42" s="13">
        <f t="array" ref="BL42">IF(ISBLANK($B42), "", LET(val, IFERROR(XLOOKUP($B42, 'Sponsor Connection'!$A:$A, 'Sponsor Connection'!$N:$N), ""), IF(val="", "Not Reported", val)))</f>
        <v>0.3118214286</v>
      </c>
      <c r="BM42" s="20">
        <f t="array" ref="BM42">IF(ISBLANK($B42), "", LET(val, IFERROR(XLOOKUP($B42, 'Sponsor Connection'!$A:$A, 'Sponsor Connection'!$O:$O), ""), IF(val="", "Not Reported", val)))</f>
        <v>2.1525</v>
      </c>
      <c r="BN42" s="21">
        <f t="array" ref="BN42">IF(ISBLANK($B42), "", LET(val, IFERROR(XLOOKUP($B42, 'Sponsor Connection'!$A:$A, 'Sponsor Connection'!$P:$P), ""), IF(val="", "Not Reported", val)))</f>
        <v>5.115357143</v>
      </c>
      <c r="BO42" s="13">
        <f t="array" ref="BO42">IF(ISBLANK($B42), "", LET(val, IFERROR(XLOOKUP($B42, 'Sponsor Connection'!$A:$A, 'Sponsor Connection'!$Q:$Q), ""), IF(val="", "Not Reported", val)))</f>
        <v>1</v>
      </c>
      <c r="BP42" s="16" t="str">
        <f t="array" ref="BP42">IFERROR(XLOOKUP($B42, 'Sponsor Connection'!$A:$A, 'Sponsor Connection'!$L:$L), )</f>
        <v>https://img.logo.dev/peachtreegroup.com?token=pk_FIVsDKgZTvCedVXXtt2rEg&amp;size=200&amp;retina=true</v>
      </c>
      <c r="BQ42" s="13">
        <f t="shared" si="8"/>
        <v>0.0533</v>
      </c>
      <c r="BR42" s="13">
        <f>IFERROR(VLOOKUP(L42, Benchmarks!$A$2:$D$15, 2, FALSE), "Not Analyzed")</f>
        <v>0</v>
      </c>
      <c r="BS42" s="17" t="str">
        <f t="shared" si="9"/>
        <v>Above Average</v>
      </c>
      <c r="BT42" s="13">
        <f t="shared" si="10"/>
        <v>0.1371769384</v>
      </c>
      <c r="BU42" s="13">
        <f>IFERROR(VLOOKUP(L42, Benchmarks!$A$2:$D$15, 4, FALSE), "Not Analyzed")</f>
        <v>0.1441469396</v>
      </c>
      <c r="BV42" s="17" t="str">
        <f t="shared" si="11"/>
        <v>Meets Average</v>
      </c>
      <c r="BW42" s="13">
        <f t="shared" si="12"/>
        <v>0.0572</v>
      </c>
      <c r="BX42" s="13">
        <f>IFERROR(VLOOKUP(L42, Benchmarks!$A$2:$D$15, 3, FALSE), "Not Analyzed")</f>
        <v>0.05854</v>
      </c>
      <c r="BY42" s="17" t="str">
        <f t="shared" si="13"/>
        <v>Meets Average</v>
      </c>
      <c r="BZ42" s="17" t="str">
        <f t="shared" si="14"/>
        <v>Investment: PG Manchester Industrial DST | Sponsor: Peachtree Group | Structure: Delaware Statutory Trust (DST) | Status: Available | LTV: 0.00% LTV | Availability: 1 | Location: NH | Strategy: Core | 721 Exchange Exit: None | Estimated Hold: 10 years | Cap Rate Equivalent: 0.076306 | Minimum Investment: 100000</v>
      </c>
      <c r="CA42" s="17" t="str">
        <f>A42&amp;" ("&amp;H42&amp;")"&amp;CHAR(10)&amp;CHAR(10)&amp;"PG Manchester Industrial is a debt-free, single-tenant DST owning a 50,985 SF, 2024-built Tesla service center adjacent to Manchester-Boston Regional Airport in Londonderry, NH - one of only two Tesla service centers in the state. The property is 100% lea"&amp;"sed to Tesla (BBB/Baa3) under a 15-year triple-net lease running through March 2040 with 3% annual escalations and five renewal options, acquired in December 2025 for $23.5M free and clear. The thesis is an income-oriented net-lease hold of investment-gra"&amp;"de-tenant credit with contractual escalation over a ~10-year hold."&amp;CHAR(10)&amp;CHAR(10)&amp;"&gt;&gt; Download Offering Documents"&amp;CHAR(10)&amp;"https://www.baker1031.com/sponsors/peachtree-group"</f>
        <v>PG Manchester Industrial DST (0.00% LTV)
PG Manchester Industrial is a debt-free, single-tenant DST owning a 50,985 SF, 2024-built Tesla service center adjacent to Manchester-Boston Regional Airport in Londonderry, NH - one of only two Tesla service centers in the state. The property is 100% leased to Tesla (BBB/Baa3) under a 15-year triple-net lease running through March 2040 with 3% annual escalations and five renewal options, acquired in December 2025 for $23.5M free and clear. The thesis is an income-oriented net-lease hold of investment-grade-tenant credit with contractual escalation over a ~10-year hold.
&gt;&gt; Download Offering Documents
https://www.baker1031.com/sponsors/peachtree-group</v>
      </c>
    </row>
    <row r="43">
      <c r="A43" s="8" t="s">
        <v>874</v>
      </c>
      <c r="B43" s="8" t="s">
        <v>776</v>
      </c>
      <c r="C43" s="8" t="s">
        <v>81</v>
      </c>
      <c r="D43" s="8" t="s">
        <v>199</v>
      </c>
      <c r="E43" s="9">
        <v>4.153E7</v>
      </c>
      <c r="F43" s="9">
        <v>9230000.0</v>
      </c>
      <c r="G43" s="9">
        <v>3.23E7</v>
      </c>
      <c r="H43" s="8" t="s">
        <v>875</v>
      </c>
      <c r="I43" s="9">
        <v>4276784.0</v>
      </c>
      <c r="J43" s="10">
        <v>46181.0</v>
      </c>
      <c r="K43" s="11">
        <f t="shared" si="1"/>
        <v>0.4633568797</v>
      </c>
      <c r="L43" s="8" t="s">
        <v>472</v>
      </c>
      <c r="M43" s="8" t="s">
        <v>473</v>
      </c>
      <c r="N43" s="12" t="str">
        <f>IFERROR(__xludf.DUMMYFUNCTION("TEXTJOIN("", "", TRUE, SORT(TRANSPOSE(SPLIT(M43, "", ""))))"),"TX")</f>
        <v>TX</v>
      </c>
      <c r="O43" s="12" t="s">
        <v>876</v>
      </c>
      <c r="P43" s="8" t="s">
        <v>87</v>
      </c>
      <c r="Q43" s="8" t="s">
        <v>88</v>
      </c>
      <c r="R43" s="8" t="s">
        <v>877</v>
      </c>
      <c r="S43" s="8" t="s">
        <v>878</v>
      </c>
      <c r="T43" s="8" t="s">
        <v>879</v>
      </c>
      <c r="U43" s="8" t="s">
        <v>880</v>
      </c>
      <c r="V43" s="8" t="s">
        <v>881</v>
      </c>
      <c r="W43" s="8" t="s">
        <v>882</v>
      </c>
      <c r="X43" s="8" t="s">
        <v>883</v>
      </c>
      <c r="Y43" s="8" t="s">
        <v>884</v>
      </c>
      <c r="Z43" s="8" t="s">
        <v>885</v>
      </c>
      <c r="AA43" s="8" t="s">
        <v>886</v>
      </c>
      <c r="AB43" s="11">
        <v>0.0</v>
      </c>
      <c r="AC43" s="11">
        <v>0.0</v>
      </c>
      <c r="AD43" s="11">
        <v>0.0</v>
      </c>
      <c r="AE43" s="11">
        <v>0.0</v>
      </c>
      <c r="AF43" s="11">
        <v>0.0</v>
      </c>
      <c r="AG43" s="11">
        <v>0.0</v>
      </c>
      <c r="AH43" s="11">
        <v>0.0</v>
      </c>
      <c r="AI43" s="11">
        <v>0.0</v>
      </c>
      <c r="AJ43" s="11">
        <v>0.0</v>
      </c>
      <c r="AK43" s="11">
        <v>0.0</v>
      </c>
      <c r="AL43" s="11">
        <v>0.0</v>
      </c>
      <c r="AM43" s="11">
        <v>0.0</v>
      </c>
      <c r="AN43" s="13">
        <f t="shared" si="2"/>
        <v>0.08148339467</v>
      </c>
      <c r="AO43" s="8" t="s">
        <v>887</v>
      </c>
      <c r="AP43" s="8" t="s">
        <v>888</v>
      </c>
      <c r="AQ43" s="8" t="s">
        <v>889</v>
      </c>
      <c r="AR43" s="8" t="s">
        <v>258</v>
      </c>
      <c r="AS43" s="8" t="s">
        <v>889</v>
      </c>
      <c r="AT43" s="12" t="s">
        <v>604</v>
      </c>
      <c r="AU43" s="8" t="s">
        <v>890</v>
      </c>
      <c r="AV43" s="22" t="s">
        <v>891</v>
      </c>
      <c r="AW43" s="15"/>
      <c r="AX43" s="9">
        <v>50000.0</v>
      </c>
      <c r="AY43" s="16" t="str">
        <f>IFERROR(__xludf.DUMMYFUNCTION("IF(ISBLANK(AV43), """", IF(REGEXMATCH(AV43, ""/file/d/""), ""https://lh3.googleusercontent.com/d/"" &amp; REGEXEXTRACT(AV43, ""/d/([a-zA-Z0-9_-]+)""), AV43))"),"https://lh3.googleusercontent.com/d/1ksjBO_AbIAWFfNx3S_i59KGxwqfUMMAg=s0")</f>
        <v>https://lh3.googleusercontent.com/d/1ksjBO_AbIAWFfNx3S_i59KGxwqfUMMAg=s0</v>
      </c>
      <c r="AZ43" s="13">
        <f t="shared" si="3"/>
        <v>0</v>
      </c>
      <c r="BA43" s="17" t="str">
        <f t="shared" si="4"/>
        <v>Tax-Adjusted Yield</v>
      </c>
      <c r="BB43" s="17" t="str">
        <f t="shared" si="5"/>
        <v>Offering Documents Available By Request</v>
      </c>
      <c r="BC43" s="8" t="s">
        <v>892</v>
      </c>
      <c r="BD43" s="8" t="s">
        <v>790</v>
      </c>
      <c r="BE43" s="8" t="s">
        <v>488</v>
      </c>
      <c r="BF43" s="17" t="str">
        <f t="shared" si="6"/>
        <v>Learn More About Capital Square</v>
      </c>
      <c r="BG43" s="17" t="str">
        <f t="shared" si="7"/>
        <v>Learn More About Hospitality Properties</v>
      </c>
      <c r="BH43" s="17">
        <f t="array" ref="BH43">IFERROR(XLOOKUP($B43, 'Sponsor Connection'!$A:$A, 'Sponsor Connection'!$B:$B), )</f>
        <v>2012</v>
      </c>
      <c r="BI43" s="17" t="str">
        <f t="array" ref="BI43">IFERROR(XLOOKUP($B43, 'Sponsor Connection'!$A:$A, 'Sponsor Connection'!$D:$D), )</f>
        <v>Capital Square has evolved from a pure 1031/DST sponsor into one of the more vertically integrated platforms in the securitized exchange market, with over $6 billion in AUM and more than $7.5 billion in transaction volume since its 2012 founding by Louis Rogers. Beyond sponsoring DSTs across 175-plus assets for some 6,500 investors, the firm develops its own multifamily product, manages roughly 13,000 apartments through Capital Square Living, and diversifies into Qualified Opportunity Zone funds and a REIT. That control of the full lifecycle—and full-cycle results such as a cited 159% return of equity on a completed DST—make it a benchmark name for diligence-minded exchangers.</v>
      </c>
      <c r="BJ43" s="18">
        <f t="array" ref="BJ43">IF($B43="", "", LET(aum, IFERROR(XLOOKUP($B43, 'Sponsor Connection'!$A:$A, 'Sponsor Connection'!$C:$C), ""), IF(OR(aum="", aum=0), "Not Reported", aum)))</f>
        <v>6000000000</v>
      </c>
      <c r="BK43" s="19">
        <f t="array" ref="BK43">IF(ISBLANK($B43), "", LET(val, IFERROR(XLOOKUP($B43, 'Sponsor Connection'!$A:$A, 'Sponsor Connection'!$M:$M), ""), IF(OR(ISBLANK(val), val="", val=0), "Not Reported", val)))</f>
        <v>19</v>
      </c>
      <c r="BL43" s="13">
        <f t="array" ref="BL43">IF(ISBLANK($B43), "", LET(val, IFERROR(XLOOKUP($B43, 'Sponsor Connection'!$A:$A, 'Sponsor Connection'!$N:$N), ""), IF(val="", "Not Reported", val)))</f>
        <v>0.1519947368</v>
      </c>
      <c r="BM43" s="20">
        <f t="array" ref="BM43">IF(ISBLANK($B43), "", LET(val, IFERROR(XLOOKUP($B43, 'Sponsor Connection'!$A:$A, 'Sponsor Connection'!$O:$O), ""), IF(val="", "Not Reported", val)))</f>
        <v>1.833157895</v>
      </c>
      <c r="BN43" s="21">
        <f t="array" ref="BN43">IF(ISBLANK($B43), "", LET(val, IFERROR(XLOOKUP($B43, 'Sponsor Connection'!$A:$A, 'Sponsor Connection'!$P:$P), ""), IF(val="", "Not Reported", val)))</f>
        <v>4.810526316</v>
      </c>
      <c r="BO43" s="13">
        <f t="array" ref="BO43">IF(ISBLANK($B43), "", LET(val, IFERROR(XLOOKUP($B43, 'Sponsor Connection'!$A:$A, 'Sponsor Connection'!$Q:$Q), ""), IF(val="", "Not Reported", val)))</f>
        <v>1</v>
      </c>
      <c r="BP43" s="16" t="str">
        <f t="array" ref="BP43">IFERROR(XLOOKUP($B43, 'Sponsor Connection'!$A:$A, 'Sponsor Connection'!$L:$L), )</f>
        <v>https://img.logo.dev/capitalsq.com?token=pk_FIVsDKgZTvCedVXXtt2rEg&amp;size=200&amp;retina=true</v>
      </c>
      <c r="BQ43" s="13">
        <f t="shared" si="8"/>
        <v>0</v>
      </c>
      <c r="BR43" s="13">
        <f>IFERROR(VLOOKUP(L43, Benchmarks!$A$2:$D$15, 2, FALSE), "Not Analyzed")</f>
        <v>0.032</v>
      </c>
      <c r="BS43" s="17" t="str">
        <f t="shared" si="9"/>
        <v>Not Analyzed</v>
      </c>
      <c r="BT43" s="13">
        <f t="shared" si="10"/>
        <v>0</v>
      </c>
      <c r="BU43" s="13">
        <f>IFERROR(VLOOKUP(L43, Benchmarks!$A$2:$D$15, 4, FALSE), "Not Analyzed")</f>
        <v>0.06666666667</v>
      </c>
      <c r="BV43" s="17" t="str">
        <f t="shared" si="11"/>
        <v>Not Analyzed</v>
      </c>
      <c r="BW43" s="13">
        <f t="shared" si="12"/>
        <v>0</v>
      </c>
      <c r="BX43" s="13">
        <f>IFERROR(VLOOKUP(L43, Benchmarks!$A$2:$D$15, 3, FALSE), "Not Analyzed")</f>
        <v>0.034</v>
      </c>
      <c r="BY43" s="17" t="str">
        <f t="shared" si="13"/>
        <v>Not Analyzed</v>
      </c>
      <c r="BZ43" s="17" t="str">
        <f t="shared" si="14"/>
        <v>Investment: CS1031 Zero-Coupon DFW Hospitality DST | Sponsor: Capital Square | Structure: Delaware Statutory Trust (DST) | Status: Limited Availability | LTV: 77.78% LTV | Availability: 0.463356879739978 | Location: TX | Strategy: Core | 721 Exchange Exit: Optional | Estimated Hold: 15 years | Cap Rate Equivalent: 0.0814833946654124 | Minimum Investment: 50000</v>
      </c>
      <c r="CA43" s="17" t="str">
        <f>A43&amp;" ("&amp;H43&amp;")"&amp;CHAR(10)&amp;CHAR(10)&amp;"CS1031 Zero-Coupon DFW Hospitality is a zero-cash-flow, highly leveraged Capital Square DST owning the land, ground-landlord interest, and reversionary interest in the Le Meridien Fort Worth, a 188-room upper-upscale Marriott-franchised hotel, with the gr"&amp;"ound tenant and operator controlled by Ashford Hospitality Trust. By design, fixed ground rent (~$1.63M Year 1, growing 2% annually) approximately equals debt service, so the trust produces no distributions during the ~15-year hold; investor return accrue"&amp;"s through loan amortization and the reversionary interest. Because the trust owns land and a reversion rather than depreciable improvements, the structure provides no depreciation shelter, and its primary utility is replacing high relinquished-property de"&amp;"bt for 1031 exchangers."&amp;CHAR(10)&amp;CHAR(10)&amp;"&gt;&gt; Download Offering Documents"&amp;CHAR(10)&amp;"https://www.baker1031.com/sponsors/capital-square"</f>
        <v>CS1031 Zero-Coupon DFW Hospitality DST (77.78% LTV)
CS1031 Zero-Coupon DFW Hospitality is a zero-cash-flow, highly leveraged Capital Square DST owning the land, ground-landlord interest, and reversionary interest in the Le Meridien Fort Worth, a 188-room upper-upscale Marriott-franchised hotel, with the ground tenant and operator controlled by Ashford Hospitality Trust. By design, fixed ground rent (~$1.63M Year 1, growing 2% annually) approximately equals debt service, so the trust produces no distributions during the ~15-year hold; investor return accrues through loan amortization and the reversionary interest. Because the trust owns land and a reversion rather than depreciable improvements, the structure provides no depreciation shelter, and its primary utility is replacing high relinquished-property debt for 1031 exchangers.
&gt;&gt; Download Offering Documents
https://www.baker1031.com/sponsors/capital-square</v>
      </c>
    </row>
    <row r="44">
      <c r="A44" s="8" t="s">
        <v>893</v>
      </c>
      <c r="B44" s="8" t="s">
        <v>894</v>
      </c>
      <c r="C44" s="8" t="s">
        <v>81</v>
      </c>
      <c r="D44" s="8" t="s">
        <v>174</v>
      </c>
      <c r="E44" s="9">
        <v>4.9488E7</v>
      </c>
      <c r="F44" s="9">
        <v>2.223E7</v>
      </c>
      <c r="G44" s="9">
        <v>2.7258E7</v>
      </c>
      <c r="H44" s="8" t="s">
        <v>895</v>
      </c>
      <c r="I44" s="9">
        <v>0.0</v>
      </c>
      <c r="J44" s="10">
        <v>46181.0</v>
      </c>
      <c r="K44" s="11">
        <f t="shared" si="1"/>
        <v>0</v>
      </c>
      <c r="L44" s="8" t="s">
        <v>153</v>
      </c>
      <c r="M44" s="8" t="s">
        <v>896</v>
      </c>
      <c r="N44" s="12" t="str">
        <f>IFERROR(__xludf.DUMMYFUNCTION("TEXTJOIN("", "", TRUE, SORT(TRANSPOSE(SPLIT(M44, "", ""))))"),"WI")</f>
        <v>WI</v>
      </c>
      <c r="O44" s="12" t="s">
        <v>897</v>
      </c>
      <c r="P44" s="8" t="s">
        <v>87</v>
      </c>
      <c r="Q44" s="8" t="s">
        <v>258</v>
      </c>
      <c r="R44" s="8" t="s">
        <v>89</v>
      </c>
      <c r="S44" s="8" t="s">
        <v>898</v>
      </c>
      <c r="T44" s="8" t="s">
        <v>899</v>
      </c>
      <c r="U44" s="8" t="s">
        <v>900</v>
      </c>
      <c r="V44" s="8" t="s">
        <v>901</v>
      </c>
      <c r="W44" s="8" t="s">
        <v>902</v>
      </c>
      <c r="X44" s="8" t="s">
        <v>903</v>
      </c>
      <c r="Y44" s="8" t="s">
        <v>904</v>
      </c>
      <c r="Z44" s="8" t="s">
        <v>905</v>
      </c>
      <c r="AA44" s="8" t="s">
        <v>906</v>
      </c>
      <c r="AB44" s="11">
        <v>0.0603</v>
      </c>
      <c r="AC44" s="11">
        <v>0.0586</v>
      </c>
      <c r="AD44" s="11">
        <v>0.0613</v>
      </c>
      <c r="AE44" s="11">
        <v>0.0499</v>
      </c>
      <c r="AF44" s="11">
        <v>0.0527</v>
      </c>
      <c r="AG44" s="11">
        <v>0.0555</v>
      </c>
      <c r="AH44" s="11">
        <v>0.0585</v>
      </c>
      <c r="AI44" s="11">
        <v>0.0614</v>
      </c>
      <c r="AJ44" s="11">
        <v>0.0644</v>
      </c>
      <c r="AK44" s="11">
        <v>0.0675</v>
      </c>
      <c r="AL44" s="11">
        <v>0.059</v>
      </c>
      <c r="AM44" s="11">
        <v>0.077</v>
      </c>
      <c r="AN44" s="13">
        <f t="shared" si="2"/>
        <v>0.09329154347</v>
      </c>
      <c r="AO44" s="8" t="s">
        <v>357</v>
      </c>
      <c r="AP44" s="8" t="s">
        <v>907</v>
      </c>
      <c r="AQ44" s="8" t="s">
        <v>89</v>
      </c>
      <c r="AR44" s="8" t="s">
        <v>528</v>
      </c>
      <c r="AS44" s="8" t="s">
        <v>360</v>
      </c>
      <c r="AT44" s="12" t="s">
        <v>908</v>
      </c>
      <c r="AU44" s="8" t="s">
        <v>909</v>
      </c>
      <c r="AV44" s="22" t="s">
        <v>910</v>
      </c>
      <c r="AW44" s="15"/>
      <c r="AX44" s="9">
        <v>100000.0</v>
      </c>
      <c r="AY44" s="16" t="str">
        <f>IFERROR(__xludf.DUMMYFUNCTION("IF(ISBLANK(AV44), """", IF(REGEXMATCH(AV44, ""/file/d/""), ""https://lh3.googleusercontent.com/d/"" &amp; REGEXEXTRACT(AV44, ""/d/([a-zA-Z0-9_-]+)""), AV44))"),"https://lh3.googleusercontent.com/d/1FHvMy9UvkQNnVJJAB3S9D06syO_Tnhhk=s0")</f>
        <v>https://lh3.googleusercontent.com/d/1FHvMy9UvkQNnVJJAB3S9D06syO_Tnhhk=s0</v>
      </c>
      <c r="AZ44" s="13">
        <f t="shared" si="3"/>
        <v>0.077</v>
      </c>
      <c r="BA44" s="17" t="str">
        <f t="shared" si="4"/>
        <v>Tax-Adjusted Yield</v>
      </c>
      <c r="BB44" s="17" t="str">
        <f t="shared" si="5"/>
        <v>Offering Documents Available By Request</v>
      </c>
      <c r="BC44" s="8" t="s">
        <v>911</v>
      </c>
      <c r="BD44" s="8" t="s">
        <v>912</v>
      </c>
      <c r="BE44" s="8" t="s">
        <v>171</v>
      </c>
      <c r="BF44" s="17" t="str">
        <f t="shared" si="6"/>
        <v>Learn More About Syndicated Equities</v>
      </c>
      <c r="BG44" s="17" t="str">
        <f t="shared" si="7"/>
        <v>Learn More About Industrial Properties</v>
      </c>
      <c r="BH44" s="17">
        <f t="array" ref="BH44">IFERROR(XLOOKUP($B44, 'Sponsor Connection'!$A:$A, 'Sponsor Connection'!$B:$B), )</f>
        <v>1986</v>
      </c>
      <c r="BI44" s="17" t="str">
        <f t="array" ref="BI44">IFERROR(XLOOKUP($B44, 'Sponsor Connection'!$A:$A, 'Sponsor Connection'!$D:$D), )</f>
        <v>Syndicated Equities is a Chicago private real estate firm with a 40-year history, distinguished by strength in government/GSA-leased and credit-tenant net-lease assets and by its global 'Access Funds' fund-of-funds vehicles. Citing roughly $2 billion in asset value, $600 million in equity and more than $4 billion acquired over its lifetime, the firm has returned $750 million-plus to investors and built multi-decade repeat relationships. The government-credit net-lease specialization is among the most defensive available, and the fund-of-funds capability adds an institutional dimension uncommon at its size.</v>
      </c>
      <c r="BJ44" s="18">
        <f t="array" ref="BJ44">IF($B44="", "", LET(aum, IFERROR(XLOOKUP($B44, 'Sponsor Connection'!$A:$A, 'Sponsor Connection'!$C:$C), ""), IF(OR(aum="", aum=0), "Not Reported", aum)))</f>
        <v>2000000000</v>
      </c>
      <c r="BK44" s="19">
        <f t="array" ref="BK44">IF(ISBLANK($B44), "", LET(val, IFERROR(XLOOKUP($B44, 'Sponsor Connection'!$A:$A, 'Sponsor Connection'!$M:$M), ""), IF(OR(ISBLANK(val), val="", val=0), "Not Reported", val)))</f>
        <v>60</v>
      </c>
      <c r="BL44" s="13">
        <f t="array" ref="BL44">IF(ISBLANK($B44), "", LET(val, IFERROR(XLOOKUP($B44, 'Sponsor Connection'!$A:$A, 'Sponsor Connection'!$N:$N), ""), IF(val="", "Not Reported", val)))</f>
        <v>0.004116666667</v>
      </c>
      <c r="BM44" s="20">
        <f t="array" ref="BM44">IF(ISBLANK($B44), "", LET(val, IFERROR(XLOOKUP($B44, 'Sponsor Connection'!$A:$A, 'Sponsor Connection'!$O:$O), ""), IF(val="", "Not Reported", val)))</f>
        <v>1.230333333</v>
      </c>
      <c r="BN44" s="21">
        <f t="array" ref="BN44">IF(ISBLANK($B44), "", LET(val, IFERROR(XLOOKUP($B44, 'Sponsor Connection'!$A:$A, 'Sponsor Connection'!$P:$P), ""), IF(val="", "Not Reported", val)))</f>
        <v>7.431666667</v>
      </c>
      <c r="BO44" s="13">
        <f t="array" ref="BO44">IF(ISBLANK($B44), "", LET(val, IFERROR(XLOOKUP($B44, 'Sponsor Connection'!$A:$A, 'Sponsor Connection'!$Q:$Q), ""), IF(val="", "Not Reported", val)))</f>
        <v>0.65</v>
      </c>
      <c r="BP44" s="16" t="str">
        <f t="array" ref="BP44">IFERROR(XLOOKUP($B44, 'Sponsor Connection'!$A:$A, 'Sponsor Connection'!$L:$L), )</f>
        <v>https://img.logo.dev/syndicatedequities.com?token=pk_FIVsDKgZTvCedVXXtt2rEg&amp;size=200&amp;retina=true</v>
      </c>
      <c r="BQ44" s="13">
        <f t="shared" si="8"/>
        <v>0.059</v>
      </c>
      <c r="BR44" s="13">
        <f>IFERROR(VLOOKUP(L44, Benchmarks!$A$2:$D$15, 2, FALSE), "Not Analyzed")</f>
        <v>0</v>
      </c>
      <c r="BS44" s="17" t="str">
        <f t="shared" si="9"/>
        <v>Above Average</v>
      </c>
      <c r="BT44" s="13">
        <f t="shared" si="10"/>
        <v>0.1194029851</v>
      </c>
      <c r="BU44" s="13">
        <f>IFERROR(VLOOKUP(L44, Benchmarks!$A$2:$D$15, 4, FALSE), "Not Analyzed")</f>
        <v>0.1441469396</v>
      </c>
      <c r="BV44" s="17" t="str">
        <f t="shared" si="11"/>
        <v>Below Average</v>
      </c>
      <c r="BW44" s="13">
        <f t="shared" si="12"/>
        <v>0.0675</v>
      </c>
      <c r="BX44" s="13">
        <f>IFERROR(VLOOKUP(L44, Benchmarks!$A$2:$D$15, 3, FALSE), "Not Analyzed")</f>
        <v>0.05854</v>
      </c>
      <c r="BY44" s="17" t="str">
        <f t="shared" si="13"/>
        <v>Above Average</v>
      </c>
      <c r="BZ44" s="17" t="str">
        <f t="shared" si="14"/>
        <v>Investment: Johnson Controls R&amp;D DST | Sponsor: Syndicated Equities | Structure: Delaware Statutory Trust (DST) | Status: Closed | LTV: 55.08% LTV | Availability: 0 | Location: WI | Strategy: Core | 721 Exchange Exit: None | Estimated Hold: 10 years | Cap Rate Equivalent: 0.0932915434683841 | Minimum Investment: 100000</v>
      </c>
      <c r="CA44" s="17" t="str">
        <f>A44&amp;" ("&amp;H44&amp;")"&amp;CHAR(10)&amp;CHAR(10)&amp;"Johnson Controls R&amp;D DST is a single-tenant net-lease DST owning a newly constructed 2024 build-to-suit R&amp;D and engineering laboratory (~109,500 SF) directly across from Johnson Controls' North American headquarters in Glendale, WI. The property is 100% n"&amp;"et-leased to Johnson Controls, Inc. on a 15-year triple-net lease through September 2039 at an initial $26.14/SF escalating to $34.49/SF, capitalized at $49.49M ($22.23M equity + $27.26M non-recourse Old National Bank loan, ~6.10% fixed, interest-only for"&amp;" 36 months then amortizing, 55.08% LTC). The thesis is a leveraged, income-oriented net-lease hold of an investment-grade-affiliated tenant in a headquarters-adjacent location over a ~10-year hold."&amp;CHAR(10)&amp;CHAR(10)&amp;"&gt;&gt; Download Offering Documents"&amp;CHAR(10)&amp;"https://www.baker1031.com/sponsors/syndicated-equities"</f>
        <v>Johnson Controls R&amp;D DST (55.08% LTV)
Johnson Controls R&amp;D DST is a single-tenant net-lease DST owning a newly constructed 2024 build-to-suit R&amp;D and engineering laboratory (~109,500 SF) directly across from Johnson Controls' North American headquarters in Glendale, WI. The property is 100% net-leased to Johnson Controls, Inc. on a 15-year triple-net lease through September 2039 at an initial $26.14/SF escalating to $34.49/SF, capitalized at $49.49M ($22.23M equity + $27.26M non-recourse Old National Bank loan, ~6.10% fixed, interest-only for 36 months then amortizing, 55.08% LTC). The thesis is a leveraged, income-oriented net-lease hold of an investment-grade-affiliated tenant in a headquarters-adjacent location over a ~10-year hold.
&gt;&gt; Download Offering Documents
https://www.baker1031.com/sponsors/syndicated-equities</v>
      </c>
    </row>
    <row r="45">
      <c r="A45" s="8" t="s">
        <v>913</v>
      </c>
      <c r="B45" s="8" t="s">
        <v>914</v>
      </c>
      <c r="C45" s="8" t="s">
        <v>81</v>
      </c>
      <c r="D45" s="8" t="s">
        <v>199</v>
      </c>
      <c r="E45" s="9">
        <v>3.4551889E7</v>
      </c>
      <c r="F45" s="9">
        <v>1.5958139E7</v>
      </c>
      <c r="G45" s="9">
        <v>1.859375E7</v>
      </c>
      <c r="H45" s="8" t="s">
        <v>915</v>
      </c>
      <c r="I45" s="9">
        <v>1.5958139E7</v>
      </c>
      <c r="J45" s="10">
        <v>46172.0</v>
      </c>
      <c r="K45" s="11">
        <f t="shared" si="1"/>
        <v>1</v>
      </c>
      <c r="L45" s="8" t="s">
        <v>84</v>
      </c>
      <c r="M45" s="8" t="s">
        <v>473</v>
      </c>
      <c r="N45" s="12" t="str">
        <f>IFERROR(__xludf.DUMMYFUNCTION("TEXTJOIN("", "", TRUE, SORT(TRANSPOSE(SPLIT(M45, "", ""))))"),"TX")</f>
        <v>TX</v>
      </c>
      <c r="O45" s="12" t="s">
        <v>916</v>
      </c>
      <c r="P45" s="8" t="s">
        <v>113</v>
      </c>
      <c r="Q45" s="8" t="s">
        <v>88</v>
      </c>
      <c r="R45" s="8" t="s">
        <v>132</v>
      </c>
      <c r="S45" s="8" t="s">
        <v>917</v>
      </c>
      <c r="T45" s="8" t="s">
        <v>918</v>
      </c>
      <c r="U45" s="8" t="s">
        <v>919</v>
      </c>
      <c r="V45" s="8" t="s">
        <v>920</v>
      </c>
      <c r="W45" s="8" t="s">
        <v>921</v>
      </c>
      <c r="X45" s="8" t="s">
        <v>922</v>
      </c>
      <c r="Y45" s="8" t="s">
        <v>923</v>
      </c>
      <c r="Z45" s="8" t="s">
        <v>924</v>
      </c>
      <c r="AA45" s="8" t="s">
        <v>925</v>
      </c>
      <c r="AB45" s="11">
        <v>0.0732</v>
      </c>
      <c r="AC45" s="11">
        <v>0.075</v>
      </c>
      <c r="AD45" s="11">
        <v>0.0769</v>
      </c>
      <c r="AE45" s="11">
        <v>0.0791</v>
      </c>
      <c r="AF45" s="11">
        <v>0.0663</v>
      </c>
      <c r="AG45" s="11">
        <v>0.0684</v>
      </c>
      <c r="AH45" s="11">
        <v>0.0705</v>
      </c>
      <c r="AI45" s="8" t="s">
        <v>142</v>
      </c>
      <c r="AJ45" s="8" t="s">
        <v>142</v>
      </c>
      <c r="AK45" s="8" t="s">
        <v>142</v>
      </c>
      <c r="AL45" s="11">
        <v>0.0728</v>
      </c>
      <c r="AM45" s="11">
        <v>0.07</v>
      </c>
      <c r="AN45" s="13">
        <f t="shared" si="2"/>
        <v>0.09935159667</v>
      </c>
      <c r="AO45" s="8" t="s">
        <v>926</v>
      </c>
      <c r="AP45" s="8" t="s">
        <v>927</v>
      </c>
      <c r="AQ45" s="8" t="s">
        <v>132</v>
      </c>
      <c r="AR45" s="8" t="s">
        <v>359</v>
      </c>
      <c r="AS45" s="8" t="s">
        <v>529</v>
      </c>
      <c r="AT45" s="12" t="s">
        <v>928</v>
      </c>
      <c r="AU45" s="8" t="s">
        <v>929</v>
      </c>
      <c r="AV45" s="22" t="s">
        <v>930</v>
      </c>
      <c r="AW45" s="15"/>
      <c r="AX45" s="9">
        <v>50000.0</v>
      </c>
      <c r="AY45" s="16" t="str">
        <f>IFERROR(__xludf.DUMMYFUNCTION("IF(ISBLANK(AV45), """", IF(REGEXMATCH(AV45, ""/file/d/""), ""https://lh3.googleusercontent.com/d/"" &amp; REGEXEXTRACT(AV45, ""/d/([a-zA-Z0-9_-]+)""), AV45))"),"https://lh3.googleusercontent.com/d/1H6yv3uRWH0tvnjoC9GQCiB2a5eZ4XbcP=s0")</f>
        <v>https://lh3.googleusercontent.com/d/1H6yv3uRWH0tvnjoC9GQCiB2a5eZ4XbcP=s0</v>
      </c>
      <c r="AZ45" s="13">
        <f t="shared" si="3"/>
        <v>0.07</v>
      </c>
      <c r="BA45" s="17" t="str">
        <f t="shared" si="4"/>
        <v>Tax-Adjusted Yield</v>
      </c>
      <c r="BB45" s="17" t="str">
        <f t="shared" si="5"/>
        <v>Offering Documents Available By Request</v>
      </c>
      <c r="BC45" s="8" t="s">
        <v>931</v>
      </c>
      <c r="BD45" s="8" t="s">
        <v>932</v>
      </c>
      <c r="BE45" s="8" t="s">
        <v>106</v>
      </c>
      <c r="BF45" s="17" t="str">
        <f t="shared" si="6"/>
        <v>Learn More About HPA Exchange</v>
      </c>
      <c r="BG45" s="17" t="str">
        <f t="shared" si="7"/>
        <v>Learn More About Healthcare Properties</v>
      </c>
      <c r="BH45" s="17">
        <f t="array" ref="BH45">IFERROR(XLOOKUP($B45, 'Sponsor Connection'!$A:$A, 'Sponsor Connection'!$B:$B), )</f>
        <v>2008</v>
      </c>
      <c r="BI45" s="17" t="str">
        <f t="array" ref="BI45">IFERROR(XLOOKUP($B45, 'Sponsor Connection'!$A:$A, 'Sponsor Connection'!$D:$D), )</f>
        <v>HPA Exchange is the DST platform affiliated with Housing Partnership Acquisitions, specializing in single-family rental (SFR) portfolios—an institutionalizing asset class that brings scaled residential operations to exchange investors. Its differentiation is the SFR focus and the operating platform behind it; current AUM is not publicly disclosed, and the firm's limited public footprint warrants direct diligence.</v>
      </c>
      <c r="BJ45" s="18">
        <f t="array" ref="BJ45">IF($B45="", "", LET(aum, IFERROR(XLOOKUP($B45, 'Sponsor Connection'!$A:$A, 'Sponsor Connection'!$C:$C), ""), IF(OR(aum="", aum=0), "Not Reported", aum)))</f>
        <v>580000000</v>
      </c>
      <c r="BK45" s="19" t="str">
        <f t="array" ref="BK45">IF(ISBLANK($B45), "", LET(val, IFERROR(XLOOKUP($B45, 'Sponsor Connection'!$A:$A, 'Sponsor Connection'!$M:$M), ""), IF(OR(ISBLANK(val), val="", val=0), "Not Reported", val)))</f>
        <v>Not Reported</v>
      </c>
      <c r="BL45" s="13" t="str">
        <f t="array" ref="BL45">IF(ISBLANK($B45), "", LET(val, IFERROR(XLOOKUP($B45, 'Sponsor Connection'!$A:$A, 'Sponsor Connection'!$N:$N), ""), IF(val="", "Not Reported", val)))</f>
        <v>No Data</v>
      </c>
      <c r="BM45" s="20" t="str">
        <f t="array" ref="BM45">IF(ISBLANK($B45), "", LET(val, IFERROR(XLOOKUP($B45, 'Sponsor Connection'!$A:$A, 'Sponsor Connection'!$O:$O), ""), IF(val="", "Not Reported", val)))</f>
        <v>No Data</v>
      </c>
      <c r="BN45" s="21" t="str">
        <f t="array" ref="BN45">IF(ISBLANK($B45), "", LET(val, IFERROR(XLOOKUP($B45, 'Sponsor Connection'!$A:$A, 'Sponsor Connection'!$P:$P), ""), IF(val="", "Not Reported", val)))</f>
        <v>No Data</v>
      </c>
      <c r="BO45" s="13" t="str">
        <f t="array" ref="BO45">IF(ISBLANK($B45), "", LET(val, IFERROR(XLOOKUP($B45, 'Sponsor Connection'!$A:$A, 'Sponsor Connection'!$Q:$Q), ""), IF(val="", "Not Reported", val)))</f>
        <v>No Data</v>
      </c>
      <c r="BP45" s="16" t="str">
        <f t="array" ref="BP45">IFERROR(XLOOKUP($B45, 'Sponsor Connection'!$A:$A, 'Sponsor Connection'!$L:$L), )</f>
        <v>https://img.logo.dev/hpaxchange.com?token=pk_FIVsDKgZTvCedVXXtt2rEg&amp;size=200&amp;retina=true</v>
      </c>
      <c r="BQ45" s="13">
        <f t="shared" si="8"/>
        <v>0.0728</v>
      </c>
      <c r="BR45" s="13">
        <f>IFERROR(VLOOKUP(L45, Benchmarks!$A$2:$D$15, 2, FALSE), "Not Analyzed")</f>
        <v>0.0641</v>
      </c>
      <c r="BS45" s="17" t="str">
        <f t="shared" si="9"/>
        <v>Above Average</v>
      </c>
      <c r="BT45" s="13">
        <f t="shared" si="10"/>
        <v>0.0806010929</v>
      </c>
      <c r="BU45" s="13">
        <f>IFERROR(VLOOKUP(L45, Benchmarks!$A$2:$D$15, 4, FALSE), "Not Analyzed")</f>
        <v>0.1543005464</v>
      </c>
      <c r="BV45" s="17" t="str">
        <f t="shared" si="11"/>
        <v>Below Average</v>
      </c>
      <c r="BW45" s="13">
        <f t="shared" si="12"/>
        <v>0.0791</v>
      </c>
      <c r="BX45" s="13">
        <f>IFERROR(VLOOKUP(L45, Benchmarks!$A$2:$D$15, 3, FALSE), "Not Analyzed")</f>
        <v>0.07025</v>
      </c>
      <c r="BY45" s="17" t="str">
        <f t="shared" si="13"/>
        <v>Above Average</v>
      </c>
      <c r="BZ45" s="17" t="str">
        <f t="shared" si="14"/>
        <v>Investment: Vital Capital Medical - Temple TX DST | Sponsor: HPA Exchange | Structure: Delaware Statutory Trust (DST) | Status: Limited Availability | LTV: 53.81% LTV | Availability: 1 | Location: TX | Strategy: Core-Plus | 721 Exchange Exit: Optional | Estimated Hold: 7 years | Cap Rate Equivalent: 0.0993515966745416 | Minimum Investment: 50000</v>
      </c>
      <c r="CA45" s="17" t="str">
        <f>A45&amp;" ("&amp;H45&amp;")"&amp;CHAR(10)&amp;CHAR(10)&amp;"Vital Capital Medical - Temple is a single-tenant net-leased healthcare DST holding the Temple Rehabilitation Hospital, a 36-bed, ~38,817 SF inpatient rehabilitation facility built in 2018 in the Killeen-Temple MSA. It is master-leased to a sponsor affili"&amp;"ate that has assumed an absolute-net sublease to operator CRH of Temple (parent Lifepoint Health, B/B2), with ~7.5 years of term remaining plus three extension options, acquired in November 2025 for $29.695M and financed with an $18.59M First Horizon loan"&amp;" (5.65% effective fixed via swap, interest-only for four years then 25-year amortization, 53.81% LTC). The forecast targets a 7.32% Year-1 cash-on-cash building to 7.91% by Year 4 (averaging 7.28% over a seven-year hold), with a discretionary 721 UPREIT e"&amp;"xit."&amp;CHAR(10)&amp;CHAR(10)&amp;"&gt;&gt; Download Offering Documents"&amp;CHAR(10)&amp;"https://www.baker1031.com/sponsors/hpa-exchange"</f>
        <v>Vital Capital Medical - Temple TX DST (53.81% LTV)
Vital Capital Medical - Temple is a single-tenant net-leased healthcare DST holding the Temple Rehabilitation Hospital, a 36-bed, ~38,817 SF inpatient rehabilitation facility built in 2018 in the Killeen-Temple MSA. It is master-leased to a sponsor affiliate that has assumed an absolute-net sublease to operator CRH of Temple (parent Lifepoint Health, B/B2), with ~7.5 years of term remaining plus three extension options, acquired in November 2025 for $29.695M and financed with an $18.59M First Horizon loan (5.65% effective fixed via swap, interest-only for four years then 25-year amortization, 53.81% LTC). The forecast targets a 7.32% Year-1 cash-on-cash building to 7.91% by Year 4 (averaging 7.28% over a seven-year hold), with a discretionary 721 UPREIT exit.
&gt;&gt; Download Offering Documents
https://www.baker1031.com/sponsors/hpa-exchange</v>
      </c>
    </row>
    <row r="46">
      <c r="A46" s="8" t="s">
        <v>933</v>
      </c>
      <c r="B46" s="8" t="s">
        <v>776</v>
      </c>
      <c r="C46" s="8" t="s">
        <v>81</v>
      </c>
      <c r="D46" s="8" t="s">
        <v>174</v>
      </c>
      <c r="E46" s="9">
        <v>7.2379E7</v>
      </c>
      <c r="F46" s="9">
        <v>3.33E7</v>
      </c>
      <c r="G46" s="9">
        <v>3.9079E7</v>
      </c>
      <c r="H46" s="8" t="s">
        <v>934</v>
      </c>
      <c r="I46" s="9">
        <v>0.0</v>
      </c>
      <c r="J46" s="10">
        <v>46173.0</v>
      </c>
      <c r="K46" s="11">
        <f t="shared" si="1"/>
        <v>0</v>
      </c>
      <c r="L46" s="8" t="s">
        <v>433</v>
      </c>
      <c r="M46" s="8" t="s">
        <v>935</v>
      </c>
      <c r="N46" s="12" t="str">
        <f>IFERROR(__xludf.DUMMYFUNCTION("TEXTJOIN("", "", TRUE, SORT(TRANSPOSE(SPLIT(M46, "", ""))))"),"VA")</f>
        <v>VA</v>
      </c>
      <c r="O46" s="12" t="s">
        <v>936</v>
      </c>
      <c r="P46" s="8" t="s">
        <v>87</v>
      </c>
      <c r="Q46" s="8" t="s">
        <v>88</v>
      </c>
      <c r="R46" s="8" t="s">
        <v>89</v>
      </c>
      <c r="S46" s="8" t="s">
        <v>937</v>
      </c>
      <c r="T46" s="8" t="s">
        <v>938</v>
      </c>
      <c r="U46" s="8" t="s">
        <v>939</v>
      </c>
      <c r="V46" s="8" t="s">
        <v>940</v>
      </c>
      <c r="W46" s="8" t="s">
        <v>941</v>
      </c>
      <c r="X46" s="8" t="s">
        <v>942</v>
      </c>
      <c r="Y46" s="8" t="s">
        <v>943</v>
      </c>
      <c r="Z46" s="8" t="s">
        <v>944</v>
      </c>
      <c r="AA46" s="8" t="s">
        <v>945</v>
      </c>
      <c r="AB46" s="11">
        <v>0.045</v>
      </c>
      <c r="AC46" s="11">
        <v>0.0455</v>
      </c>
      <c r="AD46" s="11">
        <v>0.0463</v>
      </c>
      <c r="AE46" s="11">
        <v>0.0468</v>
      </c>
      <c r="AF46" s="11">
        <v>0.0496</v>
      </c>
      <c r="AG46" s="11">
        <v>0.0532</v>
      </c>
      <c r="AH46" s="11">
        <v>0.0408</v>
      </c>
      <c r="AI46" s="11">
        <v>0.0446</v>
      </c>
      <c r="AJ46" s="11">
        <v>0.0484</v>
      </c>
      <c r="AK46" s="11">
        <v>0.0524</v>
      </c>
      <c r="AL46" s="11">
        <v>0.0473</v>
      </c>
      <c r="AM46" s="11">
        <v>0.061</v>
      </c>
      <c r="AN46" s="13">
        <f t="shared" si="2"/>
        <v>0.08581173165</v>
      </c>
      <c r="AO46" s="8" t="s">
        <v>946</v>
      </c>
      <c r="AP46" s="8" t="s">
        <v>947</v>
      </c>
      <c r="AQ46" s="8" t="s">
        <v>89</v>
      </c>
      <c r="AR46" s="8" t="s">
        <v>948</v>
      </c>
      <c r="AS46" s="8" t="s">
        <v>360</v>
      </c>
      <c r="AT46" s="12" t="s">
        <v>949</v>
      </c>
      <c r="AU46" s="8" t="s">
        <v>950</v>
      </c>
      <c r="AV46" s="22" t="s">
        <v>951</v>
      </c>
      <c r="AW46" s="15"/>
      <c r="AX46" s="9">
        <v>50000.0</v>
      </c>
      <c r="AY46" s="16" t="str">
        <f>IFERROR(__xludf.DUMMYFUNCTION("IF(ISBLANK(AV46), """", IF(REGEXMATCH(AV46, ""/file/d/""), ""https://lh3.googleusercontent.com/d/"" &amp; REGEXEXTRACT(AV46, ""/d/([a-zA-Z0-9_-]+)""), AV46))"),"https://lh3.googleusercontent.com/d/1QUMo-ojJ7J7Y4l1w4JY-Pw6nf0Jy6byj=s0")</f>
        <v>https://lh3.googleusercontent.com/d/1QUMo-ojJ7J7Y4l1w4JY-Pw6nf0Jy6byj=s0</v>
      </c>
      <c r="AZ46" s="13">
        <f t="shared" si="3"/>
        <v>0.061</v>
      </c>
      <c r="BA46" s="17" t="str">
        <f t="shared" si="4"/>
        <v>Tax-Adjusted Yield</v>
      </c>
      <c r="BB46" s="17" t="str">
        <f t="shared" si="5"/>
        <v>Offering Documents Available By Request</v>
      </c>
      <c r="BC46" s="8" t="s">
        <v>952</v>
      </c>
      <c r="BD46" s="8" t="s">
        <v>790</v>
      </c>
      <c r="BE46" s="8" t="s">
        <v>451</v>
      </c>
      <c r="BF46" s="17" t="str">
        <f t="shared" si="6"/>
        <v>Learn More About Capital Square</v>
      </c>
      <c r="BG46" s="17" t="str">
        <f t="shared" si="7"/>
        <v>Learn More About Senior Living Properties</v>
      </c>
      <c r="BH46" s="17">
        <f t="array" ref="BH46">IFERROR(XLOOKUP($B46, 'Sponsor Connection'!$A:$A, 'Sponsor Connection'!$B:$B), )</f>
        <v>2012</v>
      </c>
      <c r="BI46" s="17" t="str">
        <f t="array" ref="BI46">IFERROR(XLOOKUP($B46, 'Sponsor Connection'!$A:$A, 'Sponsor Connection'!$D:$D), )</f>
        <v>Capital Square has evolved from a pure 1031/DST sponsor into one of the more vertically integrated platforms in the securitized exchange market, with over $6 billion in AUM and more than $7.5 billion in transaction volume since its 2012 founding by Louis Rogers. Beyond sponsoring DSTs across 175-plus assets for some 6,500 investors, the firm develops its own multifamily product, manages roughly 13,000 apartments through Capital Square Living, and diversifies into Qualified Opportunity Zone funds and a REIT. That control of the full lifecycle—and full-cycle results such as a cited 159% return of equity on a completed DST—make it a benchmark name for diligence-minded exchangers.</v>
      </c>
      <c r="BJ46" s="18">
        <f t="array" ref="BJ46">IF($B46="", "", LET(aum, IFERROR(XLOOKUP($B46, 'Sponsor Connection'!$A:$A, 'Sponsor Connection'!$C:$C), ""), IF(OR(aum="", aum=0), "Not Reported", aum)))</f>
        <v>6000000000</v>
      </c>
      <c r="BK46" s="19">
        <f t="array" ref="BK46">IF(ISBLANK($B46), "", LET(val, IFERROR(XLOOKUP($B46, 'Sponsor Connection'!$A:$A, 'Sponsor Connection'!$M:$M), ""), IF(OR(ISBLANK(val), val="", val=0), "Not Reported", val)))</f>
        <v>19</v>
      </c>
      <c r="BL46" s="13">
        <f t="array" ref="BL46">IF(ISBLANK($B46), "", LET(val, IFERROR(XLOOKUP($B46, 'Sponsor Connection'!$A:$A, 'Sponsor Connection'!$N:$N), ""), IF(val="", "Not Reported", val)))</f>
        <v>0.1519947368</v>
      </c>
      <c r="BM46" s="20">
        <f t="array" ref="BM46">IF(ISBLANK($B46), "", LET(val, IFERROR(XLOOKUP($B46, 'Sponsor Connection'!$A:$A, 'Sponsor Connection'!$O:$O), ""), IF(val="", "Not Reported", val)))</f>
        <v>1.833157895</v>
      </c>
      <c r="BN46" s="21">
        <f t="array" ref="BN46">IF(ISBLANK($B46), "", LET(val, IFERROR(XLOOKUP($B46, 'Sponsor Connection'!$A:$A, 'Sponsor Connection'!$P:$P), ""), IF(val="", "Not Reported", val)))</f>
        <v>4.810526316</v>
      </c>
      <c r="BO46" s="13">
        <f t="array" ref="BO46">IF(ISBLANK($B46), "", LET(val, IFERROR(XLOOKUP($B46, 'Sponsor Connection'!$A:$A, 'Sponsor Connection'!$Q:$Q), ""), IF(val="", "Not Reported", val)))</f>
        <v>1</v>
      </c>
      <c r="BP46" s="16" t="str">
        <f t="array" ref="BP46">IFERROR(XLOOKUP($B46, 'Sponsor Connection'!$A:$A, 'Sponsor Connection'!$L:$L), )</f>
        <v>https://img.logo.dev/capitalsq.com?token=pk_FIVsDKgZTvCedVXXtt2rEg&amp;size=200&amp;retina=true</v>
      </c>
      <c r="BQ46" s="13">
        <f t="shared" si="8"/>
        <v>0.0473</v>
      </c>
      <c r="BR46" s="13" t="str">
        <f>IFERROR(VLOOKUP(L46, Benchmarks!$A$2:$D$15, 2, FALSE), "Not Analyzed")</f>
        <v>Not Analyzed</v>
      </c>
      <c r="BS46" s="17" t="str">
        <f t="shared" si="9"/>
        <v>Not Analyzed</v>
      </c>
      <c r="BT46" s="13">
        <f t="shared" si="10"/>
        <v>0.1822222222</v>
      </c>
      <c r="BU46" s="13" t="str">
        <f>IFERROR(VLOOKUP(L46, Benchmarks!$A$2:$D$15, 4, FALSE), "Not Analyzed")</f>
        <v>Not Analyzed</v>
      </c>
      <c r="BV46" s="17" t="str">
        <f t="shared" si="11"/>
        <v>Not Analyzed</v>
      </c>
      <c r="BW46" s="13">
        <f t="shared" si="12"/>
        <v>0.0532</v>
      </c>
      <c r="BX46" s="13" t="str">
        <f>IFERROR(VLOOKUP(L46, Benchmarks!$A$2:$D$15, 3, FALSE), "Not Analyzed")</f>
        <v>Not Analyzed</v>
      </c>
      <c r="BY46" s="17" t="str">
        <f t="shared" si="13"/>
        <v>Not Analyzed</v>
      </c>
      <c r="BZ46" s="17" t="str">
        <f t="shared" si="14"/>
        <v>Investment: CS1031 Richmond Active Living Apartments, DST | Sponsor: Capital Square | Structure: Delaware Statutory Trust (DST) | Status: Closed | LTV: 53.99% LTV | Availability: 0 | Location: VA | Strategy: Core | 721 Exchange Exit: Optional | Estimated Hold: 10 years | Cap Rate Equivalent: 0.0858117316531964 | Minimum Investment: 50000</v>
      </c>
      <c r="CA46" s="17" t="str">
        <f>A46&amp;" ("&amp;H46&amp;")"&amp;CHAR(10)&amp;CHAR(10)&amp;"CS1031 Richmond Active Living owns Everleigh Short Pump, a 165-unit Class A active-adult (55+) community completed in 2019 in an affluent infill suburb of western Richmond, VA, with high barriers to entry (median home values of $782,000 and average househ"&amp;"old income of $177,000). The asset benefits from needs-based, demographically driven demand, reinforced by an 83% resident-retention rate and ~7-year average tenure versus ~2 years for conventional multifamily. The operational strategy leverages Greystar "&amp;"Active Adult's specialized platform to sustain premium occupancy (95.7% as of December 2025) and capture 3-4% annual rent growth, financed at 53.99% LTV."&amp;CHAR(10)&amp;CHAR(10)&amp;"&gt;&gt; Download Offering Documents"&amp;CHAR(10)&amp;"https://www.baker1031.com/sponsors/capital-square"</f>
        <v>CS1031 Richmond Active Living Apartments, DST (53.99% LTV)
CS1031 Richmond Active Living owns Everleigh Short Pump, a 165-unit Class A active-adult (55+) community completed in 2019 in an affluent infill suburb of western Richmond, VA, with high barriers to entry (median home values of $782,000 and average household income of $177,000). The asset benefits from needs-based, demographically driven demand, reinforced by an 83% resident-retention rate and ~7-year average tenure versus ~2 years for conventional multifamily. The operational strategy leverages Greystar Active Adult's specialized platform to sustain premium occupancy (95.7% as of December 2025) and capture 3-4% annual rent growth, financed at 53.99% LTV.
&gt;&gt; Download Offering Documents
https://www.baker1031.com/sponsors/capital-square</v>
      </c>
    </row>
    <row r="47">
      <c r="A47" s="8" t="s">
        <v>953</v>
      </c>
      <c r="B47" s="8" t="s">
        <v>276</v>
      </c>
      <c r="C47" s="8" t="s">
        <v>81</v>
      </c>
      <c r="D47" s="8" t="s">
        <v>199</v>
      </c>
      <c r="E47" s="9">
        <v>5.285E7</v>
      </c>
      <c r="F47" s="9">
        <v>5.285E7</v>
      </c>
      <c r="G47" s="9">
        <v>0.0</v>
      </c>
      <c r="H47" s="8" t="s">
        <v>83</v>
      </c>
      <c r="I47" s="9">
        <v>94830.0</v>
      </c>
      <c r="J47" s="10">
        <v>46204.0</v>
      </c>
      <c r="K47" s="11">
        <f t="shared" si="1"/>
        <v>0.001794323557</v>
      </c>
      <c r="L47" s="8" t="s">
        <v>277</v>
      </c>
      <c r="M47" s="8" t="s">
        <v>954</v>
      </c>
      <c r="N47" s="12" t="str">
        <f>IFERROR(__xludf.DUMMYFUNCTION("TEXTJOIN("", "", TRUE, SORT(TRANSPOSE(SPLIT(M47, "", ""))))"),"GA, SC, VA")</f>
        <v>GA, SC, VA</v>
      </c>
      <c r="O47" s="12" t="s">
        <v>955</v>
      </c>
      <c r="P47" s="8" t="s">
        <v>87</v>
      </c>
      <c r="Q47" s="8" t="s">
        <v>156</v>
      </c>
      <c r="R47" s="8" t="s">
        <v>157</v>
      </c>
      <c r="S47" s="8" t="s">
        <v>956</v>
      </c>
      <c r="T47" s="8" t="s">
        <v>957</v>
      </c>
      <c r="U47" s="8" t="s">
        <v>958</v>
      </c>
      <c r="V47" s="8" t="s">
        <v>959</v>
      </c>
      <c r="W47" s="8" t="s">
        <v>960</v>
      </c>
      <c r="X47" s="8" t="s">
        <v>961</v>
      </c>
      <c r="Y47" s="8" t="s">
        <v>962</v>
      </c>
      <c r="Z47" s="8" t="s">
        <v>963</v>
      </c>
      <c r="AA47" s="8" t="s">
        <v>964</v>
      </c>
      <c r="AB47" s="11">
        <v>0.0535</v>
      </c>
      <c r="AC47" s="11">
        <v>0.0535</v>
      </c>
      <c r="AD47" s="8" t="s">
        <v>142</v>
      </c>
      <c r="AE47" s="8" t="s">
        <v>142</v>
      </c>
      <c r="AF47" s="8" t="s">
        <v>142</v>
      </c>
      <c r="AG47" s="8" t="s">
        <v>142</v>
      </c>
      <c r="AH47" s="8" t="s">
        <v>142</v>
      </c>
      <c r="AI47" s="8" t="s">
        <v>142</v>
      </c>
      <c r="AJ47" s="8" t="s">
        <v>142</v>
      </c>
      <c r="AK47" s="8" t="s">
        <v>142</v>
      </c>
      <c r="AL47" s="11">
        <v>0.0535</v>
      </c>
      <c r="AM47" s="11">
        <v>0.07</v>
      </c>
      <c r="AN47" s="13">
        <f t="shared" si="2"/>
        <v>0.07957</v>
      </c>
      <c r="AO47" s="8" t="s">
        <v>100</v>
      </c>
      <c r="AP47" s="8" t="s">
        <v>101</v>
      </c>
      <c r="AQ47" s="8" t="s">
        <v>101</v>
      </c>
      <c r="AR47" s="8" t="s">
        <v>101</v>
      </c>
      <c r="AS47" s="8" t="s">
        <v>101</v>
      </c>
      <c r="AT47" s="12" t="s">
        <v>102</v>
      </c>
      <c r="AU47" s="8" t="s">
        <v>965</v>
      </c>
      <c r="AV47" s="22" t="s">
        <v>966</v>
      </c>
      <c r="AW47" s="15"/>
      <c r="AX47" s="9">
        <v>100000.0</v>
      </c>
      <c r="AY47" s="16" t="str">
        <f>IFERROR(__xludf.DUMMYFUNCTION("IF(ISBLANK(AV47), """", IF(REGEXMATCH(AV47, ""/file/d/""), ""https://lh3.googleusercontent.com/d/"" &amp; REGEXEXTRACT(AV47, ""/d/([a-zA-Z0-9_-]+)""), AV47))"),"https://lh3.googleusercontent.com/d/1Sa4h6yRiMxOyIJnqBl10VSA3LRa52Htk=s0")</f>
        <v>https://lh3.googleusercontent.com/d/1Sa4h6yRiMxOyIJnqBl10VSA3LRa52Htk=s0</v>
      </c>
      <c r="AZ47" s="13">
        <f t="shared" si="3"/>
        <v>0.07</v>
      </c>
      <c r="BA47" s="17" t="str">
        <f t="shared" si="4"/>
        <v>Tax-Adjusted Yield</v>
      </c>
      <c r="BB47" s="17" t="str">
        <f t="shared" si="5"/>
        <v>Offering Documents Available By Request</v>
      </c>
      <c r="BC47" s="8" t="s">
        <v>967</v>
      </c>
      <c r="BD47" s="8" t="s">
        <v>292</v>
      </c>
      <c r="BE47" s="8" t="s">
        <v>293</v>
      </c>
      <c r="BF47" s="17" t="str">
        <f t="shared" si="6"/>
        <v>Learn More About ExchangeRight</v>
      </c>
      <c r="BG47" s="17" t="str">
        <f t="shared" si="7"/>
        <v>Learn More About Net Lease Properties</v>
      </c>
      <c r="BH47" s="17">
        <f t="array" ref="BH47">IFERROR(XLOOKUP($B47, 'Sponsor Connection'!$A:$A, 'Sponsor Connection'!$B:$B), )</f>
        <v>2012</v>
      </c>
      <c r="BI47" s="17" t="str">
        <f t="array" ref="BI47">IFERROR(XLOOKUP($B47, 'Sponsor Connection'!$A:$A, 'Sponsor Connection'!$D:$D), )</f>
        <v>ExchangeRight has scaled into one of the defining net-lease DST franchises, ending 2025 as the fifth-largest sponsor in the 1031 DST market with roughly $7.0 billion in AUM across more than 1,400 properties and 27 million square feet in 48 states. Founded in 2012 and vertically integrated out of Pasadena, the firm anchors its portfolios in investment-grade-tenanted necessity retail and healthcare—pharmacies, grocery, dollar stores—whose recession-resistant cash flows underpin its consistency. The track record is the headline: 34 full-cycle offerings averaging an 8.60% annual return with no loss of investor capital, all 126 offerings meeting or exceeding distribution projections, and an Essential Income REIT that supplies a 721 UPREIT exit. That combination of scale, tenant credit discipline and full-cycle performance makes it a benchmark for the category.</v>
      </c>
      <c r="BJ47" s="18">
        <f t="array" ref="BJ47">IF($B47="", "", LET(aum, IFERROR(XLOOKUP($B47, 'Sponsor Connection'!$A:$A, 'Sponsor Connection'!$C:$C), ""), IF(OR(aum="", aum=0), "Not Reported", aum)))</f>
        <v>7000000000</v>
      </c>
      <c r="BK47" s="19">
        <f t="array" ref="BK47">IF(ISBLANK($B47), "", LET(val, IFERROR(XLOOKUP($B47, 'Sponsor Connection'!$A:$A, 'Sponsor Connection'!$M:$M), ""), IF(OR(ISBLANK(val), val="", val=0), "Not Reported", val)))</f>
        <v>28</v>
      </c>
      <c r="BL47" s="13">
        <f t="array" ref="BL47">IF(ISBLANK($B47), "", LET(val, IFERROR(XLOOKUP($B47, 'Sponsor Connection'!$A:$A, 'Sponsor Connection'!$N:$N), ""), IF(val="", "Not Reported", val)))</f>
        <v>0.07774285714</v>
      </c>
      <c r="BM47" s="20">
        <f t="array" ref="BM47">IF(ISBLANK($B47), "", LET(val, IFERROR(XLOOKUP($B47, 'Sponsor Connection'!$A:$A, 'Sponsor Connection'!$O:$O), ""), IF(val="", "Not Reported", val)))</f>
        <v>1.408214286</v>
      </c>
      <c r="BN47" s="21">
        <f t="array" ref="BN47">IF(ISBLANK($B47), "", LET(val, IFERROR(XLOOKUP($B47, 'Sponsor Connection'!$A:$A, 'Sponsor Connection'!$P:$P), ""), IF(val="", "Not Reported", val)))</f>
        <v>5.414642857</v>
      </c>
      <c r="BO47" s="13">
        <f t="array" ref="BO47">IF(ISBLANK($B47), "", LET(val, IFERROR(XLOOKUP($B47, 'Sponsor Connection'!$A:$A, 'Sponsor Connection'!$Q:$Q), ""), IF(val="", "Not Reported", val)))</f>
        <v>1</v>
      </c>
      <c r="BP47" s="16" t="str">
        <f t="array" ref="BP47">IFERROR(XLOOKUP($B47, 'Sponsor Connection'!$A:$A, 'Sponsor Connection'!$L:$L), )</f>
        <v>https://img.logo.dev/exchangeright.com?token=pk_FIVsDKgZTvCedVXXtt2rEg&amp;size=200&amp;retina=true</v>
      </c>
      <c r="BQ47" s="13">
        <f t="shared" si="8"/>
        <v>0.0535</v>
      </c>
      <c r="BR47" s="13">
        <f>IFERROR(VLOOKUP(L47, Benchmarks!$A$2:$D$15, 2, FALSE), "Not Analyzed")</f>
        <v>0.05184571429</v>
      </c>
      <c r="BS47" s="17" t="str">
        <f t="shared" si="9"/>
        <v>Meets Average</v>
      </c>
      <c r="BT47" s="13">
        <f t="shared" si="10"/>
        <v>0</v>
      </c>
      <c r="BU47" s="13">
        <f>IFERROR(VLOOKUP(L47, Benchmarks!$A$2:$D$15, 4, FALSE), "Not Analyzed")</f>
        <v>0.09042966756</v>
      </c>
      <c r="BV47" s="17" t="str">
        <f t="shared" si="11"/>
        <v>Not Analyzed</v>
      </c>
      <c r="BW47" s="13">
        <f t="shared" si="12"/>
        <v>0.0535</v>
      </c>
      <c r="BX47" s="13">
        <f>IFERROR(VLOOKUP(L47, Benchmarks!$A$2:$D$15, 3, FALSE), "Not Analyzed")</f>
        <v>0.05365714286</v>
      </c>
      <c r="BY47" s="17" t="str">
        <f t="shared" si="13"/>
        <v>Meets Average</v>
      </c>
      <c r="BZ47" s="17" t="str">
        <f t="shared" si="14"/>
        <v>Investment: ExchangeRight Essential Income 9 DST | Sponsor: ExchangeRight | Structure: Delaware Statutory Trust (DST) | Status: Limited Availability | LTV: 0.00% LTV | Availability: 0.00179432355723746 | Location: GA, SC, VA | Strategy: Core | 721 Exchange Exit: Mandatory | Estimated Hold: 2 years | Cap Rate Equivalent: 0.07957 | Minimum Investment: 100000</v>
      </c>
      <c r="CA47" s="17" t="str">
        <f>A47&amp;" ("&amp;H47&amp;")"&amp;CHAR(10)&amp;CHAR(10)&amp;"ExchangeRight Essential Income 9 is a debt-free, 100%-equity DST ($52.85M) owning a three-property, single-tenant net-leased portfolio (205,857 SF) anchored by a Pepsi Bottling Ventures distribution facility in Longs, SC, plus necessity-retail assets in D"&amp;"alton, GA and Ruckersville, VA. The properties are covered by a 20-year master lease guaranteed by the Essential Income REIT and its operating partnership, supporting a 5.35% current cash flow paid monthly. The defining feature is a planned tax-deferred 7"&amp;"21 exchange into the Essential Income REIT approximately two years after full subscription."&amp;CHAR(10)&amp;CHAR(10)&amp;"&gt;&gt; Download Offering Documents"&amp;CHAR(10)&amp;"https://www.baker1031.com/sponsors/exchangeright"</f>
        <v>ExchangeRight Essential Income 9 DST (0.00% LTV)
ExchangeRight Essential Income 9 is a debt-free, 100%-equity DST ($52.85M) owning a three-property, single-tenant net-leased portfolio (205,857 SF) anchored by a Pepsi Bottling Ventures distribution facility in Longs, SC, plus necessity-retail assets in Dalton, GA and Ruckersville, VA. The properties are covered by a 20-year master lease guaranteed by the Essential Income REIT and its operating partnership, supporting a 5.35% current cash flow paid monthly. The defining feature is a planned tax-deferred 721 exchange into the Essential Income REIT approximately two years after full subscription.
&gt;&gt; Download Offering Documents
https://www.baker1031.com/sponsors/exchangeright</v>
      </c>
    </row>
    <row r="48">
      <c r="A48" s="8" t="s">
        <v>968</v>
      </c>
      <c r="B48" s="8" t="s">
        <v>969</v>
      </c>
      <c r="C48" s="8" t="s">
        <v>970</v>
      </c>
      <c r="D48" s="8" t="s">
        <v>199</v>
      </c>
      <c r="E48" s="9">
        <v>6124950.0</v>
      </c>
      <c r="F48" s="9">
        <v>6124950.0</v>
      </c>
      <c r="G48" s="8" t="s">
        <v>100</v>
      </c>
      <c r="H48" s="8" t="s">
        <v>83</v>
      </c>
      <c r="I48" s="9">
        <v>1000000.0</v>
      </c>
      <c r="J48" s="10">
        <v>46181.0</v>
      </c>
      <c r="K48" s="11">
        <f t="shared" si="1"/>
        <v>0.1632666389</v>
      </c>
      <c r="L48" s="8" t="s">
        <v>971</v>
      </c>
      <c r="M48" s="8" t="s">
        <v>972</v>
      </c>
      <c r="N48" s="8" t="s">
        <v>972</v>
      </c>
      <c r="O48" s="11">
        <v>0.15</v>
      </c>
      <c r="P48" s="8" t="s">
        <v>113</v>
      </c>
      <c r="Q48" s="8" t="s">
        <v>258</v>
      </c>
      <c r="R48" s="8" t="s">
        <v>312</v>
      </c>
      <c r="S48" s="8" t="s">
        <v>973</v>
      </c>
      <c r="T48" s="8" t="s">
        <v>974</v>
      </c>
      <c r="U48" s="8" t="s">
        <v>975</v>
      </c>
      <c r="V48" s="8" t="s">
        <v>976</v>
      </c>
      <c r="W48" s="8" t="s">
        <v>977</v>
      </c>
      <c r="X48" s="8" t="s">
        <v>978</v>
      </c>
      <c r="Y48" s="8" t="s">
        <v>979</v>
      </c>
      <c r="Z48" s="8" t="s">
        <v>980</v>
      </c>
      <c r="AA48" s="8" t="s">
        <v>981</v>
      </c>
      <c r="AB48" s="11">
        <v>0.08</v>
      </c>
      <c r="AC48" s="11">
        <v>0.1</v>
      </c>
      <c r="AD48" s="11">
        <v>0.1</v>
      </c>
      <c r="AE48" s="11">
        <v>0.1</v>
      </c>
      <c r="AF48" s="11">
        <v>0.1</v>
      </c>
      <c r="AG48" s="8" t="s">
        <v>142</v>
      </c>
      <c r="AH48" s="8" t="s">
        <v>142</v>
      </c>
      <c r="AI48" s="8" t="s">
        <v>142</v>
      </c>
      <c r="AJ48" s="8" t="s">
        <v>142</v>
      </c>
      <c r="AK48" s="8" t="s">
        <v>142</v>
      </c>
      <c r="AL48" s="11">
        <v>0.096</v>
      </c>
      <c r="AM48" s="8" t="s">
        <v>99</v>
      </c>
      <c r="AN48" s="13">
        <f t="shared" si="2"/>
        <v>0.1066</v>
      </c>
      <c r="AO48" s="8" t="s">
        <v>100</v>
      </c>
      <c r="AP48" s="8" t="s">
        <v>101</v>
      </c>
      <c r="AQ48" s="8" t="s">
        <v>101</v>
      </c>
      <c r="AR48" s="8" t="s">
        <v>101</v>
      </c>
      <c r="AS48" s="8" t="s">
        <v>101</v>
      </c>
      <c r="AT48" s="8" t="s">
        <v>102</v>
      </c>
      <c r="AV48" s="22" t="s">
        <v>982</v>
      </c>
      <c r="AX48" s="9">
        <v>100000.0</v>
      </c>
      <c r="AY48" s="16" t="str">
        <f>IFERROR(__xludf.DUMMYFUNCTION("IF(ISBLANK(AV48), """", IF(REGEXMATCH(AV48, ""/file/d/""), ""https://lh3.googleusercontent.com/d/"" &amp; REGEXEXTRACT(AV48, ""/d/([a-zA-Z0-9_-]+)""), AV48))"),"https://lh3.googleusercontent.com/d/130m6Um_1Bqj3CUHKW9A-eDiNHtXRus3Z")</f>
        <v>https://lh3.googleusercontent.com/d/130m6Um_1Bqj3CUHKW9A-eDiNHtXRus3Z</v>
      </c>
      <c r="AZ48" s="13">
        <f t="shared" si="3"/>
        <v>0.1484470588</v>
      </c>
      <c r="BA48" s="17" t="str">
        <f t="shared" si="4"/>
        <v>Est. Tax-Adjusted Yield⁹</v>
      </c>
      <c r="BB48" s="17" t="str">
        <f t="shared" si="5"/>
        <v>Offering Documents Available By Request</v>
      </c>
      <c r="BC48" s="8" t="s">
        <v>983</v>
      </c>
      <c r="BD48" s="8" t="s">
        <v>292</v>
      </c>
      <c r="BE48" s="8" t="s">
        <v>293</v>
      </c>
      <c r="BF48" s="17" t="str">
        <f t="shared" si="6"/>
        <v>Learn More About Resource Royalty</v>
      </c>
      <c r="BG48" s="17" t="str">
        <f t="shared" si="7"/>
        <v>Learn More About Oil &amp; Gas Mineral/Royalty Interests Properties</v>
      </c>
      <c r="BH48" s="17">
        <f t="array" ref="BH48">IFERROR(XLOOKUP($B48, 'Sponsor Connection'!$A:$A, 'Sponsor Connection'!$B:$B), )</f>
        <v>2011</v>
      </c>
      <c r="BI48" s="17" t="str">
        <f t="array" ref="BI48">IFERROR(XLOOKUP($B48, 'Sponsor Connection'!$A:$A, 'Sponsor Connection'!$D:$D), )</f>
        <v>Resource Royalty is a Dallas sponsor of oil-and-gas mineral and royalty DSTs, founded in 2011, occupying one of the more esoteric corners of the 1031 universe by offering direct-title, exchange-eligible mineral rights. Having raised roughly $173 million across 24 offerings covering some 440,000 gross acres and 1,650 producing wells, primarily in the Permian and Anadarko basins, the firm leans on conservative price-deck modeling to underwrite commodity exposure. The asset class diversifies away from real property cash flows but introduces energy-price and depletion risk that demands specialized diligence.</v>
      </c>
      <c r="BJ48" s="18">
        <f t="array" ref="BJ48">IF($B48="", "", LET(aum, IFERROR(XLOOKUP($B48, 'Sponsor Connection'!$A:$A, 'Sponsor Connection'!$C:$C), ""), IF(OR(aum="", aum=0), "Not Reported", aum)))</f>
        <v>173000000</v>
      </c>
      <c r="BK48" s="19" t="str">
        <f t="array" ref="BK48">IF(ISBLANK($B48), "", LET(val, IFERROR(XLOOKUP($B48, 'Sponsor Connection'!$A:$A, 'Sponsor Connection'!$M:$M), ""), IF(OR(ISBLANK(val), val="", val=0), "Not Reported", val)))</f>
        <v>Not Reported</v>
      </c>
      <c r="BL48" s="13" t="str">
        <f t="array" ref="BL48">IF(ISBLANK($B48), "", LET(val, IFERROR(XLOOKUP($B48, 'Sponsor Connection'!$A:$A, 'Sponsor Connection'!$N:$N), ""), IF(val="", "Not Reported", val)))</f>
        <v>No Data</v>
      </c>
      <c r="BM48" s="20" t="str">
        <f t="array" ref="BM48">IF(ISBLANK($B48), "", LET(val, IFERROR(XLOOKUP($B48, 'Sponsor Connection'!$A:$A, 'Sponsor Connection'!$O:$O), ""), IF(val="", "Not Reported", val)))</f>
        <v>No Data</v>
      </c>
      <c r="BN48" s="21" t="str">
        <f t="array" ref="BN48">IF(ISBLANK($B48), "", LET(val, IFERROR(XLOOKUP($B48, 'Sponsor Connection'!$A:$A, 'Sponsor Connection'!$P:$P), ""), IF(val="", "Not Reported", val)))</f>
        <v>No Data</v>
      </c>
      <c r="BO48" s="13" t="str">
        <f t="array" ref="BO48">IF(ISBLANK($B48), "", LET(val, IFERROR(XLOOKUP($B48, 'Sponsor Connection'!$A:$A, 'Sponsor Connection'!$Q:$Q), ""), IF(val="", "Not Reported", val)))</f>
        <v>No Data</v>
      </c>
      <c r="BP48" s="16" t="str">
        <f t="array" ref="BP48">IFERROR(XLOOKUP($B48, 'Sponsor Connection'!$A:$A, 'Sponsor Connection'!$L:$L), )</f>
        <v>https://img.logo.dev/resourceroyalty.com?token=pk_FIVsDKgZTvCedVXXtt2rEg&amp;size=200&amp;retina=true</v>
      </c>
      <c r="BQ48" s="13">
        <f t="shared" si="8"/>
        <v>0.096</v>
      </c>
      <c r="BR48" s="13">
        <f>IFERROR(VLOOKUP(L48, Benchmarks!$A$2:$D$15, 2, FALSE), "Not Analyzed")</f>
        <v>0.096</v>
      </c>
      <c r="BS48" s="17" t="str">
        <f t="shared" si="9"/>
        <v>Meets Average</v>
      </c>
      <c r="BT48" s="13">
        <f t="shared" si="10"/>
        <v>0.25</v>
      </c>
      <c r="BU48" s="13">
        <f>IFERROR(VLOOKUP(L48, Benchmarks!$A$2:$D$15, 4, FALSE), "Not Analyzed")</f>
        <v>0.25</v>
      </c>
      <c r="BV48" s="17" t="str">
        <f t="shared" si="11"/>
        <v>Meets Average</v>
      </c>
      <c r="BW48" s="13">
        <f t="shared" si="12"/>
        <v>0.1</v>
      </c>
      <c r="BX48" s="13">
        <f>IFERROR(VLOOKUP(L48, Benchmarks!$A$2:$D$15, 3, FALSE), "Not Analyzed")</f>
        <v>0.1</v>
      </c>
      <c r="BY48" s="17" t="str">
        <f t="shared" si="13"/>
        <v>Meets Average</v>
      </c>
      <c r="BZ48" s="17" t="str">
        <f t="shared" si="14"/>
        <v>Investment: Resource Royalty 27, LLC | Sponsor: Resource Royalty | Structure: Direct-Title Mineral &amp; Royalty Interests | Status: Limited Availability | LTV: 0.00% LTV | Availability: 0.163266638911338 | Location: TX, OK | Strategy: Core-Plus | 721 Exchange Exit: None | Estimated Hold: 5 years | Cap Rate Equivalent: 0.1066 | Minimum Investment: 100000</v>
      </c>
      <c r="CA48" s="17" t="str">
        <f>A48&amp;" ("&amp;H48&amp;")"&amp;CHAR(10)&amp;CHAR(10)&amp;"Resource Royalty 27 offers undivided, direct-title non-possessory mineral and royalty interests across a 12-property, two-state portfolio (552.99 net royalty acres) concentrated in the Anadarko basin complex of Oklahoma and the northern Permian in Texas. "&amp;"Operatorship is held by well-capitalized E&amp;P names including Surge, SM Energy, Devon/Coterra, and Mewbourne, insulating royalty holders from drilling capex, lease operating expense, and abandonment liability. The current-income thesis rests on sixteen wel"&amp;"ls in pay status as of March 2026, supplemented by proven-undeveloped and drilled-uncompleted development optionality, with quarterly distributions over a stated ~35-year reserve life."&amp;CHAR(10)&amp;CHAR(10)&amp;"&gt;&gt; Download Offering Documents"&amp;CHAR(10)&amp;"https://www.baker1031.com/sponsors/exchangeright"</f>
        <v>Resource Royalty 27, LLC (0.00% LTV)
Resource Royalty 27 offers undivided, direct-title non-possessory mineral and royalty interests across a 12-property, two-state portfolio (552.99 net royalty acres) concentrated in the Anadarko basin complex of Oklahoma and the northern Permian in Texas. Operatorship is held by well-capitalized E&amp;P names including Surge, SM Energy, Devon/Coterra, and Mewbourne, insulating royalty holders from drilling capex, lease operating expense, and abandonment liability. The current-income thesis rests on sixteen wells in pay status as of March 2026, supplemented by proven-undeveloped and drilled-uncompleted development optionality, with quarterly distributions over a stated ~35-year reserve life.
&gt;&gt; Download Offering Documents
https://www.baker1031.com/sponsors/exchangeright</v>
      </c>
    </row>
    <row r="49">
      <c r="A49" s="8" t="s">
        <v>984</v>
      </c>
      <c r="B49" s="8" t="s">
        <v>776</v>
      </c>
      <c r="C49" s="8" t="s">
        <v>81</v>
      </c>
      <c r="D49" s="8" t="s">
        <v>82</v>
      </c>
      <c r="E49" s="9">
        <v>3.27E7</v>
      </c>
      <c r="F49" s="9">
        <v>3.27E7</v>
      </c>
      <c r="G49" s="8" t="s">
        <v>100</v>
      </c>
      <c r="H49" s="8" t="s">
        <v>83</v>
      </c>
      <c r="I49" s="9">
        <v>3.27E7</v>
      </c>
      <c r="J49" s="10">
        <v>46182.0</v>
      </c>
      <c r="K49" s="11">
        <v>1.0</v>
      </c>
      <c r="L49" s="8" t="s">
        <v>433</v>
      </c>
      <c r="M49" s="8" t="s">
        <v>473</v>
      </c>
      <c r="N49" s="8" t="s">
        <v>473</v>
      </c>
      <c r="O49" s="11">
        <v>0.1136</v>
      </c>
      <c r="P49" s="8" t="s">
        <v>87</v>
      </c>
      <c r="Q49" s="8" t="s">
        <v>88</v>
      </c>
      <c r="R49" s="8" t="s">
        <v>89</v>
      </c>
      <c r="S49" s="8" t="s">
        <v>985</v>
      </c>
      <c r="T49" s="8" t="s">
        <v>986</v>
      </c>
      <c r="U49" s="8" t="s">
        <v>987</v>
      </c>
      <c r="V49" s="8" t="s">
        <v>988</v>
      </c>
      <c r="W49" s="8" t="s">
        <v>989</v>
      </c>
      <c r="X49" s="8" t="s">
        <v>990</v>
      </c>
      <c r="Y49" s="8" t="s">
        <v>991</v>
      </c>
      <c r="Z49" s="8" t="s">
        <v>992</v>
      </c>
      <c r="AA49" s="8" t="s">
        <v>993</v>
      </c>
      <c r="AB49" s="11">
        <v>0.045</v>
      </c>
      <c r="AC49" s="11">
        <v>0.0454</v>
      </c>
      <c r="AD49" s="11">
        <v>0.0459</v>
      </c>
      <c r="AE49" s="11">
        <v>0.0472</v>
      </c>
      <c r="AF49" s="11">
        <v>0.0488</v>
      </c>
      <c r="AG49" s="11">
        <v>0.0503</v>
      </c>
      <c r="AH49" s="11">
        <v>0.0519</v>
      </c>
      <c r="AI49" s="11">
        <v>0.0536</v>
      </c>
      <c r="AJ49" s="11">
        <v>0.0553</v>
      </c>
      <c r="AK49" s="11">
        <v>0.057</v>
      </c>
      <c r="AL49" s="11">
        <v>0.05</v>
      </c>
      <c r="AM49" s="8" t="s">
        <v>99</v>
      </c>
      <c r="AN49" s="13">
        <f t="shared" si="2"/>
        <v>0.0709</v>
      </c>
      <c r="AO49" s="8" t="s">
        <v>100</v>
      </c>
      <c r="AP49" s="8" t="s">
        <v>101</v>
      </c>
      <c r="AQ49" s="8" t="s">
        <v>101</v>
      </c>
      <c r="AR49" s="8" t="s">
        <v>101</v>
      </c>
      <c r="AS49" s="8" t="s">
        <v>101</v>
      </c>
      <c r="AT49" s="8" t="s">
        <v>102</v>
      </c>
      <c r="AU49" s="8" t="s">
        <v>994</v>
      </c>
      <c r="AV49" s="22" t="s">
        <v>995</v>
      </c>
      <c r="AX49" s="9">
        <v>50000.0</v>
      </c>
      <c r="AY49" s="16" t="str">
        <f>IFERROR(__xludf.DUMMYFUNCTION("IF(ISBLANK(AV49), """", IF(REGEXMATCH(AV49, ""/file/d/""), ""https://lh3.googleusercontent.com/d/"" &amp; REGEXEXTRACT(AV49, ""/d/([a-zA-Z0-9_-]+)""), AV49))"),"https://lh3.googleusercontent.com/d/170i7qkdzNt5nMjqA3xuswfF2BKEm6Fx-")</f>
        <v>https://lh3.googleusercontent.com/d/170i7qkdzNt5nMjqA3xuswfF2BKEm6Fx-</v>
      </c>
      <c r="AZ49" s="13">
        <f t="shared" si="3"/>
        <v>0.1134470588</v>
      </c>
      <c r="BA49" s="17" t="str">
        <f t="shared" si="4"/>
        <v>Est. Tax-Adjusted Yield⁹</v>
      </c>
      <c r="BB49" s="17" t="str">
        <f t="shared" si="5"/>
        <v>Offering Documents Available By Request</v>
      </c>
      <c r="BC49" s="8" t="s">
        <v>996</v>
      </c>
      <c r="BD49" s="8" t="s">
        <v>790</v>
      </c>
      <c r="BE49" s="8" t="s">
        <v>451</v>
      </c>
      <c r="BF49" s="8" t="s">
        <v>997</v>
      </c>
      <c r="BG49" s="8" t="s">
        <v>998</v>
      </c>
      <c r="BH49" s="17">
        <f t="array" ref="BH49">IFERROR(XLOOKUP($B49, 'Sponsor Connection'!$A:$A, 'Sponsor Connection'!$B:$B), )</f>
        <v>2012</v>
      </c>
      <c r="BI49" s="17" t="str">
        <f t="array" ref="BI49">IFERROR(XLOOKUP($B49, 'Sponsor Connection'!$A:$A, 'Sponsor Connection'!$D:$D), )</f>
        <v>Capital Square has evolved from a pure 1031/DST sponsor into one of the more vertically integrated platforms in the securitized exchange market, with over $6 billion in AUM and more than $7.5 billion in transaction volume since its 2012 founding by Louis Rogers. Beyond sponsoring DSTs across 175-plus assets for some 6,500 investors, the firm develops its own multifamily product, manages roughly 13,000 apartments through Capital Square Living, and diversifies into Qualified Opportunity Zone funds and a REIT. That control of the full lifecycle—and full-cycle results such as a cited 159% return of equity on a completed DST—make it a benchmark name for diligence-minded exchangers.</v>
      </c>
      <c r="BJ49" s="18">
        <f t="array" ref="BJ49">IF($B49="", "", LET(aum, IFERROR(XLOOKUP($B49, 'Sponsor Connection'!$A:$A, 'Sponsor Connection'!$C:$C), ""), IF(OR(aum="", aum=0), "Not Reported", aum)))</f>
        <v>6000000000</v>
      </c>
      <c r="BK49" s="19">
        <f t="array" ref="BK49">IF(ISBLANK($B49), "", LET(val, IFERROR(XLOOKUP($B49, 'Sponsor Connection'!$A:$A, 'Sponsor Connection'!$M:$M), ""), IF(OR(ISBLANK(val), val="", val=0), "Not Reported", val)))</f>
        <v>19</v>
      </c>
      <c r="BL49" s="13">
        <f t="array" ref="BL49">IF(ISBLANK($B49), "", LET(val, IFERROR(XLOOKUP($B49, 'Sponsor Connection'!$A:$A, 'Sponsor Connection'!$N:$N), ""), IF(val="", "Not Reported", val)))</f>
        <v>0.1519947368</v>
      </c>
      <c r="BM49" s="20">
        <f t="array" ref="BM49">IF(ISBLANK($B49), "", LET(val, IFERROR(XLOOKUP($B49, 'Sponsor Connection'!$A:$A, 'Sponsor Connection'!$O:$O), ""), IF(val="", "Not Reported", val)))</f>
        <v>1.833157895</v>
      </c>
      <c r="BN49" s="21">
        <f t="array" ref="BN49">IF(ISBLANK($B49), "", LET(val, IFERROR(XLOOKUP($B49, 'Sponsor Connection'!$A:$A, 'Sponsor Connection'!$P:$P), ""), IF(val="", "Not Reported", val)))</f>
        <v>4.810526316</v>
      </c>
      <c r="BO49" s="13">
        <f t="array" ref="BO49">IF(ISBLANK($B49), "", LET(val, IFERROR(XLOOKUP($B49, 'Sponsor Connection'!$A:$A, 'Sponsor Connection'!$Q:$Q), ""), IF(val="", "Not Reported", val)))</f>
        <v>1</v>
      </c>
      <c r="BP49" s="16" t="str">
        <f t="array" ref="BP49">IFERROR(XLOOKUP($B49, 'Sponsor Connection'!$A:$A, 'Sponsor Connection'!$L:$L), )</f>
        <v>https://img.logo.dev/capitalsq.com?token=pk_FIVsDKgZTvCedVXXtt2rEg&amp;size=200&amp;retina=true</v>
      </c>
      <c r="BQ49" s="13">
        <f t="shared" si="8"/>
        <v>0.05</v>
      </c>
      <c r="BR49" s="13" t="str">
        <f>IFERROR(VLOOKUP(L49, Benchmarks!$A$2:$D$15, 2, FALSE), "Not Analyzed")</f>
        <v>Not Analyzed</v>
      </c>
      <c r="BS49" s="17" t="str">
        <f t="shared" si="9"/>
        <v>Not Analyzed</v>
      </c>
      <c r="BT49" s="13">
        <f t="shared" si="10"/>
        <v>0.2666666667</v>
      </c>
      <c r="BU49" s="13" t="str">
        <f>IFERROR(VLOOKUP(L49, Benchmarks!$A$2:$D$15, 4, FALSE), "Not Analyzed")</f>
        <v>Not Analyzed</v>
      </c>
      <c r="BV49" s="17" t="str">
        <f t="shared" si="11"/>
        <v>Not Analyzed</v>
      </c>
      <c r="BW49" s="13">
        <f t="shared" si="12"/>
        <v>0.057</v>
      </c>
      <c r="BX49" s="13" t="str">
        <f>IFERROR(VLOOKUP(L49, Benchmarks!$A$2:$D$15, 3, FALSE), "Not Analyzed")</f>
        <v>Not Analyzed</v>
      </c>
      <c r="BY49" s="17" t="str">
        <f t="shared" si="13"/>
        <v>Not Analyzed</v>
      </c>
      <c r="BZ49" s="8" t="s">
        <v>999</v>
      </c>
      <c r="CA49" s="17" t="str">
        <f>A49&amp;" ("&amp;H49&amp;")"&amp;CHAR(10)&amp;CHAR(10)&amp;"CS1031 Texas Active Living Portfolio II is a debt-free, 64-unit active-adult (55+) portfolio comprising Emerald Cottages of Kerrville (Texas Hill Country) and Round Rock (Austin MSA), each a single-story, detached-cottage community of 2BR/2BA homes averag"&amp;"ing 1,350 SF. Both assets are 100% occupied with 10-plus-resident waitlists, zero bad debt, and no concessions, pairing a recession-resilient active-adult niche with an all-cash structure that eliminates refinancing and rate-cap exposure. Operations run t"&amp;"hrough Capital Square-affiliated master tenants and Carbon Shepherd on-site management, targeting a 5.65% Year-1 yield-on-cost stepping to 7.51% by Year 10 on ~3% annual escalations."&amp;CHAR(10)&amp;CHAR(10)&amp;"&gt;&gt; Download Offering Documents"&amp;CHAR(10)&amp;"https://www.baker1031.com/sponsors/capital-square"</f>
        <v>CS1031 Texas Active Living Portfolio II, DST (0.00% LTV)
CS1031 Texas Active Living Portfolio II is a debt-free, 64-unit active-adult (55+) portfolio comprising Emerald Cottages of Kerrville (Texas Hill Country) and Round Rock (Austin MSA), each a single-story, detached-cottage community of 2BR/2BA homes averaging 1,350 SF. Both assets are 100% occupied with 10-plus-resident waitlists, zero bad debt, and no concessions, pairing a recession-resilient active-adult niche with an all-cash structure that eliminates refinancing and rate-cap exposure. Operations run through Capital Square-affiliated master tenants and Carbon Shepherd on-site management, targeting a 5.65% Year-1 yield-on-cost stepping to 7.51% by Year 10 on ~3% annual escalations.
&gt;&gt; Download Offering Documents
https://www.baker1031.com/sponsors/capital-square</v>
      </c>
    </row>
    <row r="50">
      <c r="A50" s="8" t="s">
        <v>1000</v>
      </c>
      <c r="B50" s="8" t="s">
        <v>276</v>
      </c>
      <c r="C50" s="8" t="s">
        <v>81</v>
      </c>
      <c r="D50" s="8" t="s">
        <v>82</v>
      </c>
      <c r="E50" s="9">
        <v>1.2353E8</v>
      </c>
      <c r="F50" s="9">
        <v>1.2353E8</v>
      </c>
      <c r="G50" s="9">
        <v>0.0</v>
      </c>
      <c r="H50" s="8" t="s">
        <v>83</v>
      </c>
      <c r="I50" s="9">
        <v>3.1480223E7</v>
      </c>
      <c r="J50" s="10">
        <v>46204.0</v>
      </c>
      <c r="K50" s="11">
        <f>(I50/F50)</f>
        <v>0.254838687</v>
      </c>
      <c r="L50" s="8" t="s">
        <v>277</v>
      </c>
      <c r="M50" s="8" t="s">
        <v>414</v>
      </c>
      <c r="N50" s="12" t="s">
        <v>414</v>
      </c>
      <c r="O50" s="12" t="s">
        <v>1001</v>
      </c>
      <c r="P50" s="8" t="s">
        <v>87</v>
      </c>
      <c r="Q50" s="8" t="s">
        <v>156</v>
      </c>
      <c r="R50" s="8" t="s">
        <v>157</v>
      </c>
      <c r="S50" s="8" t="s">
        <v>1002</v>
      </c>
      <c r="T50" s="8" t="s">
        <v>1003</v>
      </c>
      <c r="U50" s="8" t="s">
        <v>1004</v>
      </c>
      <c r="V50" s="8" t="s">
        <v>1005</v>
      </c>
      <c r="W50" s="8" t="s">
        <v>1006</v>
      </c>
      <c r="X50" s="8" t="s">
        <v>1007</v>
      </c>
      <c r="Y50" s="8" t="s">
        <v>1008</v>
      </c>
      <c r="Z50" s="8" t="s">
        <v>1009</v>
      </c>
      <c r="AA50" s="8" t="s">
        <v>1010</v>
      </c>
      <c r="AB50" s="11">
        <v>0.052</v>
      </c>
      <c r="AC50" s="11">
        <v>0.053</v>
      </c>
      <c r="AD50" s="8" t="s">
        <v>142</v>
      </c>
      <c r="AE50" s="8" t="s">
        <v>142</v>
      </c>
      <c r="AF50" s="8" t="s">
        <v>142</v>
      </c>
      <c r="AG50" s="8" t="s">
        <v>142</v>
      </c>
      <c r="AH50" s="8" t="s">
        <v>142</v>
      </c>
      <c r="AI50" s="8" t="s">
        <v>142</v>
      </c>
      <c r="AJ50" s="8" t="s">
        <v>142</v>
      </c>
      <c r="AK50" s="8" t="s">
        <v>142</v>
      </c>
      <c r="AL50" s="11">
        <v>0.0525</v>
      </c>
      <c r="AM50" s="8" t="s">
        <v>99</v>
      </c>
      <c r="AN50" s="13">
        <f t="shared" si="2"/>
        <v>0.07804</v>
      </c>
      <c r="AO50" s="8" t="s">
        <v>100</v>
      </c>
      <c r="AP50" s="8" t="s">
        <v>101</v>
      </c>
      <c r="AQ50" s="8" t="s">
        <v>101</v>
      </c>
      <c r="AR50" s="8" t="s">
        <v>101</v>
      </c>
      <c r="AS50" s="8" t="s">
        <v>101</v>
      </c>
      <c r="AT50" s="12" t="s">
        <v>102</v>
      </c>
      <c r="AU50" s="8" t="s">
        <v>1011</v>
      </c>
      <c r="AV50" s="22" t="s">
        <v>1012</v>
      </c>
      <c r="AW50" s="15"/>
      <c r="AX50" s="9">
        <v>100000.0</v>
      </c>
      <c r="AY50" s="16" t="str">
        <f>IFERROR(__xludf.DUMMYFUNCTION("IF(ISBLANK(AV50), """", IF(REGEXMATCH(AV50, ""/file/d/""), ""https://lh3.googleusercontent.com/d/"" &amp; REGEXEXTRACT(AV50, ""/d/([a-zA-Z0-9_-]+)""), AV50))"),"https://lh3.googleusercontent.com/d/1h6xRzEJj6WrKWcYaVK8ZPob2PS14Tx9w")</f>
        <v>https://lh3.googleusercontent.com/d/1h6xRzEJj6WrKWcYaVK8ZPob2PS14Tx9w</v>
      </c>
      <c r="AZ50" s="13">
        <f t="shared" si="3"/>
        <v>0.1204470588</v>
      </c>
      <c r="BA50" s="17" t="str">
        <f t="shared" si="4"/>
        <v>Est. Tax-Adjusted Yield⁹</v>
      </c>
      <c r="BB50" s="17" t="str">
        <f t="shared" si="5"/>
        <v>Offering Documents Available By Request</v>
      </c>
      <c r="BC50" s="8" t="s">
        <v>1013</v>
      </c>
      <c r="BD50" s="8" t="s">
        <v>292</v>
      </c>
      <c r="BE50" s="8" t="s">
        <v>293</v>
      </c>
      <c r="BF50" s="17" t="str">
        <f t="shared" ref="BF50:BF64" si="15">"Learn More About "&amp;B50</f>
        <v>Learn More About ExchangeRight</v>
      </c>
      <c r="BG50" s="17" t="str">
        <f t="shared" ref="BG50:BG64" si="16">"Learn More About "&amp;L50&amp;" Properties"</f>
        <v>Learn More About Net Lease Properties</v>
      </c>
      <c r="BH50" s="17">
        <f t="array" ref="BH50">IFERROR(XLOOKUP($B50, 'Sponsor Connection'!$A:$A, 'Sponsor Connection'!$B:$B), )</f>
        <v>2012</v>
      </c>
      <c r="BI50" s="17" t="str">
        <f t="array" ref="BI50">IFERROR(XLOOKUP($B50, 'Sponsor Connection'!$A:$A, 'Sponsor Connection'!$D:$D), )</f>
        <v>ExchangeRight has scaled into one of the defining net-lease DST franchises, ending 2025 as the fifth-largest sponsor in the 1031 DST market with roughly $7.0 billion in AUM across more than 1,400 properties and 27 million square feet in 48 states. Founded in 2012 and vertically integrated out of Pasadena, the firm anchors its portfolios in investment-grade-tenanted necessity retail and healthcare—pharmacies, grocery, dollar stores—whose recession-resistant cash flows underpin its consistency. The track record is the headline: 34 full-cycle offerings averaging an 8.60% annual return with no loss of investor capital, all 126 offerings meeting or exceeding distribution projections, and an Essential Income REIT that supplies a 721 UPREIT exit. That combination of scale, tenant credit discipline and full-cycle performance makes it a benchmark for the category.</v>
      </c>
      <c r="BJ50" s="18">
        <f t="array" ref="BJ50">IF($B50="", "", LET(aum, IFERROR(XLOOKUP($B50, 'Sponsor Connection'!$A:$A, 'Sponsor Connection'!$C:$C), ""), IF(OR(aum="", aum=0), "Not Reported", aum)))</f>
        <v>7000000000</v>
      </c>
      <c r="BK50" s="19">
        <f t="array" ref="BK50">IF(ISBLANK($B50), "", LET(val, IFERROR(XLOOKUP($B50, 'Sponsor Connection'!$A:$A, 'Sponsor Connection'!$M:$M), ""), IF(OR(ISBLANK(val), val="", val=0), "Not Reported", val)))</f>
        <v>28</v>
      </c>
      <c r="BL50" s="13">
        <f t="array" ref="BL50">IF(ISBLANK($B50), "", LET(val, IFERROR(XLOOKUP($B50, 'Sponsor Connection'!$A:$A, 'Sponsor Connection'!$N:$N), ""), IF(val="", "Not Reported", val)))</f>
        <v>0.07774285714</v>
      </c>
      <c r="BM50" s="20">
        <f t="array" ref="BM50">IF(ISBLANK($B50), "", LET(val, IFERROR(XLOOKUP($B50, 'Sponsor Connection'!$A:$A, 'Sponsor Connection'!$O:$O), ""), IF(val="", "Not Reported", val)))</f>
        <v>1.408214286</v>
      </c>
      <c r="BN50" s="21">
        <f t="array" ref="BN50">IF(ISBLANK($B50), "", LET(val, IFERROR(XLOOKUP($B50, 'Sponsor Connection'!$A:$A, 'Sponsor Connection'!$P:$P), ""), IF(val="", "Not Reported", val)))</f>
        <v>5.414642857</v>
      </c>
      <c r="BO50" s="13">
        <f t="array" ref="BO50">IF(ISBLANK($B50), "", LET(val, IFERROR(XLOOKUP($B50, 'Sponsor Connection'!$A:$A, 'Sponsor Connection'!$Q:$Q), ""), IF(val="", "Not Reported", val)))</f>
        <v>1</v>
      </c>
      <c r="BP50" s="16" t="str">
        <f t="array" ref="BP50">IFERROR(XLOOKUP($B50, 'Sponsor Connection'!$A:$A, 'Sponsor Connection'!$L:$L), )</f>
        <v>https://img.logo.dev/exchangeright.com?token=pk_FIVsDKgZTvCedVXXtt2rEg&amp;size=200&amp;retina=true</v>
      </c>
      <c r="BQ50" s="13">
        <f t="shared" si="8"/>
        <v>0.0525</v>
      </c>
      <c r="BR50" s="13">
        <f>IFERROR(VLOOKUP(L50, Benchmarks!$A$2:$D$15, 2, FALSE), "Not Analyzed")</f>
        <v>0.05184571429</v>
      </c>
      <c r="BS50" s="17" t="str">
        <f t="shared" si="9"/>
        <v>Meets Average</v>
      </c>
      <c r="BT50" s="13">
        <f t="shared" si="10"/>
        <v>0.01923076923</v>
      </c>
      <c r="BU50" s="13">
        <f>IFERROR(VLOOKUP(L50, Benchmarks!$A$2:$D$15, 4, FALSE), "Not Analyzed")</f>
        <v>0.09042966756</v>
      </c>
      <c r="BV50" s="17" t="str">
        <f t="shared" si="11"/>
        <v>Below Average</v>
      </c>
      <c r="BW50" s="13">
        <f t="shared" si="12"/>
        <v>0.053</v>
      </c>
      <c r="BX50" s="13">
        <f>IFERROR(VLOOKUP(L50, Benchmarks!$A$2:$D$15, 3, FALSE), "Not Analyzed")</f>
        <v>0.05365714286</v>
      </c>
      <c r="BY50" s="17" t="str">
        <f t="shared" si="13"/>
        <v>Meets Average</v>
      </c>
      <c r="BZ50" s="17" t="str">
        <f t="shared" ref="BZ50:BZ64" si="17">"Investment: " &amp; A50 &amp; " | Sponsor: " &amp; B50 &amp; " | Structure: " &amp; C50 &amp; " | Status: " &amp; D50 &amp; " | LTV: " &amp; H50 &amp; " | Availability: " &amp; K50 &amp; " | Location: " &amp; N50 &amp; " | Strategy: " &amp; P50 &amp; " | 721 Exchange Exit: " &amp; Q50 &amp; " | Estimated Hold: " &amp; R50 &amp; " | Cap Rate Equivalent: " &amp; AN50 &amp; " | Minimum Investment: " &amp; AX50</f>
        <v>Investment: ExchangeRight Essential Income 12 DST | Sponsor: ExchangeRight | Structure: Delaware Statutory Trust (DST) | Status: Available | LTV: 0.00% LTV | Availability: 0.254838686958634 | Location: MO | Strategy: Core | 721 Exchange Exit: Mandatory | Estimated Hold: 2 years | Cap Rate Equivalent: 0.07804 | Minimum Investment: 100000</v>
      </c>
      <c r="CA50" s="17" t="str">
        <f>A50&amp;" ("&amp;H50&amp;")"&amp;CHAR(10)&amp;CHAR(10)&amp;S50&amp;CHAR(10)&amp;CHAR(10)&amp;"&gt;&gt; Download Offering Documents"&amp;CHAR(10)&amp;"https://www.baker1031.com/sponsors/exchangeright"</f>
        <v>ExchangeRight Essential Income 12 DST (0.00% LTV)
A debt-free Delaware Statutory Trust holding a single, 100%-occupied ~1,083,102 SF industrial distribution center on ~114.2 acres at 3200 East Sawyer Road, Republic, Missouri (Springfield MSA), net-leased to Amazon.com Services LLC and guaranteed by Amazon.com, Inc. (S&amp;P "AA"). The 2021-built facility carries a double-net (NN) lease running to July 2036 (~10.1 years remaining) with 1.85% annual rent escalations and five 5-year renewal options. The Trust acquired the property free and clear for $108,838,385 (appraised "As Is" at $109,400,000). Income is delivered through a 20-year master lease guaranteed by the ExchangeRight Essential Income REIT Operating Partnership, targeting 5.20% cash flow in year one and 5.30% in year two. The offering is structured for a ~2-year hold followed by an accelerated tax-deferred Section 721 exchange into the Essential Income REIT, providing investment-grade, single-tenant industrial income with a defined UPREIT exit path.
&gt;&gt; Download Offering Documents
https://www.baker1031.com/sponsors/exchangeright</v>
      </c>
    </row>
    <row r="51">
      <c r="A51" s="8" t="s">
        <v>1014</v>
      </c>
      <c r="B51" s="8" t="s">
        <v>1015</v>
      </c>
      <c r="C51" s="8" t="s">
        <v>81</v>
      </c>
      <c r="D51" s="8" t="s">
        <v>152</v>
      </c>
      <c r="E51" s="9">
        <v>4.0128E7</v>
      </c>
      <c r="F51" s="9">
        <v>2.1107E7</v>
      </c>
      <c r="G51" s="9">
        <v>1.9021E7</v>
      </c>
      <c r="H51" s="8" t="s">
        <v>1016</v>
      </c>
      <c r="I51" s="9">
        <v>2.1107E7</v>
      </c>
      <c r="J51" s="10">
        <v>46194.0</v>
      </c>
      <c r="K51" s="11">
        <v>1.0</v>
      </c>
      <c r="L51" s="8" t="s">
        <v>176</v>
      </c>
      <c r="M51" s="8" t="s">
        <v>1017</v>
      </c>
      <c r="N51" s="12" t="s">
        <v>473</v>
      </c>
      <c r="O51" s="12" t="s">
        <v>1018</v>
      </c>
      <c r="P51" s="8" t="s">
        <v>113</v>
      </c>
      <c r="Q51" s="8" t="s">
        <v>88</v>
      </c>
      <c r="R51" s="8" t="s">
        <v>132</v>
      </c>
      <c r="S51" s="8" t="s">
        <v>1019</v>
      </c>
      <c r="T51" s="8" t="s">
        <v>1020</v>
      </c>
      <c r="U51" s="8" t="s">
        <v>1021</v>
      </c>
      <c r="V51" s="8" t="s">
        <v>1022</v>
      </c>
      <c r="W51" s="8" t="s">
        <v>1023</v>
      </c>
      <c r="X51" s="8" t="s">
        <v>1024</v>
      </c>
      <c r="Y51" s="8" t="s">
        <v>1025</v>
      </c>
      <c r="Z51" s="8" t="s">
        <v>1026</v>
      </c>
      <c r="AA51" s="8" t="s">
        <v>1027</v>
      </c>
      <c r="AB51" s="11">
        <v>0.06</v>
      </c>
      <c r="AC51" s="11">
        <v>0.0602</v>
      </c>
      <c r="AD51" s="11">
        <v>0.0613</v>
      </c>
      <c r="AE51" s="11">
        <v>0.0622</v>
      </c>
      <c r="AF51" s="11">
        <v>0.0631</v>
      </c>
      <c r="AG51" s="11">
        <v>0.0643</v>
      </c>
      <c r="AH51" s="11">
        <v>0.066</v>
      </c>
      <c r="AI51" s="8" t="s">
        <v>142</v>
      </c>
      <c r="AJ51" s="8" t="s">
        <v>142</v>
      </c>
      <c r="AK51" s="8" t="s">
        <v>142</v>
      </c>
      <c r="AL51" s="11">
        <v>0.0624</v>
      </c>
      <c r="AM51" s="8" t="s">
        <v>99</v>
      </c>
      <c r="AN51" s="13">
        <f t="shared" si="2"/>
        <v>0.09218161105</v>
      </c>
      <c r="AO51" s="8" t="s">
        <v>1028</v>
      </c>
      <c r="AP51" s="8" t="s">
        <v>1029</v>
      </c>
      <c r="AQ51" s="8" t="s">
        <v>132</v>
      </c>
      <c r="AR51" s="8" t="s">
        <v>132</v>
      </c>
      <c r="AS51" s="8" t="s">
        <v>145</v>
      </c>
      <c r="AT51" s="12" t="s">
        <v>1030</v>
      </c>
      <c r="AU51" s="8" t="s">
        <v>1031</v>
      </c>
      <c r="AV51" s="22" t="s">
        <v>1032</v>
      </c>
      <c r="AW51" s="15"/>
      <c r="AX51" s="9">
        <v>25000.0</v>
      </c>
      <c r="AY51" s="16" t="str">
        <f>IFERROR(__xludf.DUMMYFUNCTION("IF(ISBLANK(AV51), """", IF(REGEXMATCH(AV51, ""/file/d/""), ""https://lh3.googleusercontent.com/d/"" &amp; REGEXEXTRACT(AV51, ""/d/([a-zA-Z0-9_-]+)""), AV51))"),"https://lh3.googleusercontent.com/d/1BR1drbEjYZc1WEGMyPXpQXfmHowCj9IV")</f>
        <v>https://lh3.googleusercontent.com/d/1BR1drbEjYZc1WEGMyPXpQXfmHowCj9IV</v>
      </c>
      <c r="AZ51" s="13">
        <f t="shared" si="3"/>
        <v>0.1284470588</v>
      </c>
      <c r="BA51" s="17" t="str">
        <f t="shared" si="4"/>
        <v>Est. Tax-Adjusted Yield⁹</v>
      </c>
      <c r="BB51" s="17" t="str">
        <f t="shared" si="5"/>
        <v>Offering Documents Available By Request</v>
      </c>
      <c r="BC51" s="8" t="s">
        <v>1033</v>
      </c>
      <c r="BD51" s="8" t="s">
        <v>1034</v>
      </c>
      <c r="BE51" s="8" t="s">
        <v>197</v>
      </c>
      <c r="BF51" s="17" t="str">
        <f t="shared" si="15"/>
        <v>Learn More About Olympus Property</v>
      </c>
      <c r="BG51" s="17" t="str">
        <f t="shared" si="16"/>
        <v>Learn More About Multifamily Properties</v>
      </c>
      <c r="BH51" s="17">
        <f t="array" ref="BH51">IFERROR(XLOOKUP($B51, 'Sponsor Connection'!$A:$A, 'Sponsor Connection'!$B:$B), )</f>
        <v>1992</v>
      </c>
      <c r="BI51" s="17" t="str">
        <f t="array" ref="BI51">IFERROR(XLOOKUP($B51, 'Sponsor Connection'!$A:$A, 'Sponsor Connection'!$D:$D), )</f>
        <v>Olympus Property is a Fort Worth family-owned Class A multifamily owner-operator, founded in 1992, with a portfolio exceeding $9.2 billion and more than 35,000 units across 17 states, reaching exchangers through its affiliate WW Olympus Investment Company. Its markets two alignment-and-discipline features heavily: co-investment in every property and long-term fixed-rate debt, alongside a claim of never having missed an investor distribution. The Class A apartment specialization and operating control define a focused, multifamily-pure franchise.</v>
      </c>
      <c r="BJ51" s="18">
        <f t="array" ref="BJ51">IF($B51="", "", LET(aum, IFERROR(XLOOKUP($B51, 'Sponsor Connection'!$A:$A, 'Sponsor Connection'!$C:$C), ""), IF(OR(aum="", aum=0), "Not Reported", aum)))</f>
        <v>9200000000</v>
      </c>
      <c r="BK51" s="19">
        <f t="array" ref="BK51">IF(ISBLANK($B51), "", LET(val, IFERROR(XLOOKUP($B51, 'Sponsor Connection'!$A:$A, 'Sponsor Connection'!$M:$M), ""), IF(OR(ISBLANK(val), val="", val=0), "Not Reported", val)))</f>
        <v>54</v>
      </c>
      <c r="BL51" s="13">
        <f t="array" ref="BL51">IF(ISBLANK($B51), "", LET(val, IFERROR(XLOOKUP($B51, 'Sponsor Connection'!$A:$A, 'Sponsor Connection'!$N:$N), ""), IF(val="", "Not Reported", val)))</f>
        <v>0.2574740741</v>
      </c>
      <c r="BM51" s="20" t="str">
        <f t="array" ref="BM51">IF(ISBLANK($B51), "", LET(val, IFERROR(XLOOKUP($B51, 'Sponsor Connection'!$A:$A, 'Sponsor Connection'!$O:$O), ""), IF(val="", "Not Reported", val)))</f>
        <v>No Data</v>
      </c>
      <c r="BN51" s="21">
        <f t="array" ref="BN51">IF(ISBLANK($B51), "", LET(val, IFERROR(XLOOKUP($B51, 'Sponsor Connection'!$A:$A, 'Sponsor Connection'!$P:$P), ""), IF(val="", "Not Reported", val)))</f>
        <v>5.658518519</v>
      </c>
      <c r="BO51" s="13">
        <f t="array" ref="BO51">IF(ISBLANK($B51), "", LET(val, IFERROR(XLOOKUP($B51, 'Sponsor Connection'!$A:$A, 'Sponsor Connection'!$Q:$Q), ""), IF(val="", "Not Reported", val)))</f>
        <v>1</v>
      </c>
      <c r="BP51" s="16" t="str">
        <f t="array" ref="BP51">IFERROR(XLOOKUP($B51, 'Sponsor Connection'!$A:$A, 'Sponsor Connection'!$L:$L), )</f>
        <v>https://img.logo.dev/olympusproperty.com?token=pk_FIVsDKgZTvCedVXXtt2rEg&amp;size=200&amp;retina=true</v>
      </c>
      <c r="BQ51" s="13">
        <f t="shared" si="8"/>
        <v>0.0624</v>
      </c>
      <c r="BR51" s="13">
        <f>IFERROR(VLOOKUP(L51, Benchmarks!$A$2:$D$15, 2, FALSE), "Not Analyzed")</f>
        <v>0.050338</v>
      </c>
      <c r="BS51" s="17" t="str">
        <f t="shared" si="9"/>
        <v>Above Average</v>
      </c>
      <c r="BT51" s="13">
        <f t="shared" si="10"/>
        <v>0.1</v>
      </c>
      <c r="BU51" s="13">
        <f>IFERROR(VLOOKUP(L51, Benchmarks!$A$2:$D$15, 4, FALSE), "Not Analyzed")</f>
        <v>0.2473634914</v>
      </c>
      <c r="BV51" s="17" t="str">
        <f t="shared" si="11"/>
        <v>Below Average</v>
      </c>
      <c r="BW51" s="13">
        <f t="shared" si="12"/>
        <v>0.066</v>
      </c>
      <c r="BX51" s="13">
        <f>IFERROR(VLOOKUP(L51, Benchmarks!$A$2:$D$15, 3, FALSE), "Not Analyzed")</f>
        <v>0.05289545455</v>
      </c>
      <c r="BY51" s="17" t="str">
        <f t="shared" si="13"/>
        <v>Above Average</v>
      </c>
      <c r="BZ51" s="17" t="str">
        <f t="shared" si="17"/>
        <v>Investment: Olympus Tradewinds DST | Sponsor: Olympus Property | Structure: Delaware Statutory Trust (DST) | Status: Coming Soon / Under Review | LTV: 47.40% LTV | Availability: 1 | Location: TX | Strategy: Core-Plus | 721 Exchange Exit: Optional | Estimated Hold: 7 years | Cap Rate Equivalent: 0.0921816110457772 | Minimum Investment: 25000</v>
      </c>
      <c r="CA51" s="17" t="str">
        <f t="shared" ref="CA51:CA52" si="18">A51&amp;" ("&amp;H51&amp;")"&amp;CHAR(10)&amp;S51&amp;CHAR(10)&amp;CHAR(10)&amp;"&gt;&gt; Download Offering Documents"&amp;CHAR(10)&amp;"https://www.baker1031.com/sponsors/olympus-property"</f>
        <v>Olympus Tradewinds DST (47.40% LTV)
Tradewinds Apartments is a Class A multifamily community at 1808 S. Tradewinds Blvd., Midland, Texas, acquired by an Olympus Property affiliate for $34,250,000 and held in a Delaware Statutory Trust. The Trust financed the purchase with a $19,021,000 Fannie Mae loan through Berkadia at a fixed 4.95%, interest-only for the full seven-year term (maturing November 1, 2032). Under a master lease, the Trust targets distributions beginning at 6.00% and rising to 6.60% of invested equity over an approximately seven-year hold, with an optional Section 721 exchange into an affiliated Exchange Entity at disposition. Offered under Rule 506(c).
&gt;&gt; Download Offering Documents
https://www.baker1031.com/sponsors/olympus-property</v>
      </c>
    </row>
    <row r="52">
      <c r="A52" s="8" t="s">
        <v>1035</v>
      </c>
      <c r="B52" s="8" t="s">
        <v>1015</v>
      </c>
      <c r="C52" s="8" t="s">
        <v>81</v>
      </c>
      <c r="D52" s="8" t="s">
        <v>152</v>
      </c>
      <c r="E52" s="9">
        <v>8.356E7</v>
      </c>
      <c r="F52" s="9">
        <v>4.132E7</v>
      </c>
      <c r="G52" s="9">
        <v>4.224E7</v>
      </c>
      <c r="H52" s="8" t="s">
        <v>809</v>
      </c>
      <c r="I52" s="9">
        <v>4.132E7</v>
      </c>
      <c r="J52" s="10">
        <v>46194.0</v>
      </c>
      <c r="K52" s="11">
        <v>1.0</v>
      </c>
      <c r="L52" s="8" t="s">
        <v>176</v>
      </c>
      <c r="M52" s="8" t="s">
        <v>1017</v>
      </c>
      <c r="N52" s="12" t="s">
        <v>473</v>
      </c>
      <c r="O52" s="12" t="s">
        <v>1036</v>
      </c>
      <c r="P52" s="8" t="s">
        <v>113</v>
      </c>
      <c r="Q52" s="8" t="s">
        <v>88</v>
      </c>
      <c r="R52" s="8" t="s">
        <v>132</v>
      </c>
      <c r="S52" s="8" t="s">
        <v>1037</v>
      </c>
      <c r="T52" s="8" t="s">
        <v>1038</v>
      </c>
      <c r="U52" s="8" t="s">
        <v>1039</v>
      </c>
      <c r="V52" s="8" t="s">
        <v>1040</v>
      </c>
      <c r="W52" s="8" t="s">
        <v>1023</v>
      </c>
      <c r="X52" s="8" t="s">
        <v>1024</v>
      </c>
      <c r="Y52" s="8" t="s">
        <v>1041</v>
      </c>
      <c r="Z52" s="8" t="s">
        <v>1042</v>
      </c>
      <c r="AA52" s="8" t="s">
        <v>1043</v>
      </c>
      <c r="AB52" s="11">
        <v>0.0623</v>
      </c>
      <c r="AC52" s="11">
        <v>0.0655</v>
      </c>
      <c r="AD52" s="11">
        <v>0.0679</v>
      </c>
      <c r="AE52" s="11">
        <v>0.0701</v>
      </c>
      <c r="AF52" s="11">
        <v>0.073</v>
      </c>
      <c r="AG52" s="11">
        <v>0.0774</v>
      </c>
      <c r="AH52" s="11">
        <v>0.0824</v>
      </c>
      <c r="AI52" s="8" t="s">
        <v>142</v>
      </c>
      <c r="AJ52" s="8" t="s">
        <v>142</v>
      </c>
      <c r="AK52" s="8" t="s">
        <v>142</v>
      </c>
      <c r="AL52" s="11">
        <v>0.0712</v>
      </c>
      <c r="AM52" s="8" t="s">
        <v>99</v>
      </c>
      <c r="AN52" s="13">
        <f t="shared" si="2"/>
        <v>0.09376247317</v>
      </c>
      <c r="AO52" s="8" t="s">
        <v>1028</v>
      </c>
      <c r="AP52" s="8" t="s">
        <v>1044</v>
      </c>
      <c r="AQ52" s="8" t="s">
        <v>132</v>
      </c>
      <c r="AR52" s="8" t="s">
        <v>132</v>
      </c>
      <c r="AS52" s="8" t="s">
        <v>145</v>
      </c>
      <c r="AT52" s="12" t="s">
        <v>1045</v>
      </c>
      <c r="AU52" s="8" t="s">
        <v>1046</v>
      </c>
      <c r="AV52" s="22" t="s">
        <v>1047</v>
      </c>
      <c r="AW52" s="15"/>
      <c r="AX52" s="9">
        <v>25000.0</v>
      </c>
      <c r="AY52" s="16" t="str">
        <f>IFERROR(__xludf.DUMMYFUNCTION("IF(ISBLANK(AV52), """", IF(REGEXMATCH(AV52, ""/file/d/""), ""https://lh3.googleusercontent.com/d/"" &amp; REGEXEXTRACT(AV52, ""/d/([a-zA-Z0-9_-]+)""), AV52))"),"https://lh3.googleusercontent.com/d/1ZacX6uBpIdUQ-EaO6OBjB5tRKFkHTYGv")</f>
        <v>https://lh3.googleusercontent.com/d/1ZacX6uBpIdUQ-EaO6OBjB5tRKFkHTYGv</v>
      </c>
      <c r="AZ52" s="13">
        <f t="shared" si="3"/>
        <v>0.1307470588</v>
      </c>
      <c r="BA52" s="17" t="str">
        <f t="shared" si="4"/>
        <v>Est. Tax-Adjusted Yield⁹</v>
      </c>
      <c r="BB52" s="17" t="str">
        <f t="shared" si="5"/>
        <v>Offering Documents Available By Request</v>
      </c>
      <c r="BC52" s="8" t="s">
        <v>1048</v>
      </c>
      <c r="BD52" s="8" t="s">
        <v>1034</v>
      </c>
      <c r="BE52" s="8" t="s">
        <v>197</v>
      </c>
      <c r="BF52" s="17" t="str">
        <f t="shared" si="15"/>
        <v>Learn More About Olympus Property</v>
      </c>
      <c r="BG52" s="17" t="str">
        <f t="shared" si="16"/>
        <v>Learn More About Multifamily Properties</v>
      </c>
      <c r="BH52" s="17">
        <f t="array" ref="BH52">IFERROR(XLOOKUP($B52, 'Sponsor Connection'!$A:$A, 'Sponsor Connection'!$B:$B), )</f>
        <v>1992</v>
      </c>
      <c r="BI52" s="17" t="str">
        <f t="array" ref="BI52">IFERROR(XLOOKUP($B52, 'Sponsor Connection'!$A:$A, 'Sponsor Connection'!$D:$D), )</f>
        <v>Olympus Property is a Fort Worth family-owned Class A multifamily owner-operator, founded in 1992, with a portfolio exceeding $9.2 billion and more than 35,000 units across 17 states, reaching exchangers through its affiliate WW Olympus Investment Company. Its markets two alignment-and-discipline features heavily: co-investment in every property and long-term fixed-rate debt, alongside a claim of never having missed an investor distribution. The Class A apartment specialization and operating control define a focused, multifamily-pure franchise.</v>
      </c>
      <c r="BJ52" s="18">
        <f t="array" ref="BJ52">IF($B52="", "", LET(aum, IFERROR(XLOOKUP($B52, 'Sponsor Connection'!$A:$A, 'Sponsor Connection'!$C:$C), ""), IF(OR(aum="", aum=0), "Not Reported", aum)))</f>
        <v>9200000000</v>
      </c>
      <c r="BK52" s="19">
        <f t="array" ref="BK52">IF(ISBLANK($B52), "", LET(val, IFERROR(XLOOKUP($B52, 'Sponsor Connection'!$A:$A, 'Sponsor Connection'!$M:$M), ""), IF(OR(ISBLANK(val), val="", val=0), "Not Reported", val)))</f>
        <v>54</v>
      </c>
      <c r="BL52" s="13">
        <f t="array" ref="BL52">IF(ISBLANK($B52), "", LET(val, IFERROR(XLOOKUP($B52, 'Sponsor Connection'!$A:$A, 'Sponsor Connection'!$N:$N), ""), IF(val="", "Not Reported", val)))</f>
        <v>0.2574740741</v>
      </c>
      <c r="BM52" s="20" t="str">
        <f t="array" ref="BM52">IF(ISBLANK($B52), "", LET(val, IFERROR(XLOOKUP($B52, 'Sponsor Connection'!$A:$A, 'Sponsor Connection'!$O:$O), ""), IF(val="", "Not Reported", val)))</f>
        <v>No Data</v>
      </c>
      <c r="BN52" s="21">
        <f t="array" ref="BN52">IF(ISBLANK($B52), "", LET(val, IFERROR(XLOOKUP($B52, 'Sponsor Connection'!$A:$A, 'Sponsor Connection'!$P:$P), ""), IF(val="", "Not Reported", val)))</f>
        <v>5.658518519</v>
      </c>
      <c r="BO52" s="13">
        <f t="array" ref="BO52">IF(ISBLANK($B52), "", LET(val, IFERROR(XLOOKUP($B52, 'Sponsor Connection'!$A:$A, 'Sponsor Connection'!$Q:$Q), ""), IF(val="", "Not Reported", val)))</f>
        <v>1</v>
      </c>
      <c r="BP52" s="16" t="str">
        <f t="array" ref="BP52">IFERROR(XLOOKUP($B52, 'Sponsor Connection'!$A:$A, 'Sponsor Connection'!$L:$L), )</f>
        <v>https://img.logo.dev/olympusproperty.com?token=pk_FIVsDKgZTvCedVXXtt2rEg&amp;size=200&amp;retina=true</v>
      </c>
      <c r="BQ52" s="13">
        <f t="shared" si="8"/>
        <v>0.0712</v>
      </c>
      <c r="BR52" s="13">
        <f>IFERROR(VLOOKUP(L52, Benchmarks!$A$2:$D$15, 2, FALSE), "Not Analyzed")</f>
        <v>0.050338</v>
      </c>
      <c r="BS52" s="17" t="str">
        <f t="shared" si="9"/>
        <v>Above Average</v>
      </c>
      <c r="BT52" s="13">
        <f t="shared" si="10"/>
        <v>0.3226324238</v>
      </c>
      <c r="BU52" s="13">
        <f>IFERROR(VLOOKUP(L52, Benchmarks!$A$2:$D$15, 4, FALSE), "Not Analyzed")</f>
        <v>0.2473634914</v>
      </c>
      <c r="BV52" s="17" t="str">
        <f t="shared" si="11"/>
        <v>Above Average</v>
      </c>
      <c r="BW52" s="13">
        <f t="shared" si="12"/>
        <v>0.0824</v>
      </c>
      <c r="BX52" s="13">
        <f>IFERROR(VLOOKUP(L52, Benchmarks!$A$2:$D$15, 3, FALSE), "Not Analyzed")</f>
        <v>0.05289545455</v>
      </c>
      <c r="BY52" s="17" t="str">
        <f t="shared" si="13"/>
        <v>Above Average</v>
      </c>
      <c r="BZ52" s="17" t="str">
        <f t="shared" si="17"/>
        <v>Investment: Olympus Coronado DST | Sponsor: Olympus Property | Structure: Delaware Statutory Trust (DST) | Status: Coming Soon / Under Review | LTV: 50.55% LTV | Availability: 1 | Location: TX | Strategy: Core-Plus | 721 Exchange Exit: Optional | Estimated Hold: 7 years | Cap Rate Equivalent: 0.0937624731722371 | Minimum Investment: 25000</v>
      </c>
      <c r="CA52" s="17" t="str">
        <f t="shared" si="18"/>
        <v>Olympus Coronado DST (50.55% LTV)
Coronado on Briarwood is a Class A multifamily community at 6000 Briarwood Ave, Midland, Texas, acquired by an Olympus Property affiliate for $76,000,000 and held in a Delaware Statutory Trust. The Trust financed the purchase with a $42,240,000 Fannie Mae loan through Berkadia at a fixed 5.05%, interest-only for the full seven-year term (maturing December 1, 2032). Under a master lease, the Trust targets distributions beginning at 6.23% and rising to 8.24% of invested equity over an approximately seven-year hold, with an optional Section 721 exchange into an affiliated Exchange Entity at disposition. Offered under Rule 506(c).
&gt;&gt; Download Offering Documents
https://www.baker1031.com/sponsors/olympus-property</v>
      </c>
    </row>
    <row r="53">
      <c r="A53" s="8" t="s">
        <v>1049</v>
      </c>
      <c r="B53" s="8" t="s">
        <v>173</v>
      </c>
      <c r="C53" s="8" t="s">
        <v>81</v>
      </c>
      <c r="D53" s="8" t="s">
        <v>82</v>
      </c>
      <c r="E53" s="9">
        <v>5.8423431E7</v>
      </c>
      <c r="F53" s="9">
        <v>5.8423431E7</v>
      </c>
      <c r="G53" s="9">
        <v>0.0</v>
      </c>
      <c r="H53" s="8" t="s">
        <v>83</v>
      </c>
      <c r="I53" s="9">
        <v>5.8423431E7</v>
      </c>
      <c r="J53" s="10">
        <v>46197.0</v>
      </c>
      <c r="K53" s="11">
        <f t="shared" ref="K53:K54" si="19">(I53/F53)</f>
        <v>1</v>
      </c>
      <c r="L53" s="8" t="s">
        <v>153</v>
      </c>
      <c r="M53" s="8" t="s">
        <v>1050</v>
      </c>
      <c r="N53" s="12" t="str">
        <f>IFERROR(__xludf.DUMMYFUNCTION("TEXTJOIN("", "", TRUE, SORT(TRANSPOSE(SPLIT(M53, "", ""))))"),"FL, IL, MO")</f>
        <v>FL, IL, MO</v>
      </c>
      <c r="O53" s="12" t="s">
        <v>1051</v>
      </c>
      <c r="P53" s="8" t="s">
        <v>113</v>
      </c>
      <c r="Q53" s="8" t="s">
        <v>88</v>
      </c>
      <c r="R53" s="8" t="s">
        <v>180</v>
      </c>
      <c r="S53" s="8" t="s">
        <v>1052</v>
      </c>
      <c r="T53" s="8" t="s">
        <v>1053</v>
      </c>
      <c r="U53" s="8" t="s">
        <v>1054</v>
      </c>
      <c r="V53" s="8" t="s">
        <v>1055</v>
      </c>
      <c r="W53" s="8" t="s">
        <v>1056</v>
      </c>
      <c r="X53" s="8" t="s">
        <v>1057</v>
      </c>
      <c r="Y53" s="8" t="s">
        <v>1058</v>
      </c>
      <c r="Z53" s="8" t="s">
        <v>1059</v>
      </c>
      <c r="AA53" s="8" t="s">
        <v>1060</v>
      </c>
      <c r="AB53" s="11">
        <v>0.0486</v>
      </c>
      <c r="AC53" s="11">
        <v>0.0482</v>
      </c>
      <c r="AD53" s="11">
        <v>0.0494</v>
      </c>
      <c r="AE53" s="11">
        <v>0.0506</v>
      </c>
      <c r="AF53" s="11">
        <v>0.0523</v>
      </c>
      <c r="AG53" s="11">
        <v>0.0537</v>
      </c>
      <c r="AH53" s="11">
        <v>0.0551</v>
      </c>
      <c r="AI53" s="11">
        <v>0.0565</v>
      </c>
      <c r="AJ53" s="11">
        <v>0.0581</v>
      </c>
      <c r="AK53" s="11">
        <v>0.0596</v>
      </c>
      <c r="AL53" s="11">
        <v>0.05321</v>
      </c>
      <c r="AM53" s="11">
        <v>0.06688</v>
      </c>
      <c r="AN53" s="13">
        <f t="shared" si="2"/>
        <v>0.074572</v>
      </c>
      <c r="AO53" s="8" t="s">
        <v>100</v>
      </c>
      <c r="AP53" s="8" t="s">
        <v>101</v>
      </c>
      <c r="AQ53" s="8" t="s">
        <v>101</v>
      </c>
      <c r="AR53" s="8" t="s">
        <v>101</v>
      </c>
      <c r="AS53" s="8" t="s">
        <v>101</v>
      </c>
      <c r="AT53" s="12" t="s">
        <v>102</v>
      </c>
      <c r="AU53" s="8" t="s">
        <v>1061</v>
      </c>
      <c r="AV53" s="14" t="s">
        <v>1062</v>
      </c>
      <c r="AW53" s="15"/>
      <c r="AX53" s="9">
        <v>100000.0</v>
      </c>
      <c r="AY53" s="16" t="str">
        <f>IFERROR(__xludf.DUMMYFUNCTION("IF(ISBLANK(AV53), """", IF(REGEXMATCH(AV53, ""/file/d/""), ""https://lh3.googleusercontent.com/d/"" &amp; REGEXEXTRACT(AV53, ""/d/([a-zA-Z0-9_-]+)""), AV53))"),"https://lh3.googleusercontent.com/d/1Z0F6nQ1jT-K7wCiqXGkL_SolWCyHApRw")</f>
        <v>https://lh3.googleusercontent.com/d/1Z0F6nQ1jT-K7wCiqXGkL_SolWCyHApRw</v>
      </c>
      <c r="AZ53" s="13">
        <f t="shared" si="3"/>
        <v>0.06688</v>
      </c>
      <c r="BA53" s="17" t="str">
        <f t="shared" si="4"/>
        <v>Tax-Adjusted Yield</v>
      </c>
      <c r="BB53" s="17" t="str">
        <f t="shared" si="5"/>
        <v>Offering Documents Available By Request</v>
      </c>
      <c r="BC53" s="8" t="s">
        <v>1063</v>
      </c>
      <c r="BD53" s="8" t="s">
        <v>196</v>
      </c>
      <c r="BE53" s="8" t="s">
        <v>171</v>
      </c>
      <c r="BF53" s="17" t="str">
        <f t="shared" si="15"/>
        <v>Learn More About Bluerock</v>
      </c>
      <c r="BG53" s="17" t="str">
        <f t="shared" si="16"/>
        <v>Learn More About Industrial Properties</v>
      </c>
      <c r="BH53" s="17">
        <f t="array" ref="BH53">IFERROR(XLOOKUP($B53, 'Sponsor Connection'!$A:$A, 'Sponsor Connection'!$B:$B), )</f>
        <v>2002</v>
      </c>
      <c r="BI53" s="17" t="str">
        <f t="array" ref="BI53">IFERROR(XLOOKUP($B53, 'Sponsor Connection'!$A:$A, 'Sponsor Connection'!$D:$D), )</f>
        <v>Bluerock has sponsored syndicated 1031 exchanges for more than eighteen years, and its Bluerock Value Exchange (BVEX) arm packages multifamily, industrial and other core sectors into what it markets as 'Premier Exchange Properties.' Backed by a broader Bluerock platform of roughly $19 billion that also spans interval funds, the firm pairs institutional acquisition capability with a long DST track record across multiple cycles. Its national footprint and sector breadth position it as a diversified mid-to-large sponsor rather than a single-asset specialist.</v>
      </c>
      <c r="BJ53" s="18">
        <f t="array" ref="BJ53">IF($B53="", "", LET(aum, IFERROR(XLOOKUP($B53, 'Sponsor Connection'!$A:$A, 'Sponsor Connection'!$C:$C), ""), IF(OR(aum="", aum=0), "Not Reported", aum)))</f>
        <v>19000000000</v>
      </c>
      <c r="BK53" s="19">
        <f t="array" ref="BK53">IF(ISBLANK($B53), "", LET(val, IFERROR(XLOOKUP($B53, 'Sponsor Connection'!$A:$A, 'Sponsor Connection'!$M:$M), ""), IF(OR(ISBLANK(val), val="", val=0), "Not Reported", val)))</f>
        <v>97</v>
      </c>
      <c r="BL53" s="13">
        <f t="array" ref="BL53">IF(ISBLANK($B53), "", LET(val, IFERROR(XLOOKUP($B53, 'Sponsor Connection'!$A:$A, 'Sponsor Connection'!$N:$N), ""), IF(val="", "Not Reported", val)))</f>
        <v>0.2138783505</v>
      </c>
      <c r="BM53" s="20">
        <f t="array" ref="BM53">IF(ISBLANK($B53), "", LET(val, IFERROR(XLOOKUP($B53, 'Sponsor Connection'!$A:$A, 'Sponsor Connection'!$O:$O), ""), IF(val="", "Not Reported", val)))</f>
        <v>1.773608247</v>
      </c>
      <c r="BN53" s="21">
        <f t="array" ref="BN53">IF(ISBLANK($B53), "", LET(val, IFERROR(XLOOKUP($B53, 'Sponsor Connection'!$A:$A, 'Sponsor Connection'!$P:$P), ""), IF(val="", "Not Reported", val)))</f>
        <v>4.004123711</v>
      </c>
      <c r="BO53" s="13">
        <f t="array" ref="BO53">IF(ISBLANK($B53), "", LET(val, IFERROR(XLOOKUP($B53, 'Sponsor Connection'!$A:$A, 'Sponsor Connection'!$Q:$Q), ""), IF(val="", "Not Reported", val)))</f>
        <v>0.9381443299</v>
      </c>
      <c r="BP53" s="16" t="str">
        <f t="array" ref="BP53">IFERROR(XLOOKUP($B53, 'Sponsor Connection'!$A:$A, 'Sponsor Connection'!$L:$L), )</f>
        <v>https://img.logo.dev/bluerockexchange.com?token=pk_FIVsDKgZTvCedVXXtt2rEg&amp;size=200&amp;retina=true</v>
      </c>
      <c r="BQ53" s="13">
        <f t="shared" si="8"/>
        <v>0.05321</v>
      </c>
      <c r="BR53" s="13">
        <f>IFERROR(VLOOKUP(L53, Benchmarks!$A$2:$D$15, 2, FALSE), "Not Analyzed")</f>
        <v>0</v>
      </c>
      <c r="BS53" s="17" t="str">
        <f t="shared" si="9"/>
        <v>Above Average</v>
      </c>
      <c r="BT53" s="13">
        <f t="shared" si="10"/>
        <v>0.2263374486</v>
      </c>
      <c r="BU53" s="13">
        <f>IFERROR(VLOOKUP(L53, Benchmarks!$A$2:$D$15, 4, FALSE), "Not Analyzed")</f>
        <v>0.1441469396</v>
      </c>
      <c r="BV53" s="17" t="str">
        <f t="shared" si="11"/>
        <v>Above Average</v>
      </c>
      <c r="BW53" s="13">
        <f t="shared" si="12"/>
        <v>0.0596</v>
      </c>
      <c r="BX53" s="13">
        <f>IFERROR(VLOOKUP(L53, Benchmarks!$A$2:$D$15, 3, FALSE), "Not Analyzed")</f>
        <v>0.05854</v>
      </c>
      <c r="BY53" s="17" t="str">
        <f t="shared" si="13"/>
        <v>Meets Average</v>
      </c>
      <c r="BZ53" s="17" t="str">
        <f t="shared" si="17"/>
        <v>Investment: BR Diversified Industrial Portfolio 8, DST | Sponsor: Bluerock | Structure: Delaware Statutory Trust (DST) | Status: Available | LTV: 0.00% LTV | Availability: 1 | Location: FL, IL, MO | Strategy: Core-Plus | 721 Exchange Exit: Optional | Estimated Hold: 7-10 years | Cap Rate Equivalent: 0.074572 | Minimum Investment: 100000</v>
      </c>
      <c r="CA53" s="17" t="str">
        <f>A53&amp;" ("&amp;H53&amp;")"&amp;CHAR(10)&amp;CHAR(10)&amp;"BR Diversified Industrial Portfolio 8 is a debt-free DST holding five single-tenant industrial properties totaling approximately 463,806 SF across Florida, Illinois, and Missouri. The 100%-leased portfolio has a weighted-average lease term of nearly 13 ye"&amp;"ars, annual rent escalations averaging more than 2.5%, and in-place rents approximately 20% below submarket levels. The thesis combines diversified net-lease income, industrial-outdoor-storage exposure, and embedded rent-growth potential, with a sponsor-c"&amp;"ontrolled FMV option that may result in cash or a Section 721 exchange into affiliated operating-partnership units."&amp;CHAR(10)&amp;CHAR(10)&amp;"&gt;&gt; Download Offering Documents"&amp;CHAR(10)&amp;"https://www.baker1031.com/sponsors/bluerock"</f>
        <v>BR Diversified Industrial Portfolio 8, DST (0.00% LTV)
BR Diversified Industrial Portfolio 8 is a debt-free DST holding five single-tenant industrial properties totaling approximately 463,806 SF across Florida, Illinois, and Missouri. The 100%-leased portfolio has a weighted-average lease term of nearly 13 years, annual rent escalations averaging more than 2.5%, and in-place rents approximately 20% below submarket levels. The thesis combines diversified net-lease income, industrial-outdoor-storage exposure, and embedded rent-growth potential, with a sponsor-controlled FMV option that may result in cash or a Section 721 exchange into affiliated operating-partnership units.
&gt;&gt; Download Offering Documents
https://www.baker1031.com/sponsors/bluerock</v>
      </c>
    </row>
    <row r="54">
      <c r="A54" s="8" t="s">
        <v>1064</v>
      </c>
      <c r="B54" s="8" t="s">
        <v>609</v>
      </c>
      <c r="C54" s="8" t="s">
        <v>81</v>
      </c>
      <c r="D54" s="8" t="s">
        <v>82</v>
      </c>
      <c r="E54" s="9">
        <v>1.06925E8</v>
      </c>
      <c r="F54" s="9">
        <v>5.8575E7</v>
      </c>
      <c r="G54" s="9">
        <v>4.835E7</v>
      </c>
      <c r="H54" s="8" t="s">
        <v>1065</v>
      </c>
      <c r="I54" s="9">
        <v>5.8575E7</v>
      </c>
      <c r="J54" s="10">
        <v>46197.0</v>
      </c>
      <c r="K54" s="11">
        <f t="shared" si="19"/>
        <v>1</v>
      </c>
      <c r="L54" s="8" t="s">
        <v>176</v>
      </c>
      <c r="M54" s="8" t="s">
        <v>935</v>
      </c>
      <c r="N54" s="12" t="str">
        <f>IFERROR(__xludf.DUMMYFUNCTION("TEXTJOIN("", "", TRUE, SORT(TRANSPOSE(SPLIT(M54, "", ""))))"),"VA")</f>
        <v>VA</v>
      </c>
      <c r="O54" s="12" t="s">
        <v>1066</v>
      </c>
      <c r="P54" s="8" t="s">
        <v>113</v>
      </c>
      <c r="Q54" s="8" t="s">
        <v>88</v>
      </c>
      <c r="R54" s="8" t="s">
        <v>89</v>
      </c>
      <c r="S54" s="8" t="s">
        <v>1067</v>
      </c>
      <c r="T54" s="8" t="s">
        <v>1068</v>
      </c>
      <c r="U54" s="8" t="s">
        <v>1069</v>
      </c>
      <c r="V54" s="8" t="s">
        <v>1070</v>
      </c>
      <c r="W54" s="8" t="s">
        <v>1071</v>
      </c>
      <c r="X54" s="8" t="s">
        <v>1072</v>
      </c>
      <c r="Y54" s="8" t="s">
        <v>1073</v>
      </c>
      <c r="Z54" s="8" t="s">
        <v>1074</v>
      </c>
      <c r="AA54" s="8" t="s">
        <v>1075</v>
      </c>
      <c r="AB54" s="11">
        <v>0.0435</v>
      </c>
      <c r="AC54" s="11">
        <v>0.0444</v>
      </c>
      <c r="AD54" s="11">
        <v>0.044</v>
      </c>
      <c r="AE54" s="11">
        <v>0.0449</v>
      </c>
      <c r="AF54" s="11">
        <v>0.045</v>
      </c>
      <c r="AG54" s="11">
        <v>0.046</v>
      </c>
      <c r="AH54" s="11">
        <v>0.047</v>
      </c>
      <c r="AI54" s="11">
        <v>0.0405</v>
      </c>
      <c r="AJ54" s="11">
        <v>0.0419</v>
      </c>
      <c r="AK54" s="11">
        <v>0.0431</v>
      </c>
      <c r="AL54" s="11">
        <v>0.04403</v>
      </c>
      <c r="AM54" s="8" t="s">
        <v>501</v>
      </c>
      <c r="AN54" s="13">
        <f t="shared" si="2"/>
        <v>0.08253780742</v>
      </c>
      <c r="AO54" s="8" t="s">
        <v>1076</v>
      </c>
      <c r="AP54" s="8" t="s">
        <v>1077</v>
      </c>
      <c r="AQ54" s="8" t="s">
        <v>89</v>
      </c>
      <c r="AR54" s="8" t="s">
        <v>132</v>
      </c>
      <c r="AS54" s="8" t="s">
        <v>360</v>
      </c>
      <c r="AT54" s="12" t="s">
        <v>361</v>
      </c>
      <c r="AU54" s="8" t="s">
        <v>1078</v>
      </c>
      <c r="AV54" s="14" t="s">
        <v>1079</v>
      </c>
      <c r="AW54" s="15"/>
      <c r="AX54" s="9">
        <v>25000.0</v>
      </c>
      <c r="AY54" s="16" t="str">
        <f>IFERROR(__xludf.DUMMYFUNCTION("IF(ISBLANK(AV54), """", IF(REGEXMATCH(AV54, ""/file/d/""), ""https://lh3.googleusercontent.com/d/"" &amp; REGEXEXTRACT(AV54, ""/d/([a-zA-Z0-9_-]+)""), AV54))"),"https://lh3.googleusercontent.com/d/1S41XEQMoIj914NT7dgWiHe7K9AzFTOb1")</f>
        <v>https://lh3.googleusercontent.com/d/1S41XEQMoIj914NT7dgWiHe7K9AzFTOb1</v>
      </c>
      <c r="AZ54" s="13">
        <f t="shared" si="3"/>
        <v>0.1119470588</v>
      </c>
      <c r="BA54" s="17" t="str">
        <f t="shared" si="4"/>
        <v>Est. Tax-Adjusted Yield⁹</v>
      </c>
      <c r="BB54" s="17" t="str">
        <f t="shared" si="5"/>
        <v>Offering Documents Available By Request</v>
      </c>
      <c r="BC54" s="8" t="s">
        <v>1080</v>
      </c>
      <c r="BD54" s="8" t="s">
        <v>626</v>
      </c>
      <c r="BE54" s="8" t="s">
        <v>197</v>
      </c>
      <c r="BF54" s="17" t="str">
        <f t="shared" si="15"/>
        <v>Learn More About Passco</v>
      </c>
      <c r="BG54" s="17" t="str">
        <f t="shared" si="16"/>
        <v>Learn More About Multifamily Properties</v>
      </c>
      <c r="BH54" s="17">
        <f t="array" ref="BH54">IFERROR(XLOOKUP($B54, 'Sponsor Connection'!$A:$A, 'Sponsor Connection'!$B:$B), )</f>
        <v>1998</v>
      </c>
      <c r="BI54" s="17" t="str">
        <f t="array" ref="BI54">IFERROR(XLOOKUP($B54, 'Sponsor Connection'!$A:$A, 'Sponsor Connection'!$D:$D), )</f>
        <v>Passco Companies is an Irvine multifamily and commercial sponsor, founded in 1998, whose founder Bill Passo helped pioneer the modern tenant-in-common 1031 structure that preceded the DST—giving the firm genuine standing in the history of securitized exchanges. With $4.1 billion in AUM as of late 2025 and more than $8 billion in lifetime acquisitions across multiple cycles, Passco concentrates on Class A multifamily in Southeastern and secondary/tertiary markets, owning or managing some 30,000 units. Its structural heritage and through-cycle acquisition record make it a seasoned, large-scale name in the category.</v>
      </c>
      <c r="BJ54" s="18">
        <f t="array" ref="BJ54">IF($B54="", "", LET(aum, IFERROR(XLOOKUP($B54, 'Sponsor Connection'!$A:$A, 'Sponsor Connection'!$C:$C), ""), IF(OR(aum="", aum=0), "Not Reported", aum)))</f>
        <v>4100000000</v>
      </c>
      <c r="BK54" s="19">
        <f t="array" ref="BK54">IF(ISBLANK($B54), "", LET(val, IFERROR(XLOOKUP($B54, 'Sponsor Connection'!$A:$A, 'Sponsor Connection'!$M:$M), ""), IF(OR(ISBLANK(val), val="", val=0), "Not Reported", val)))</f>
        <v>34</v>
      </c>
      <c r="BL54" s="13">
        <f t="array" ref="BL54">IF(ISBLANK($B54), "", LET(val, IFERROR(XLOOKUP($B54, 'Sponsor Connection'!$A:$A, 'Sponsor Connection'!$N:$N), ""), IF(val="", "Not Reported", val)))</f>
        <v>0.1233264706</v>
      </c>
      <c r="BM54" s="20">
        <f t="array" ref="BM54">IF(ISBLANK($B54), "", LET(val, IFERROR(XLOOKUP($B54, 'Sponsor Connection'!$A:$A, 'Sponsor Connection'!$O:$O), ""), IF(val="", "Not Reported", val)))</f>
        <v>1.915294118</v>
      </c>
      <c r="BN54" s="21">
        <f t="array" ref="BN54">IF(ISBLANK($B54), "", LET(val, IFERROR(XLOOKUP($B54, 'Sponsor Connection'!$A:$A, 'Sponsor Connection'!$P:$P), ""), IF(val="", "Not Reported", val)))</f>
        <v>5.676470588</v>
      </c>
      <c r="BO54" s="13">
        <f t="array" ref="BO54">IF(ISBLANK($B54), "", LET(val, IFERROR(XLOOKUP($B54, 'Sponsor Connection'!$A:$A, 'Sponsor Connection'!$Q:$Q), ""), IF(val="", "Not Reported", val)))</f>
        <v>1</v>
      </c>
      <c r="BP54" s="16" t="str">
        <f t="array" ref="BP54">IFERROR(XLOOKUP($B54, 'Sponsor Connection'!$A:$A, 'Sponsor Connection'!$L:$L), )</f>
        <v>https://img.logo.dev/passco.com?token=pk_FIVsDKgZTvCedVXXtt2rEg&amp;size=200&amp;retina=true</v>
      </c>
      <c r="BQ54" s="13">
        <f t="shared" si="8"/>
        <v>0.04403</v>
      </c>
      <c r="BR54" s="13">
        <f>IFERROR(VLOOKUP(L54, Benchmarks!$A$2:$D$15, 2, FALSE), "Not Analyzed")</f>
        <v>0.050338</v>
      </c>
      <c r="BS54" s="17" t="str">
        <f t="shared" si="9"/>
        <v>Below Average</v>
      </c>
      <c r="BT54" s="13">
        <f t="shared" si="10"/>
        <v>0.08045977011</v>
      </c>
      <c r="BU54" s="13">
        <f>IFERROR(VLOOKUP(L54, Benchmarks!$A$2:$D$15, 4, FALSE), "Not Analyzed")</f>
        <v>0.2473634914</v>
      </c>
      <c r="BV54" s="17" t="str">
        <f t="shared" si="11"/>
        <v>Below Average</v>
      </c>
      <c r="BW54" s="13">
        <f t="shared" si="12"/>
        <v>0.047</v>
      </c>
      <c r="BX54" s="13">
        <f>IFERROR(VLOOKUP(L54, Benchmarks!$A$2:$D$15, 3, FALSE), "Not Analyzed")</f>
        <v>0.05289545455</v>
      </c>
      <c r="BY54" s="17" t="str">
        <f t="shared" si="13"/>
        <v>Below Average</v>
      </c>
      <c r="BZ54" s="17" t="str">
        <f t="shared" si="17"/>
        <v>Investment: Passco Allure DST | Sponsor: Passco | Structure: Delaware Statutory Trust (DST) | Status: Available | LTV: 45.22% LTV | Availability: 1 | Location: VA | Strategy: Core-Plus | 721 Exchange Exit: Optional | Estimated Hold: 10 years | Cap Rate Equivalent: 0.0825378074154018 | Minimum Investment: 25000</v>
      </c>
      <c r="CA54" s="17" t="str">
        <f>A54&amp;" ("&amp;H54&amp;")"&amp;CHAR(10)&amp;CHAR(10)&amp;"Passco Allure DST owns Allure at Edinburgh, a 280-unit luxury multifamily community completed in 2024/2025 at 249 Allure Lane in Chesapeake, Virginia. The property was 98.57% occupied as of April 27, 2026 and is financed with a $48.35 million KeyBank/Fann"&amp;"ie Mae loan at 4.98% fixed, interest-only for seven years before 30-year amortization. The business plan targets rent growth, ancillary income, resident retention, and amenity enhancements over an approximately 10-year hold, with an optional FMV exit for "&amp;"cash or affiliated exchange-entity units."&amp;CHAR(10)&amp;CHAR(10)&amp;"&gt;&gt; Download Offering Documents"&amp;CHAR(10)&amp;"https://www.baker1031.com/sponsors/passco"</f>
        <v>Passco Allure DST (45.22% LTV)
Passco Allure DST owns Allure at Edinburgh, a 280-unit luxury multifamily community completed in 2024/2025 at 249 Allure Lane in Chesapeake, Virginia. The property was 98.57% occupied as of April 27, 2026 and is financed with a $48.35 million KeyBank/Fannie Mae loan at 4.98% fixed, interest-only for seven years before 30-year amortization. The business plan targets rent growth, ancillary income, resident retention, and amenity enhancements over an approximately 10-year hold, with an optional FMV exit for cash or affiliated exchange-entity units.
&gt;&gt; Download Offering Documents
https://www.baker1031.com/sponsors/passco</v>
      </c>
    </row>
    <row r="55">
      <c r="A55" s="8" t="s">
        <v>1081</v>
      </c>
      <c r="B55" s="8" t="s">
        <v>1082</v>
      </c>
      <c r="C55" s="8" t="s">
        <v>1083</v>
      </c>
      <c r="D55" s="8" t="s">
        <v>82</v>
      </c>
      <c r="E55" s="9">
        <v>1.0E8</v>
      </c>
      <c r="F55" s="9">
        <v>1.0E8</v>
      </c>
      <c r="G55" s="9" t="s">
        <v>1084</v>
      </c>
      <c r="H55" s="8" t="s">
        <v>1085</v>
      </c>
      <c r="I55" s="9">
        <v>1.0E8</v>
      </c>
      <c r="J55" s="10">
        <v>46200.0</v>
      </c>
      <c r="K55" s="11">
        <v>1.0</v>
      </c>
      <c r="L55" s="8" t="s">
        <v>176</v>
      </c>
      <c r="M55" s="8" t="s">
        <v>1086</v>
      </c>
      <c r="N55" s="12" t="s">
        <v>328</v>
      </c>
      <c r="O55" s="12" t="s">
        <v>876</v>
      </c>
      <c r="P55" s="8" t="s">
        <v>257</v>
      </c>
      <c r="Q55" s="8" t="s">
        <v>258</v>
      </c>
      <c r="R55" s="8" t="s">
        <v>89</v>
      </c>
      <c r="S55" s="8" t="s">
        <v>1087</v>
      </c>
      <c r="T55" s="8" t="s">
        <v>1088</v>
      </c>
      <c r="U55" s="8" t="s">
        <v>1089</v>
      </c>
      <c r="V55" s="8" t="s">
        <v>1090</v>
      </c>
      <c r="W55" s="8" t="s">
        <v>1091</v>
      </c>
      <c r="X55" s="8" t="s">
        <v>1092</v>
      </c>
      <c r="Y55" s="8" t="s">
        <v>1093</v>
      </c>
      <c r="Z55" s="8" t="s">
        <v>1094</v>
      </c>
      <c r="AA55" s="8" t="s">
        <v>1095</v>
      </c>
      <c r="AB55" s="11"/>
      <c r="AC55" s="11"/>
      <c r="AD55" s="11"/>
      <c r="AE55" s="11"/>
      <c r="AF55" s="11"/>
      <c r="AG55" s="11"/>
      <c r="AH55" s="11"/>
      <c r="AI55" s="11"/>
      <c r="AJ55" s="11"/>
      <c r="AK55" s="11"/>
      <c r="AL55" s="11"/>
      <c r="AM55" s="8" t="s">
        <v>501</v>
      </c>
      <c r="AN55" s="13" t="str">
        <f t="shared" si="2"/>
        <v>N/A</v>
      </c>
      <c r="AO55" s="8" t="s">
        <v>1096</v>
      </c>
      <c r="AP55" s="8" t="s">
        <v>504</v>
      </c>
      <c r="AQ55" s="8" t="s">
        <v>504</v>
      </c>
      <c r="AR55" s="8" t="s">
        <v>504</v>
      </c>
      <c r="AS55" s="8" t="s">
        <v>504</v>
      </c>
      <c r="AT55" s="12" t="s">
        <v>504</v>
      </c>
      <c r="AU55" s="8" t="s">
        <v>1097</v>
      </c>
      <c r="AV55" s="14" t="s">
        <v>1098</v>
      </c>
      <c r="AW55" s="15"/>
      <c r="AX55" s="9">
        <v>100000.0</v>
      </c>
      <c r="AY55" s="16" t="str">
        <f>IFERROR(__xludf.DUMMYFUNCTION("IF(ISBLANK(AV55), """", IF(REGEXMATCH(AV55, ""/file/d/""), ""https://lh3.googleusercontent.com/d/"" &amp; REGEXEXTRACT(AV55, ""/d/([a-zA-Z0-9_-]+)""), AV55))"),"https://lh3.googleusercontent.com/d/1e-UDVp0Fx6J11zUBJxqzw93FORxoTmOk")</f>
        <v>https://lh3.googleusercontent.com/d/1e-UDVp0Fx6J11zUBJxqzw93FORxoTmOk</v>
      </c>
      <c r="AZ55" s="13">
        <f t="shared" si="3"/>
        <v>0.06844705882</v>
      </c>
      <c r="BA55" s="17" t="str">
        <f t="shared" si="4"/>
        <v>Est. Tax-Adjusted Yield⁹</v>
      </c>
      <c r="BB55" s="17" t="str">
        <f t="shared" si="5"/>
        <v>Offering Documents Available By Request</v>
      </c>
      <c r="BC55" s="8" t="s">
        <v>1099</v>
      </c>
      <c r="BD55" s="8" t="s">
        <v>1100</v>
      </c>
      <c r="BE55" s="8" t="s">
        <v>197</v>
      </c>
      <c r="BF55" s="17" t="str">
        <f t="shared" si="15"/>
        <v>Learn More About Trilogy Real Estate Group</v>
      </c>
      <c r="BG55" s="17" t="str">
        <f t="shared" si="16"/>
        <v>Learn More About Multifamily Properties</v>
      </c>
      <c r="BH55" s="17">
        <f t="array" ref="BH55">IFERROR(XLOOKUP($B55, 'Sponsor Connection'!$A:$A, 'Sponsor Connection'!$B:$B), )</f>
        <v>2002</v>
      </c>
      <c r="BI55" s="17" t="str">
        <f t="array" ref="BI55">IFERROR(XLOOKUP($B55, 'Sponsor Connection'!$A:$A, 'Sponsor Connection'!$D:$D), )</f>
        <v>Trilogy Real Estate Group is a Chicago vertically integrated multifamily owner, developer and manager, founded in 2002, managing $2.6 billion as of early 2025 with more than $5.5 billion in lifetime volume and 14,000-plus units across the Midwest, East and Southwest. Its 2025 strategic partnership with Greystar—the world's largest apartment operator—materially enhances its operating and sourcing capabilities, and it sponsors both DST and QOZ offerings. The combination of vertical integration and the Greystar alliance positions Trilogy as a strengthening multifamily-focused sponsor.</v>
      </c>
      <c r="BJ55" s="18">
        <f t="array" ref="BJ55">IF($B55="", "", LET(aum, IFERROR(XLOOKUP($B55, 'Sponsor Connection'!$A:$A, 'Sponsor Connection'!$C:$C), ""), IF(OR(aum="", aum=0), "Not Reported", aum)))</f>
        <v>2600000000</v>
      </c>
      <c r="BK55" s="19" t="str">
        <f t="array" ref="BK55">IF(ISBLANK($B55), "", LET(val, IFERROR(XLOOKUP($B55, 'Sponsor Connection'!$A:$A, 'Sponsor Connection'!$M:$M), ""), IF(OR(ISBLANK(val), val="", val=0), "Not Reported", val)))</f>
        <v>Not Reported</v>
      </c>
      <c r="BL55" s="13" t="str">
        <f t="array" ref="BL55">IF(ISBLANK($B55), "", LET(val, IFERROR(XLOOKUP($B55, 'Sponsor Connection'!$A:$A, 'Sponsor Connection'!$N:$N), ""), IF(val="", "Not Reported", val)))</f>
        <v>No Data</v>
      </c>
      <c r="BM55" s="20" t="str">
        <f t="array" ref="BM55">IF(ISBLANK($B55), "", LET(val, IFERROR(XLOOKUP($B55, 'Sponsor Connection'!$A:$A, 'Sponsor Connection'!$O:$O), ""), IF(val="", "Not Reported", val)))</f>
        <v>No Data</v>
      </c>
      <c r="BN55" s="21" t="str">
        <f t="array" ref="BN55">IF(ISBLANK($B55), "", LET(val, IFERROR(XLOOKUP($B55, 'Sponsor Connection'!$A:$A, 'Sponsor Connection'!$P:$P), ""), IF(val="", "Not Reported", val)))</f>
        <v>No Data</v>
      </c>
      <c r="BO55" s="13" t="str">
        <f t="array" ref="BO55">IF(ISBLANK($B55), "", LET(val, IFERROR(XLOOKUP($B55, 'Sponsor Connection'!$A:$A, 'Sponsor Connection'!$Q:$Q), ""), IF(val="", "Not Reported", val)))</f>
        <v>No Data</v>
      </c>
      <c r="BP55" s="16" t="str">
        <f t="array" ref="BP55">IFERROR(XLOOKUP($B55, 'Sponsor Connection'!$A:$A, 'Sponsor Connection'!$L:$L), )</f>
        <v>https://img.logo.dev/trilogyreg.com?token=pk_FIVsDKgZTvCedVXXtt2rEg&amp;size=200&amp;retina=true</v>
      </c>
      <c r="BQ55" s="13" t="str">
        <f t="shared" si="8"/>
        <v/>
      </c>
      <c r="BR55" s="13">
        <f>IFERROR(VLOOKUP(L55, Benchmarks!$A$2:$D$15, 2, FALSE), "Not Analyzed")</f>
        <v>0.050338</v>
      </c>
      <c r="BS55" s="17" t="str">
        <f t="shared" si="9"/>
        <v/>
      </c>
      <c r="BT55" s="13">
        <f t="shared" si="10"/>
        <v>0</v>
      </c>
      <c r="BU55" s="13">
        <f>IFERROR(VLOOKUP(L55, Benchmarks!$A$2:$D$15, 4, FALSE), "Not Analyzed")</f>
        <v>0.2473634914</v>
      </c>
      <c r="BV55" s="17" t="str">
        <f t="shared" si="11"/>
        <v>Not Analyzed</v>
      </c>
      <c r="BW55" s="13">
        <f t="shared" si="12"/>
        <v>0</v>
      </c>
      <c r="BX55" s="13">
        <f>IFERROR(VLOOKUP(L55, Benchmarks!$A$2:$D$15, 3, FALSE), "Not Analyzed")</f>
        <v>0.05289545455</v>
      </c>
      <c r="BY55" s="17" t="str">
        <f t="shared" si="13"/>
        <v>Not Analyzed</v>
      </c>
      <c r="BZ55" s="17" t="str">
        <f t="shared" si="17"/>
        <v>Investment: Trilogy Multifamily Opportunity Zone Fund | Sponsor: Trilogy Real Estate Group | Structure: Qualified Opportunity Zone Fund (LP) | Status: Available | LTV: 50-70% (target) | Availability: 1 | Location: FL | Strategy: Opportunistic | 721 Exchange Exit: None | Estimated Hold: 10 years | Cap Rate Equivalent: N/A | Minimum Investment: 100000</v>
      </c>
      <c r="CA55" s="17" t="str">
        <f>A55&amp;" ("&amp;H55&amp;")"&amp;CHAR(10)&amp;CHAR(10)&amp;"Trilogy Multifamily Opportunity Zone Fund is a $100 million Qualified Opportunity Zone fund developing institutional multifamily in designated Opportunity Zones, anchored by the Edgewater 27 high-rise in Miami's Edgewater submarket. Sponsored by Trilogy R"&amp;"eal Estate Group - a vertically integrated multifamily developer and operator with more than $5.5 billion in lifetime volume and 14,000+ units, now allied with Greystar - the fund targets a 12-14% deal-level IRR and a 2.25-2.75x equity multiple over a 10-"&amp;"year hold, while delivering the Opportunity Zone tax benefits of capital-gains deferral and tax-free appreciation on the OZ investment when held at least ten years. The $100 million best-efforts offering carries a $100,000 minimum and is available to accr"&amp;"edited investors."</f>
        <v>Trilogy Multifamily Opportunity Zone Fund (50-70% (target))
Trilogy Multifamily Opportunity Zone Fund is a $100 million Qualified Opportunity Zone fund developing institutional multifamily in designated Opportunity Zones, anchored by the Edgewater 27 high-rise in Miami's Edgewater submarket. Sponsored by Trilogy Real Estate Group - a vertically integrated multifamily developer and operator with more than $5.5 billion in lifetime volume and 14,000+ units, now allied with Greystar - the fund targets a 12-14% deal-level IRR and a 2.25-2.75x equity multiple over a 10-year hold, while delivering the Opportunity Zone tax benefits of capital-gains deferral and tax-free appreciation on the OZ investment when held at least ten years. The $100 million best-efforts offering carries a $100,000 minimum and is available to accredited investors.</v>
      </c>
    </row>
    <row r="56">
      <c r="A56" s="8" t="s">
        <v>1101</v>
      </c>
      <c r="B56" s="8" t="s">
        <v>1102</v>
      </c>
      <c r="C56" s="8" t="s">
        <v>81</v>
      </c>
      <c r="D56" s="8" t="s">
        <v>152</v>
      </c>
      <c r="E56" s="9">
        <v>7.21E7</v>
      </c>
      <c r="F56" s="9">
        <v>3.7725E7</v>
      </c>
      <c r="G56" s="9">
        <v>3.4375E7</v>
      </c>
      <c r="H56" s="8" t="s">
        <v>1103</v>
      </c>
      <c r="I56" s="9">
        <v>3.7725E7</v>
      </c>
      <c r="J56" s="10">
        <v>46200.0</v>
      </c>
      <c r="K56" s="11">
        <v>1.0</v>
      </c>
      <c r="L56" s="8" t="s">
        <v>719</v>
      </c>
      <c r="M56" s="8" t="s">
        <v>1104</v>
      </c>
      <c r="N56" s="12" t="s">
        <v>700</v>
      </c>
      <c r="O56" s="12" t="s">
        <v>1105</v>
      </c>
      <c r="P56" s="8" t="s">
        <v>113</v>
      </c>
      <c r="Q56" s="8" t="s">
        <v>156</v>
      </c>
      <c r="R56" s="8" t="s">
        <v>157</v>
      </c>
      <c r="S56" s="8" t="s">
        <v>1106</v>
      </c>
      <c r="T56" s="8" t="s">
        <v>1107</v>
      </c>
      <c r="U56" s="8" t="s">
        <v>1108</v>
      </c>
      <c r="V56" s="8" t="s">
        <v>1109</v>
      </c>
      <c r="W56" s="8" t="s">
        <v>1110</v>
      </c>
      <c r="X56" s="8" t="s">
        <v>1111</v>
      </c>
      <c r="Y56" s="8" t="s">
        <v>1112</v>
      </c>
      <c r="Z56" s="8" t="s">
        <v>1113</v>
      </c>
      <c r="AA56" s="8" t="s">
        <v>1114</v>
      </c>
      <c r="AB56" s="11">
        <v>0.047</v>
      </c>
      <c r="AC56" s="11">
        <v>0.0472</v>
      </c>
      <c r="AD56" s="8" t="s">
        <v>142</v>
      </c>
      <c r="AE56" s="8" t="s">
        <v>142</v>
      </c>
      <c r="AF56" s="8" t="s">
        <v>142</v>
      </c>
      <c r="AG56" s="8" t="s">
        <v>142</v>
      </c>
      <c r="AH56" s="8" t="s">
        <v>142</v>
      </c>
      <c r="AI56" s="8" t="s">
        <v>142</v>
      </c>
      <c r="AJ56" s="8" t="s">
        <v>142</v>
      </c>
      <c r="AK56" s="8" t="s">
        <v>142</v>
      </c>
      <c r="AL56" s="11">
        <v>0.0496</v>
      </c>
      <c r="AM56" s="8" t="s">
        <v>501</v>
      </c>
      <c r="AN56" s="13">
        <f t="shared" si="2"/>
        <v>0.08515534546</v>
      </c>
      <c r="AO56" s="8" t="s">
        <v>357</v>
      </c>
      <c r="AP56" s="8" t="s">
        <v>1115</v>
      </c>
      <c r="AQ56" s="8" t="s">
        <v>89</v>
      </c>
      <c r="AR56" s="8" t="s">
        <v>89</v>
      </c>
      <c r="AS56" s="8" t="s">
        <v>145</v>
      </c>
      <c r="AT56" s="12" t="s">
        <v>192</v>
      </c>
      <c r="AU56" s="8" t="s">
        <v>1116</v>
      </c>
      <c r="AV56" s="14" t="s">
        <v>1117</v>
      </c>
      <c r="AW56" s="15"/>
      <c r="AX56" s="9">
        <v>100000.0</v>
      </c>
      <c r="AY56" s="16" t="str">
        <f>IFERROR(__xludf.DUMMYFUNCTION("IF(ISBLANK(AV56), """", IF(REGEXMATCH(AV56, ""/file/d/""), ""https://lh3.googleusercontent.com/d/"" &amp; REGEXEXTRACT(AV56, ""/d/([a-zA-Z0-9_-]+)""), AV56))"),"https://lh3.googleusercontent.com/d/1SgHJtAGl9-PPRpPjPxHpKxUcXxWnXdZP")</f>
        <v>https://lh3.googleusercontent.com/d/1SgHJtAGl9-PPRpPjPxHpKxUcXxWnXdZP</v>
      </c>
      <c r="AZ56" s="13">
        <f t="shared" si="3"/>
        <v>0.1154470588</v>
      </c>
      <c r="BA56" s="17" t="str">
        <f t="shared" si="4"/>
        <v>Est. Tax-Adjusted Yield⁹</v>
      </c>
      <c r="BB56" s="17" t="str">
        <f t="shared" si="5"/>
        <v>Offering Documents Available By Request</v>
      </c>
      <c r="BC56" s="8" t="s">
        <v>1118</v>
      </c>
      <c r="BD56" s="8" t="s">
        <v>1119</v>
      </c>
      <c r="BE56" s="8" t="s">
        <v>737</v>
      </c>
      <c r="BF56" s="17" t="str">
        <f t="shared" si="15"/>
        <v>Learn More About Baker Tilly</v>
      </c>
      <c r="BG56" s="17" t="str">
        <f t="shared" si="16"/>
        <v>Learn More About Student Housing Properties</v>
      </c>
      <c r="BH56" s="17">
        <f t="array" ref="BH56">IFERROR(XLOOKUP($B56, 'Sponsor Connection'!$A:$A, 'Sponsor Connection'!$B:$B), )</f>
        <v>1931</v>
      </c>
      <c r="BI56" s="17" t="str">
        <f t="array" ref="BI56">IFERROR(XLOOKUP($B56, 'Sponsor Connection'!$A:$A, 'Sponsor Connection'!$D:$D), )</f>
        <v>Baker Tilly is a top-tier accounting and advisory firm, not a real estate sponsor, and appears in the 1031/DST ecosystem as a tax, cost-segregation and transaction advisor rather than as an issuer of offerings. Investors should treat its presence on a sponsor list as a service-provider relationship; it originates no property programs and carries no sponsor AUM.</v>
      </c>
      <c r="BJ56" s="18">
        <f t="array" ref="BJ56">IF($B56="", "", LET(aum, IFERROR(XLOOKUP($B56, 'Sponsor Connection'!$A:$A, 'Sponsor Connection'!$C:$C), ""), IF(OR(aum="", aum=0), "Not Reported", aum)))</f>
        <v>5100000000</v>
      </c>
      <c r="BK56" s="19" t="str">
        <f t="array" ref="BK56">IF(ISBLANK($B56), "", LET(val, IFERROR(XLOOKUP($B56, 'Sponsor Connection'!$A:$A, 'Sponsor Connection'!$M:$M), ""), IF(OR(ISBLANK(val), val="", val=0), "Not Reported", val)))</f>
        <v>Not Reported</v>
      </c>
      <c r="BL56" s="13" t="str">
        <f t="array" ref="BL56">IF(ISBLANK($B56), "", LET(val, IFERROR(XLOOKUP($B56, 'Sponsor Connection'!$A:$A, 'Sponsor Connection'!$N:$N), ""), IF(val="", "Not Reported", val)))</f>
        <v>No Data</v>
      </c>
      <c r="BM56" s="20" t="str">
        <f t="array" ref="BM56">IF(ISBLANK($B56), "", LET(val, IFERROR(XLOOKUP($B56, 'Sponsor Connection'!$A:$A, 'Sponsor Connection'!$O:$O), ""), IF(val="", "Not Reported", val)))</f>
        <v>No Data</v>
      </c>
      <c r="BN56" s="21" t="str">
        <f t="array" ref="BN56">IF(ISBLANK($B56), "", LET(val, IFERROR(XLOOKUP($B56, 'Sponsor Connection'!$A:$A, 'Sponsor Connection'!$P:$P), ""), IF(val="", "Not Reported", val)))</f>
        <v>No Data</v>
      </c>
      <c r="BO56" s="13" t="str">
        <f t="array" ref="BO56">IF(ISBLANK($B56), "", LET(val, IFERROR(XLOOKUP($B56, 'Sponsor Connection'!$A:$A, 'Sponsor Connection'!$Q:$Q), ""), IF(val="", "Not Reported", val)))</f>
        <v>No Data</v>
      </c>
      <c r="BP56" s="16" t="str">
        <f t="array" ref="BP56">IFERROR(XLOOKUP($B56, 'Sponsor Connection'!$A:$A, 'Sponsor Connection'!$L:$L), )</f>
        <v>https://img.logo.dev/bakertilly.com?token=pk_FIVsDKgZTvCedVXXtt2rEg&amp;size=200&amp;retina=true</v>
      </c>
      <c r="BQ56" s="13">
        <f t="shared" si="8"/>
        <v>0.0496</v>
      </c>
      <c r="BR56" s="13" t="str">
        <f>IFERROR(VLOOKUP(L56, Benchmarks!$A$2:$D$15, 2, FALSE), "Not Analyzed")</f>
        <v>Not Analyzed</v>
      </c>
      <c r="BS56" s="17" t="str">
        <f t="shared" si="9"/>
        <v>Not Analyzed</v>
      </c>
      <c r="BT56" s="13">
        <f t="shared" si="10"/>
        <v>0.004255319149</v>
      </c>
      <c r="BU56" s="13" t="str">
        <f>IFERROR(VLOOKUP(L56, Benchmarks!$A$2:$D$15, 4, FALSE), "Not Analyzed")</f>
        <v>Not Analyzed</v>
      </c>
      <c r="BV56" s="17" t="str">
        <f t="shared" si="11"/>
        <v>Not Analyzed</v>
      </c>
      <c r="BW56" s="13">
        <f t="shared" si="12"/>
        <v>0.0472</v>
      </c>
      <c r="BX56" s="13" t="str">
        <f>IFERROR(VLOOKUP(L56, Benchmarks!$A$2:$D$15, 3, FALSE), "Not Analyzed")</f>
        <v>Not Analyzed</v>
      </c>
      <c r="BY56" s="17" t="str">
        <f t="shared" si="13"/>
        <v>Not Analyzed</v>
      </c>
      <c r="BZ56" s="17" t="str">
        <f t="shared" si="17"/>
        <v>Investment: BT Athens Student Housing DST | Sponsor: Baker Tilly | Structure: Delaware Statutory Trust (DST) | Status: Coming Soon / Under Review | LTV: 47.68% LTV | Availability: 1 | Location: OH | Strategy: Core-Plus | 721 Exchange Exit: Mandatory | Estimated Hold: 2 years | Cap Rate Equivalent: 0.085155345457018 | Minimum Investment: 100000</v>
      </c>
      <c r="CA56" s="17" t="str">
        <f>A56&amp;" ("&amp;H56&amp;")"&amp;CHAR(10)&amp;CHAR(10)&amp;"BT Athens Student Housing DST is a $72.1 million Delaware Statutory Trust offering The Summit at Coates Run, an 856-bed, 239-unit Class A student housing community about one mile from Ohio University in Athens, Ohio. Built in 2009 and renovated in 2019 an"&amp;"d 92.98% occupied at the offering date, it is sponsored by Baker Tilly, the 10th-largest accounting and advisory firm in the U.S. The DST carries fixed-rate, interest-only financing through Old National Bank (5.72%, 47.68% LTV) and projects a 4.70% first-"&amp;"year distribution rising to 5.21% by year 10 (4.96% average), with a $100,000 minimum and a full 721 UPREIT exit option."</f>
        <v>BT Athens Student Housing DST (47.68% LTV)
BT Athens Student Housing DST is a $72.1 million Delaware Statutory Trust offering The Summit at Coates Run, an 856-bed, 239-unit Class A student housing community about one mile from Ohio University in Athens, Ohio. Built in 2009 and renovated in 2019 and 92.98% occupied at the offering date, it is sponsored by Baker Tilly, the 10th-largest accounting and advisory firm in the U.S. The DST carries fixed-rate, interest-only financing through Old National Bank (5.72%, 47.68% LTV) and projects a 4.70% first-year distribution rising to 5.21% by year 10 (4.96% average), with a $100,000 minimum and a full 721 UPREIT exit option.</v>
      </c>
    </row>
    <row r="57">
      <c r="A57" s="8" t="s">
        <v>1120</v>
      </c>
      <c r="B57" s="8" t="s">
        <v>1121</v>
      </c>
      <c r="C57" s="8" t="s">
        <v>81</v>
      </c>
      <c r="D57" s="8" t="s">
        <v>152</v>
      </c>
      <c r="E57" s="9">
        <v>1.75555053E8</v>
      </c>
      <c r="F57" s="9">
        <v>1.75555053E8</v>
      </c>
      <c r="G57" s="9">
        <v>0.0</v>
      </c>
      <c r="H57" s="8" t="s">
        <v>83</v>
      </c>
      <c r="I57" s="9">
        <v>1.75555053E8</v>
      </c>
      <c r="J57" s="10">
        <v>46200.0</v>
      </c>
      <c r="K57" s="11">
        <v>1.0</v>
      </c>
      <c r="L57" s="8" t="s">
        <v>176</v>
      </c>
      <c r="M57" s="8" t="s">
        <v>1122</v>
      </c>
      <c r="N57" s="12" t="s">
        <v>1123</v>
      </c>
      <c r="O57" s="12" t="s">
        <v>1124</v>
      </c>
      <c r="P57" s="8" t="s">
        <v>87</v>
      </c>
      <c r="Q57" s="8" t="s">
        <v>156</v>
      </c>
      <c r="R57" s="8" t="s">
        <v>157</v>
      </c>
      <c r="S57" s="8" t="s">
        <v>1125</v>
      </c>
      <c r="T57" s="8" t="s">
        <v>1126</v>
      </c>
      <c r="U57" s="8" t="s">
        <v>1127</v>
      </c>
      <c r="V57" s="8" t="s">
        <v>1128</v>
      </c>
      <c r="W57" s="8" t="s">
        <v>1129</v>
      </c>
      <c r="X57" s="8" t="s">
        <v>1130</v>
      </c>
      <c r="Y57" s="8" t="s">
        <v>1131</v>
      </c>
      <c r="Z57" s="8" t="s">
        <v>1132</v>
      </c>
      <c r="AA57" s="8" t="s">
        <v>1133</v>
      </c>
      <c r="AB57" s="11">
        <v>0.032</v>
      </c>
      <c r="AC57" s="11">
        <v>0.032</v>
      </c>
      <c r="AD57" s="8" t="s">
        <v>142</v>
      </c>
      <c r="AE57" s="8" t="s">
        <v>142</v>
      </c>
      <c r="AF57" s="8" t="s">
        <v>142</v>
      </c>
      <c r="AG57" s="8" t="s">
        <v>142</v>
      </c>
      <c r="AH57" s="8" t="s">
        <v>142</v>
      </c>
      <c r="AI57" s="8" t="s">
        <v>142</v>
      </c>
      <c r="AJ57" s="8" t="s">
        <v>142</v>
      </c>
      <c r="AK57" s="8" t="s">
        <v>142</v>
      </c>
      <c r="AL57" s="11">
        <v>0.0341</v>
      </c>
      <c r="AM57" s="8" t="s">
        <v>501</v>
      </c>
      <c r="AN57" s="13">
        <f t="shared" si="2"/>
        <v>0.05764</v>
      </c>
      <c r="AO57" s="8" t="s">
        <v>1134</v>
      </c>
      <c r="AP57" s="8" t="s">
        <v>504</v>
      </c>
      <c r="AQ57" s="8" t="s">
        <v>504</v>
      </c>
      <c r="AR57" s="8" t="s">
        <v>504</v>
      </c>
      <c r="AS57" s="8" t="s">
        <v>504</v>
      </c>
      <c r="AT57" s="12" t="s">
        <v>504</v>
      </c>
      <c r="AU57" s="8" t="s">
        <v>1135</v>
      </c>
      <c r="AV57" s="14" t="s">
        <v>1136</v>
      </c>
      <c r="AW57" s="15"/>
      <c r="AX57" s="9">
        <v>1000000.0</v>
      </c>
      <c r="AY57" s="16" t="str">
        <f>IFERROR(__xludf.DUMMYFUNCTION("IF(ISBLANK(AV57), """", IF(REGEXMATCH(AV57, ""/file/d/""), ""https://lh3.googleusercontent.com/d/"" &amp; REGEXEXTRACT(AV57, ""/d/([a-zA-Z0-9_-]+)""), AV57))"),"https://lh3.googleusercontent.com/d/1g9GfXdmKGzdVtY43HOxezAlDYwVxyij0")</f>
        <v>https://lh3.googleusercontent.com/d/1g9GfXdmKGzdVtY43HOxezAlDYwVxyij0</v>
      </c>
      <c r="AZ57" s="13">
        <f t="shared" si="3"/>
        <v>0.1004470588</v>
      </c>
      <c r="BA57" s="17" t="str">
        <f t="shared" si="4"/>
        <v>Est. Tax-Adjusted Yield⁹</v>
      </c>
      <c r="BB57" s="17" t="str">
        <f t="shared" si="5"/>
        <v>Offering Documents Available By Request</v>
      </c>
      <c r="BC57" s="8" t="s">
        <v>1137</v>
      </c>
      <c r="BD57" s="8" t="s">
        <v>1138</v>
      </c>
      <c r="BE57" s="8" t="s">
        <v>197</v>
      </c>
      <c r="BF57" s="17" t="str">
        <f t="shared" si="15"/>
        <v>Learn More About Blackstone</v>
      </c>
      <c r="BG57" s="17" t="str">
        <f t="shared" si="16"/>
        <v>Learn More About Multifamily Properties</v>
      </c>
      <c r="BH57" s="17">
        <f t="array" ref="BH57">IFERROR(XLOOKUP($B57, 'Sponsor Connection'!$A:$A, 'Sponsor Connection'!$B:$B), )</f>
        <v>1985</v>
      </c>
      <c r="BI57" s="17" t="str">
        <f t="array" ref="BI57">IFERROR(XLOOKUP($B57, 'Sponsor Connection'!$A:$A, 'Sponsor Connection'!$D:$D), )</f>
        <v>Blackstone is the world's largest alternative asset manager, with roughly $1.3 trillion in total AUM and a real estate platform commanding about $319 billion of investor capital as of year-end 2025—an order of magnitude beyond any dedicated DST sponsor. Its retail real estate flagship, the Blackstone Real Estate Income Trust (BREIT), is a perpetual-life non-traded REIT carrying roughly $53 billion in NAV and concentrated in the secular winners of data centers, logistics and rental housing. With perpetual capital approaching 40% of the firm and a long-run track record on its largest BREIT share class near a 9.4% annualized return since inception, Blackstone offers institutional scale and sector positioning that define the high end of the market—though its 1031/DST activity is a small adjunct to a vast machine.</v>
      </c>
      <c r="BJ57" s="18">
        <f t="array" ref="BJ57">IF($B57="", "", LET(aum, IFERROR(XLOOKUP($B57, 'Sponsor Connection'!$A:$A, 'Sponsor Connection'!$C:$C), ""), IF(OR(aum="", aum=0), "Not Reported", aum)))</f>
        <v>1300000000000</v>
      </c>
      <c r="BK57" s="19" t="str">
        <f t="array" ref="BK57">IF(ISBLANK($B57), "", LET(val, IFERROR(XLOOKUP($B57, 'Sponsor Connection'!$A:$A, 'Sponsor Connection'!$M:$M), ""), IF(OR(ISBLANK(val), val="", val=0), "Not Reported", val)))</f>
        <v>Not Reported</v>
      </c>
      <c r="BL57" s="13" t="str">
        <f t="array" ref="BL57">IF(ISBLANK($B57), "", LET(val, IFERROR(XLOOKUP($B57, 'Sponsor Connection'!$A:$A, 'Sponsor Connection'!$N:$N), ""), IF(val="", "Not Reported", val)))</f>
        <v>No Data</v>
      </c>
      <c r="BM57" s="20" t="str">
        <f t="array" ref="BM57">IF(ISBLANK($B57), "", LET(val, IFERROR(XLOOKUP($B57, 'Sponsor Connection'!$A:$A, 'Sponsor Connection'!$O:$O), ""), IF(val="", "Not Reported", val)))</f>
        <v>No Data</v>
      </c>
      <c r="BN57" s="21" t="str">
        <f t="array" ref="BN57">IF(ISBLANK($B57), "", LET(val, IFERROR(XLOOKUP($B57, 'Sponsor Connection'!$A:$A, 'Sponsor Connection'!$P:$P), ""), IF(val="", "Not Reported", val)))</f>
        <v>No Data</v>
      </c>
      <c r="BO57" s="13" t="str">
        <f t="array" ref="BO57">IF(ISBLANK($B57), "", LET(val, IFERROR(XLOOKUP($B57, 'Sponsor Connection'!$A:$A, 'Sponsor Connection'!$Q:$Q), ""), IF(val="", "Not Reported", val)))</f>
        <v>No Data</v>
      </c>
      <c r="BP57" s="16" t="str">
        <f t="array" ref="BP57">IFERROR(XLOOKUP($B57, 'Sponsor Connection'!$A:$A, 'Sponsor Connection'!$L:$L), )</f>
        <v>https://img.logo.dev/blackstone.com?token=pk_FIVsDKgZTvCedVXXtt2rEg&amp;size=200&amp;retina=true</v>
      </c>
      <c r="BQ57" s="13">
        <f t="shared" si="8"/>
        <v>0.0341</v>
      </c>
      <c r="BR57" s="13">
        <f>IFERROR(VLOOKUP(L57, Benchmarks!$A$2:$D$15, 2, FALSE), "Not Analyzed")</f>
        <v>0.050338</v>
      </c>
      <c r="BS57" s="17" t="str">
        <f t="shared" si="9"/>
        <v>Below Average</v>
      </c>
      <c r="BT57" s="13">
        <f t="shared" si="10"/>
        <v>0</v>
      </c>
      <c r="BU57" s="13">
        <f>IFERROR(VLOOKUP(L57, Benchmarks!$A$2:$D$15, 4, FALSE), "Not Analyzed")</f>
        <v>0.2473634914</v>
      </c>
      <c r="BV57" s="17" t="str">
        <f t="shared" si="11"/>
        <v>Not Analyzed</v>
      </c>
      <c r="BW57" s="13">
        <f t="shared" si="12"/>
        <v>0.032</v>
      </c>
      <c r="BX57" s="13">
        <f>IFERROR(VLOOKUP(L57, Benchmarks!$A$2:$D$15, 3, FALSE), "Not Analyzed")</f>
        <v>0.05289545455</v>
      </c>
      <c r="BY57" s="17" t="str">
        <f t="shared" si="13"/>
        <v>Below Average</v>
      </c>
      <c r="BZ57" s="17" t="str">
        <f t="shared" si="17"/>
        <v>Investment: BXREX Portfolio I DST | Sponsor: Blackstone | Structure: Delaware Statutory Trust (DST) | Status: Coming Soon / Under Review | LTV: 0.00% LTV | Availability: 1 | Location: NV, TX | Strategy: Core | 721 Exchange Exit: Mandatory | Estimated Hold: 2 years | Cap Rate Equivalent: 0.05764 | Minimum Investment: 1000000</v>
      </c>
      <c r="CA57" s="17" t="str">
        <f>A57&amp;" ("&amp;H57&amp;")"&amp;CHAR(10)&amp;CHAR(10)&amp;"BXREX Portfolio I DST is a $175.6 million all-cash, zero-debt Delaware Statutory Trust from Blackstone, the world's largest alternative asset manager. It holds two stabilized Class A multifamily communities totaling 612 units - Vue at Centennial in northw"&amp;"est Las Vegas and a Cypress community in suburban Houston - both previously held in Blackstone's BREIT portfolio. Structured as Blackstone's designated UPREIT feeder, BXREX offers a Section 721 exchange into BREIT, supported by a BREIT-guaranteed master l"&amp;"ease that funds a fixed 3.20% distribution in years 1-5, stepping to 3.62% in years 6-10 (3.41% average). Minimum investment is $1,000,000."</f>
        <v>BXREX Portfolio I DST (0.00% LTV)
BXREX Portfolio I DST is a $175.6 million all-cash, zero-debt Delaware Statutory Trust from Blackstone, the world's largest alternative asset manager. It holds two stabilized Class A multifamily communities totaling 612 units - Vue at Centennial in northwest Las Vegas and a Cypress community in suburban Houston - both previously held in Blackstone's BREIT portfolio. Structured as Blackstone's designated UPREIT feeder, BXREX offers a Section 721 exchange into BREIT, supported by a BREIT-guaranteed master lease that funds a fixed 3.20% distribution in years 1-5, stepping to 3.62% in years 6-10 (3.41% average). Minimum investment is $1,000,000.</v>
      </c>
    </row>
    <row r="58">
      <c r="A58" s="8" t="s">
        <v>1139</v>
      </c>
      <c r="B58" s="8" t="s">
        <v>755</v>
      </c>
      <c r="C58" s="8" t="s">
        <v>81</v>
      </c>
      <c r="D58" s="8" t="s">
        <v>152</v>
      </c>
      <c r="E58" s="9">
        <v>2.35956E8</v>
      </c>
      <c r="F58" s="9">
        <v>1.1265E8</v>
      </c>
      <c r="G58" s="9">
        <v>1.23306E8</v>
      </c>
      <c r="H58" s="8" t="s">
        <v>1140</v>
      </c>
      <c r="I58" s="9">
        <v>1.1265E8</v>
      </c>
      <c r="J58" s="10">
        <v>46200.0</v>
      </c>
      <c r="K58" s="11">
        <v>1.0</v>
      </c>
      <c r="L58" s="8" t="s">
        <v>176</v>
      </c>
      <c r="M58" s="8" t="s">
        <v>1086</v>
      </c>
      <c r="N58" s="12" t="s">
        <v>328</v>
      </c>
      <c r="O58" s="12" t="s">
        <v>155</v>
      </c>
      <c r="P58" s="8" t="s">
        <v>113</v>
      </c>
      <c r="Q58" s="8" t="s">
        <v>88</v>
      </c>
      <c r="R58" s="8" t="s">
        <v>132</v>
      </c>
      <c r="S58" s="8" t="s">
        <v>1141</v>
      </c>
      <c r="T58" s="8" t="s">
        <v>1142</v>
      </c>
      <c r="U58" s="8" t="s">
        <v>1143</v>
      </c>
      <c r="V58" s="8" t="s">
        <v>1144</v>
      </c>
      <c r="W58" s="8" t="s">
        <v>1145</v>
      </c>
      <c r="X58" s="8" t="s">
        <v>1146</v>
      </c>
      <c r="Y58" s="8" t="s">
        <v>1147</v>
      </c>
      <c r="Z58" s="8" t="s">
        <v>1148</v>
      </c>
      <c r="AA58" s="8" t="s">
        <v>1149</v>
      </c>
      <c r="AB58" s="11">
        <v>0.043</v>
      </c>
      <c r="AC58" s="11">
        <v>0.043</v>
      </c>
      <c r="AD58" s="11">
        <v>0.043</v>
      </c>
      <c r="AE58" s="11">
        <v>0.043</v>
      </c>
      <c r="AF58" s="11">
        <v>0.043</v>
      </c>
      <c r="AG58" s="11">
        <v>0.0375</v>
      </c>
      <c r="AH58" s="11">
        <v>0.0375</v>
      </c>
      <c r="AI58" s="11"/>
      <c r="AJ58" s="11"/>
      <c r="AK58" s="11"/>
      <c r="AL58" s="11">
        <v>0.0414</v>
      </c>
      <c r="AM58" s="8" t="s">
        <v>501</v>
      </c>
      <c r="AN58" s="13">
        <f t="shared" si="2"/>
        <v>0.08433911547</v>
      </c>
      <c r="AO58" s="8" t="s">
        <v>1150</v>
      </c>
      <c r="AP58" s="8" t="s">
        <v>1151</v>
      </c>
      <c r="AQ58" s="8" t="s">
        <v>132</v>
      </c>
      <c r="AR58" s="8" t="s">
        <v>312</v>
      </c>
      <c r="AS58" s="8" t="s">
        <v>1152</v>
      </c>
      <c r="AT58" s="12" t="s">
        <v>1153</v>
      </c>
      <c r="AU58" s="8" t="s">
        <v>1154</v>
      </c>
      <c r="AV58" s="14" t="s">
        <v>1155</v>
      </c>
      <c r="AW58" s="15"/>
      <c r="AX58" s="9">
        <v>250000.0</v>
      </c>
      <c r="AY58" s="16" t="str">
        <f>IFERROR(__xludf.DUMMYFUNCTION("IF(ISBLANK(AV58), """", IF(REGEXMATCH(AV58, ""/file/d/""), ""https://lh3.googleusercontent.com/d/"" &amp; REGEXEXTRACT(AV58, ""/d/([a-zA-Z0-9_-]+)""), AV58))"),"https://lh3.googleusercontent.com/d/1bgeCXzrd6qp98alpeh1TrJxQVWqGWSsZ")</f>
        <v>https://lh3.googleusercontent.com/d/1bgeCXzrd6qp98alpeh1TrJxQVWqGWSsZ</v>
      </c>
      <c r="AZ58" s="13">
        <f t="shared" si="3"/>
        <v>0.1114470588</v>
      </c>
      <c r="BA58" s="17" t="str">
        <f t="shared" si="4"/>
        <v>Est. Tax-Adjusted Yield⁹</v>
      </c>
      <c r="BB58" s="17" t="str">
        <f t="shared" si="5"/>
        <v>Offering Documents Available By Request</v>
      </c>
      <c r="BC58" s="8" t="s">
        <v>1156</v>
      </c>
      <c r="BD58" s="8" t="s">
        <v>774</v>
      </c>
      <c r="BE58" s="8" t="s">
        <v>197</v>
      </c>
      <c r="BF58" s="17" t="str">
        <f t="shared" si="15"/>
        <v>Learn More About Cantor Fitzgerald</v>
      </c>
      <c r="BG58" s="17" t="str">
        <f t="shared" si="16"/>
        <v>Learn More About Multifamily Properties</v>
      </c>
      <c r="BH58" s="17">
        <f t="array" ref="BH58">IFERROR(XLOOKUP($B58, 'Sponsor Connection'!$A:$A, 'Sponsor Connection'!$B:$B), )</f>
        <v>1945</v>
      </c>
      <c r="BI58" s="17" t="str">
        <f t="array" ref="BI58">IFERROR(XLOOKUP($B58, 'Sponsor Connection'!$A:$A, 'Sponsor Connection'!$D:$D), )</f>
        <v>Cantor Fitzgerald reaches the 1031 market through Cantor Fitzgerald Investors, leveraging the global capital-markets and brokerage muscle of its 1945-founded parent and its Newmark affiliation to source institutional-quality DSTs and feed its non-traded Cantor Fitzgerald Income Trust. With roughly $13 billion under management at Cantor Fitzgerald Asset Management as of early 2024 and a portfolio approaching 12 million square feet across multifamily and net-lease assets, the franchise blends investment-bank sourcing with an UPREIT exit path. Its Opportunity Zone partnership with Silverstein Properties extends the platform into ground-up development, broadening the tax-advantaged menu it can offer.</v>
      </c>
      <c r="BJ58" s="18">
        <f t="array" ref="BJ58">IF($B58="", "", LET(aum, IFERROR(XLOOKUP($B58, 'Sponsor Connection'!$A:$A, 'Sponsor Connection'!$C:$C), ""), IF(OR(aum="", aum=0), "Not Reported", aum)))</f>
        <v>13000000000</v>
      </c>
      <c r="BK58" s="19">
        <f t="array" ref="BK58">IF(ISBLANK($B58), "", LET(val, IFERROR(XLOOKUP($B58, 'Sponsor Connection'!$A:$A, 'Sponsor Connection'!$M:$M), ""), IF(OR(ISBLANK(val), val="", val=0), "Not Reported", val)))</f>
        <v>9</v>
      </c>
      <c r="BL58" s="13">
        <f t="array" ref="BL58">IF(ISBLANK($B58), "", LET(val, IFERROR(XLOOKUP($B58, 'Sponsor Connection'!$A:$A, 'Sponsor Connection'!$N:$N), ""), IF(val="", "Not Reported", val)))</f>
        <v>0.1166666667</v>
      </c>
      <c r="BM58" s="20">
        <f t="array" ref="BM58">IF(ISBLANK($B58), "", LET(val, IFERROR(XLOOKUP($B58, 'Sponsor Connection'!$A:$A, 'Sponsor Connection'!$O:$O), ""), IF(val="", "Not Reported", val)))</f>
        <v>1.448888889</v>
      </c>
      <c r="BN58" s="21">
        <f t="array" ref="BN58">IF(ISBLANK($B58), "", LET(val, IFERROR(XLOOKUP($B58, 'Sponsor Connection'!$A:$A, 'Sponsor Connection'!$P:$P), ""), IF(val="", "Not Reported", val)))</f>
        <v>3.922222222</v>
      </c>
      <c r="BO58" s="13">
        <f t="array" ref="BO58">IF(ISBLANK($B58), "", LET(val, IFERROR(XLOOKUP($B58, 'Sponsor Connection'!$A:$A, 'Sponsor Connection'!$Q:$Q), ""), IF(val="", "Not Reported", val)))</f>
        <v>1</v>
      </c>
      <c r="BP58" s="16" t="str">
        <f t="array" ref="BP58">IFERROR(XLOOKUP($B58, 'Sponsor Connection'!$A:$A, 'Sponsor Connection'!$L:$L), )</f>
        <v>https://img.logo.dev/cantor.com?token=pk_FIVsDKgZTvCedVXXtt2rEg&amp;size=200&amp;retina=true</v>
      </c>
      <c r="BQ58" s="13">
        <f t="shared" si="8"/>
        <v>0.0414</v>
      </c>
      <c r="BR58" s="13">
        <f>IFERROR(VLOOKUP(L58, Benchmarks!$A$2:$D$15, 2, FALSE), "Not Analyzed")</f>
        <v>0.050338</v>
      </c>
      <c r="BS58" s="17" t="str">
        <f t="shared" si="9"/>
        <v>Below Average</v>
      </c>
      <c r="BT58" s="13">
        <f t="shared" si="10"/>
        <v>0</v>
      </c>
      <c r="BU58" s="13">
        <f>IFERROR(VLOOKUP(L58, Benchmarks!$A$2:$D$15, 4, FALSE), "Not Analyzed")</f>
        <v>0.2473634914</v>
      </c>
      <c r="BV58" s="17" t="str">
        <f t="shared" si="11"/>
        <v>Not Analyzed</v>
      </c>
      <c r="BW58" s="13">
        <f t="shared" si="12"/>
        <v>0.043</v>
      </c>
      <c r="BX58" s="13">
        <f>IFERROR(VLOOKUP(L58, Benchmarks!$A$2:$D$15, 3, FALSE), "Not Analyzed")</f>
        <v>0.05289545455</v>
      </c>
      <c r="BY58" s="17" t="str">
        <f t="shared" si="13"/>
        <v>Below Average</v>
      </c>
      <c r="BZ58" s="17" t="str">
        <f t="shared" si="17"/>
        <v>Investment: CF Biscayne Multifamily DST | Sponsor: Cantor Fitzgerald | Structure: Delaware Statutory Trust (DST) | Status: Coming Soon / Under Review | LTV: 52.26% LTV | Availability: 1 | Location: FL | Strategy: Core-Plus | 721 Exchange Exit: Optional | Estimated Hold: 7 years | Cap Rate Equivalent: 0.0843391154694581 | Minimum Investment: 250000</v>
      </c>
      <c r="CA58" s="17" t="str">
        <f>A58&amp;" ("&amp;H58&amp;")"&amp;CHAR(10)&amp;CHAR(10)&amp;"CF Biscayne Multifamily DST is a $236.0 million Delaware Statutory Trust from Cantor Fitzgerald offering Biscayne Shores, a 380-unit Class A multifamily community at 11295 Biscayne Boulevard in Miami, Florida. The trust carries a $123.3 million Freddie Ma"&amp;"c loan fixed at 4.84% (interest-only through 2031) and projects a 4.30% first-year distribution (4.14% average over the seven-year hold), with a $250,000 minimum and a Section 721 UPREIT exchange option into Cantor Fitzgerald Income Trust."</f>
        <v>CF Biscayne Multifamily DST (52.26% LTV)
CF Biscayne Multifamily DST is a $236.0 million Delaware Statutory Trust from Cantor Fitzgerald offering Biscayne Shores, a 380-unit Class A multifamily community at 11295 Biscayne Boulevard in Miami, Florida. The trust carries a $123.3 million Freddie Mac loan fixed at 4.84% (interest-only through 2031) and projects a 4.30% first-year distribution (4.14% average over the seven-year hold), with a $250,000 minimum and a Section 721 UPREIT exchange option into Cantor Fitzgerald Income Trust.</v>
      </c>
    </row>
    <row r="59">
      <c r="A59" s="8" t="s">
        <v>1157</v>
      </c>
      <c r="B59" s="8" t="s">
        <v>792</v>
      </c>
      <c r="C59" s="8" t="s">
        <v>81</v>
      </c>
      <c r="D59" s="8" t="s">
        <v>152</v>
      </c>
      <c r="E59" s="9">
        <v>9.7634409E7</v>
      </c>
      <c r="F59" s="9">
        <v>9.7634409E7</v>
      </c>
      <c r="G59" s="9">
        <v>0.0</v>
      </c>
      <c r="H59" s="8" t="s">
        <v>83</v>
      </c>
      <c r="I59" s="9">
        <v>9.7634409E7</v>
      </c>
      <c r="J59" s="10">
        <v>46200.0</v>
      </c>
      <c r="K59" s="11">
        <v>1.0</v>
      </c>
      <c r="L59" s="8" t="s">
        <v>1158</v>
      </c>
      <c r="M59" s="8" t="s">
        <v>1159</v>
      </c>
      <c r="N59" s="12" t="s">
        <v>1160</v>
      </c>
      <c r="O59" s="12" t="s">
        <v>794</v>
      </c>
      <c r="P59" s="8" t="s">
        <v>87</v>
      </c>
      <c r="Q59" s="8" t="s">
        <v>156</v>
      </c>
      <c r="R59" s="8" t="s">
        <v>157</v>
      </c>
      <c r="S59" s="8" t="s">
        <v>1161</v>
      </c>
      <c r="T59" s="8" t="s">
        <v>1162</v>
      </c>
      <c r="U59" s="8" t="s">
        <v>1163</v>
      </c>
      <c r="V59" s="8" t="s">
        <v>1164</v>
      </c>
      <c r="W59" s="8" t="s">
        <v>1165</v>
      </c>
      <c r="X59" s="8" t="s">
        <v>1166</v>
      </c>
      <c r="Y59" s="8" t="s">
        <v>1167</v>
      </c>
      <c r="Z59" s="8" t="s">
        <v>1168</v>
      </c>
      <c r="AA59" s="8" t="s">
        <v>1169</v>
      </c>
      <c r="AB59" s="11">
        <v>0.045</v>
      </c>
      <c r="AC59" s="11">
        <v>0.045</v>
      </c>
      <c r="AD59" s="8" t="s">
        <v>142</v>
      </c>
      <c r="AE59" s="8" t="s">
        <v>142</v>
      </c>
      <c r="AF59" s="8" t="s">
        <v>142</v>
      </c>
      <c r="AG59" s="8" t="s">
        <v>142</v>
      </c>
      <c r="AH59" s="8" t="s">
        <v>142</v>
      </c>
      <c r="AI59" s="8" t="s">
        <v>142</v>
      </c>
      <c r="AJ59" s="8" t="s">
        <v>142</v>
      </c>
      <c r="AK59" s="8" t="s">
        <v>142</v>
      </c>
      <c r="AL59" s="11">
        <v>0.0482</v>
      </c>
      <c r="AM59" s="8" t="s">
        <v>501</v>
      </c>
      <c r="AN59" s="13">
        <f t="shared" si="2"/>
        <v>0.0709</v>
      </c>
      <c r="AO59" s="8" t="s">
        <v>1134</v>
      </c>
      <c r="AP59" s="8" t="s">
        <v>504</v>
      </c>
      <c r="AQ59" s="8" t="s">
        <v>504</v>
      </c>
      <c r="AR59" s="8" t="s">
        <v>504</v>
      </c>
      <c r="AS59" s="8" t="s">
        <v>504</v>
      </c>
      <c r="AT59" s="12" t="s">
        <v>504</v>
      </c>
      <c r="AU59" s="8" t="s">
        <v>1170</v>
      </c>
      <c r="AV59" s="14" t="s">
        <v>1171</v>
      </c>
      <c r="AW59" s="15"/>
      <c r="AX59" s="9">
        <v>250000.0</v>
      </c>
      <c r="AY59" s="16" t="str">
        <f>IFERROR(__xludf.DUMMYFUNCTION("IF(ISBLANK(AV59), """", IF(REGEXMATCH(AV59, ""/file/d/""), ""https://lh3.googleusercontent.com/d/"" &amp; REGEXEXTRACT(AV59, ""/d/([a-zA-Z0-9_-]+)""), AV59))"),"https://lh3.googleusercontent.com/d/1a3GsNR8OxpcCyqvUkVQdSrtbDj9inowi")</f>
        <v>https://lh3.googleusercontent.com/d/1a3GsNR8OxpcCyqvUkVQdSrtbDj9inowi</v>
      </c>
      <c r="AZ59" s="13">
        <f t="shared" si="3"/>
        <v>0.1134470588</v>
      </c>
      <c r="BA59" s="17" t="str">
        <f t="shared" si="4"/>
        <v>Est. Tax-Adjusted Yield⁹</v>
      </c>
      <c r="BB59" s="17" t="str">
        <f t="shared" si="5"/>
        <v>Offering Documents Available By Request</v>
      </c>
      <c r="BC59" s="8" t="s">
        <v>1172</v>
      </c>
      <c r="BD59" s="8" t="s">
        <v>806</v>
      </c>
      <c r="BE59" s="8" t="s">
        <v>1173</v>
      </c>
      <c r="BF59" s="17" t="str">
        <f t="shared" si="15"/>
        <v>Learn More About Invesco</v>
      </c>
      <c r="BG59" s="17" t="str">
        <f t="shared" si="16"/>
        <v>Learn More About Diversified Properties</v>
      </c>
      <c r="BH59" s="17">
        <f t="array" ref="BH59">IFERROR(XLOOKUP($B59, 'Sponsor Connection'!$A:$A, 'Sponsor Connection'!$B:$B), )</f>
        <v>1935</v>
      </c>
      <c r="BI59" s="17" t="str">
        <f t="array" ref="BI59">IFERROR(XLOOKUP($B59, 'Sponsor Connection'!$A:$A, 'Sponsor Connection'!$D:$D), )</f>
        <v>Invesco reaches the 1031 market through Invesco Real Estate Exchange (INREX), the DST arm of a global asset manager whose real estate group oversees roughly $85 billion, and it complements that with the Invesco Commercial Real Estate Finance Trust. With a 40-year real estate track record and institutional sourcing across sectors including industrial and cold storage, Invesco brings disciplined, research-driven underwriting to exchangers—DSTs being one channel within a roughly $1.8 trillion global platform.</v>
      </c>
      <c r="BJ59" s="18">
        <f t="array" ref="BJ59">IF($B59="", "", LET(aum, IFERROR(XLOOKUP($B59, 'Sponsor Connection'!$A:$A, 'Sponsor Connection'!$C:$C), ""), IF(OR(aum="", aum=0), "Not Reported", aum)))</f>
        <v>85000000000</v>
      </c>
      <c r="BK59" s="19" t="str">
        <f t="array" ref="BK59">IF(ISBLANK($B59), "", LET(val, IFERROR(XLOOKUP($B59, 'Sponsor Connection'!$A:$A, 'Sponsor Connection'!$M:$M), ""), IF(OR(ISBLANK(val), val="", val=0), "Not Reported", val)))</f>
        <v>Not Reported</v>
      </c>
      <c r="BL59" s="13" t="str">
        <f t="array" ref="BL59">IF(ISBLANK($B59), "", LET(val, IFERROR(XLOOKUP($B59, 'Sponsor Connection'!$A:$A, 'Sponsor Connection'!$N:$N), ""), IF(val="", "Not Reported", val)))</f>
        <v>No Data</v>
      </c>
      <c r="BM59" s="20" t="str">
        <f t="array" ref="BM59">IF(ISBLANK($B59), "", LET(val, IFERROR(XLOOKUP($B59, 'Sponsor Connection'!$A:$A, 'Sponsor Connection'!$O:$O), ""), IF(val="", "Not Reported", val)))</f>
        <v>No Data</v>
      </c>
      <c r="BN59" s="21" t="str">
        <f t="array" ref="BN59">IF(ISBLANK($B59), "", LET(val, IFERROR(XLOOKUP($B59, 'Sponsor Connection'!$A:$A, 'Sponsor Connection'!$P:$P), ""), IF(val="", "Not Reported", val)))</f>
        <v>No Data</v>
      </c>
      <c r="BO59" s="13" t="str">
        <f t="array" ref="BO59">IF(ISBLANK($B59), "", LET(val, IFERROR(XLOOKUP($B59, 'Sponsor Connection'!$A:$A, 'Sponsor Connection'!$Q:$Q), ""), IF(val="", "Not Reported", val)))</f>
        <v>No Data</v>
      </c>
      <c r="BP59" s="16" t="str">
        <f t="array" ref="BP59">IFERROR(XLOOKUP($B59, 'Sponsor Connection'!$A:$A, 'Sponsor Connection'!$L:$L), )</f>
        <v>https://img.logo.dev/invesco.com?token=pk_FIVsDKgZTvCedVXXtt2rEg&amp;size=200&amp;retina=true</v>
      </c>
      <c r="BQ59" s="13">
        <f t="shared" si="8"/>
        <v>0.0482</v>
      </c>
      <c r="BR59" s="13">
        <f>IFERROR(VLOOKUP(L59, Benchmarks!$A$2:$D$15, 2, FALSE), "Not Analyzed")</f>
        <v>0.0482</v>
      </c>
      <c r="BS59" s="17" t="str">
        <f t="shared" si="9"/>
        <v>Meets Average</v>
      </c>
      <c r="BT59" s="13">
        <f t="shared" si="10"/>
        <v>0</v>
      </c>
      <c r="BU59" s="13">
        <f>IFERROR(VLOOKUP(L59, Benchmarks!$A$2:$D$15, 4, FALSE), "Not Analyzed")</f>
        <v>0</v>
      </c>
      <c r="BV59" s="17" t="str">
        <f t="shared" si="11"/>
        <v>Not Analyzed</v>
      </c>
      <c r="BW59" s="13">
        <f t="shared" si="12"/>
        <v>0.045</v>
      </c>
      <c r="BX59" s="13">
        <f>IFERROR(VLOOKUP(L59, Benchmarks!$A$2:$D$15, 3, FALSE), "Not Analyzed")</f>
        <v>0.045</v>
      </c>
      <c r="BY59" s="17" t="str">
        <f t="shared" si="13"/>
        <v>Meets Average</v>
      </c>
      <c r="BZ59" s="17" t="str">
        <f t="shared" si="17"/>
        <v>Investment: IREX V Diversified Portfolio DST | Sponsor: Invesco | Structure: Delaware Statutory Trust (DST) | Status: Coming Soon / Under Review | LTV: 0.00% LTV | Availability: 1 | Location: NC, SC | Strategy: Core | 721 Exchange Exit: Mandatory | Estimated Hold: 2 years | Cap Rate Equivalent: 0.0709 | Minimum Investment: 250000</v>
      </c>
      <c r="CA59" s="17" t="str">
        <f>A59&amp;" ("&amp;H59&amp;")"&amp;CHAR(10)&amp;CHAR(10)&amp;"IREX V Diversified Portfolio DST is a $97.6 million all-cash, zero-debt Delaware Statutory Trust from Invesco Real Estate, part of Invesco Real Estate Income Trust (INREIT). The trust owns two stabilized, income-producing assets: The Elizabeth on Seventh,"&amp;" a mixed-use office and retail building in Charlotte, North Carolina (about 95% leased), and Gateway One, an industrial facility in West Columbia, South Carolina. The debt-free structure projects a 4.50% first-year distribution rising to 5.15% (4.82% aver"&amp;"age), with a $250,000 minimum and a Section 721 exchange option into INREIT."</f>
        <v>IREX V Diversified Portfolio DST (0.00% LTV)
IREX V Diversified Portfolio DST is a $97.6 million all-cash, zero-debt Delaware Statutory Trust from Invesco Real Estate, part of Invesco Real Estate Income Trust (INREIT). The trust owns two stabilized, income-producing assets: The Elizabeth on Seventh, a mixed-use office and retail building in Charlotte, North Carolina (about 95% leased), and Gateway One, an industrial facility in West Columbia, South Carolina. The debt-free structure projects a 4.50% first-year distribution rising to 5.15% (4.82% average), with a $250,000 minimum and a Section 721 exchange option into INREIT.</v>
      </c>
    </row>
    <row r="60">
      <c r="A60" s="8" t="s">
        <v>1174</v>
      </c>
      <c r="B60" s="8" t="s">
        <v>1175</v>
      </c>
      <c r="C60" s="8" t="s">
        <v>81</v>
      </c>
      <c r="D60" s="8" t="s">
        <v>152</v>
      </c>
      <c r="E60" s="9">
        <v>3.9408522E7</v>
      </c>
      <c r="F60" s="9">
        <v>2.1808522E7</v>
      </c>
      <c r="G60" s="9">
        <v>1.76E7</v>
      </c>
      <c r="H60" s="8" t="s">
        <v>1176</v>
      </c>
      <c r="I60" s="9">
        <v>2.1808522E7</v>
      </c>
      <c r="J60" s="10">
        <v>46200.0</v>
      </c>
      <c r="K60" s="11">
        <v>1.0</v>
      </c>
      <c r="L60" s="8" t="s">
        <v>176</v>
      </c>
      <c r="M60" s="8" t="s">
        <v>1177</v>
      </c>
      <c r="N60" s="12" t="s">
        <v>236</v>
      </c>
      <c r="O60" s="12" t="s">
        <v>1178</v>
      </c>
      <c r="P60" s="8" t="s">
        <v>113</v>
      </c>
      <c r="Q60" s="8" t="s">
        <v>258</v>
      </c>
      <c r="R60" s="8" t="s">
        <v>89</v>
      </c>
      <c r="S60" s="8" t="s">
        <v>1179</v>
      </c>
      <c r="T60" s="8" t="s">
        <v>1180</v>
      </c>
      <c r="U60" s="8" t="s">
        <v>1181</v>
      </c>
      <c r="V60" s="8" t="s">
        <v>1182</v>
      </c>
      <c r="W60" s="8" t="s">
        <v>1183</v>
      </c>
      <c r="X60" s="8" t="s">
        <v>1184</v>
      </c>
      <c r="Y60" s="8" t="s">
        <v>1185</v>
      </c>
      <c r="Z60" s="8" t="s">
        <v>1186</v>
      </c>
      <c r="AA60" s="8" t="s">
        <v>1187</v>
      </c>
      <c r="AB60" s="11">
        <v>0.044</v>
      </c>
      <c r="AC60" s="11">
        <v>0.044</v>
      </c>
      <c r="AD60" s="11">
        <v>0.044</v>
      </c>
      <c r="AE60" s="11">
        <v>0.044</v>
      </c>
      <c r="AF60" s="11">
        <v>0.0445</v>
      </c>
      <c r="AG60" s="11">
        <v>0.0454</v>
      </c>
      <c r="AH60" s="11">
        <v>0.0454</v>
      </c>
      <c r="AI60" s="11">
        <v>0.0499</v>
      </c>
      <c r="AJ60" s="11">
        <v>0.0517</v>
      </c>
      <c r="AK60" s="11">
        <v>0.0602</v>
      </c>
      <c r="AL60" s="11">
        <v>0.0473</v>
      </c>
      <c r="AM60" s="8" t="s">
        <v>501</v>
      </c>
      <c r="AN60" s="13">
        <f t="shared" si="2"/>
        <v>0.08266143859</v>
      </c>
      <c r="AO60" s="8" t="s">
        <v>1188</v>
      </c>
      <c r="AP60" s="8" t="s">
        <v>1189</v>
      </c>
      <c r="AQ60" s="8" t="s">
        <v>89</v>
      </c>
      <c r="AR60" s="8" t="s">
        <v>89</v>
      </c>
      <c r="AS60" s="8" t="s">
        <v>1152</v>
      </c>
      <c r="AT60" s="12" t="s">
        <v>361</v>
      </c>
      <c r="AU60" s="8" t="s">
        <v>1190</v>
      </c>
      <c r="AV60" s="14" t="s">
        <v>1191</v>
      </c>
      <c r="AW60" s="15"/>
      <c r="AX60" s="9">
        <v>100000.0</v>
      </c>
      <c r="AY60" s="16" t="str">
        <f>IFERROR(__xludf.DUMMYFUNCTION("IF(ISBLANK(AV60), """", IF(REGEXMATCH(AV60, ""/file/d/""), ""https://lh3.googleusercontent.com/d/"" &amp; REGEXEXTRACT(AV60, ""/d/([a-zA-Z0-9_-]+)""), AV60))"),"https://lh3.googleusercontent.com/d/10tM5R1wEtKi9JwL6x5Y0NSkd2S0wML-v")</f>
        <v>https://lh3.googleusercontent.com/d/10tM5R1wEtKi9JwL6x5Y0NSkd2S0wML-v</v>
      </c>
      <c r="AZ60" s="13">
        <f t="shared" si="3"/>
        <v>0.1124470588</v>
      </c>
      <c r="BA60" s="17" t="str">
        <f t="shared" si="4"/>
        <v>Est. Tax-Adjusted Yield⁹</v>
      </c>
      <c r="BB60" s="17" t="str">
        <f t="shared" si="5"/>
        <v>Offering Documents Available By Request</v>
      </c>
      <c r="BC60" s="8" t="s">
        <v>1192</v>
      </c>
      <c r="BD60" s="8" t="s">
        <v>1193</v>
      </c>
      <c r="BE60" s="8" t="s">
        <v>197</v>
      </c>
      <c r="BF60" s="17" t="str">
        <f t="shared" si="15"/>
        <v>Learn More About NewStar Exchange</v>
      </c>
      <c r="BG60" s="17" t="str">
        <f t="shared" si="16"/>
        <v>Learn More About Multifamily Properties</v>
      </c>
      <c r="BH60" s="17">
        <f t="array" ref="BH60">IFERROR(XLOOKUP($B60, 'Sponsor Connection'!$A:$A, 'Sponsor Connection'!$B:$B), )</f>
        <v>2021</v>
      </c>
      <c r="BI60" s="17" t="str">
        <f t="array" ref="BI60">IFERROR(XLOOKUP($B60, 'Sponsor Connection'!$A:$A, 'Sponsor Connection'!$D:$D), )</f>
        <v>NewStar is a vertically integrated, full-service real estate firm based in Atlanta, Georgia, founded in 2021 by former executives of Preferred Apartment Communities (NYSE: APTS). Through its NewStar Exchange affiliate it sponsors 1031/DST offerings in income-producing residential communities across fast-growing Southeastern markets. As of February 2026 it manages 15 residential investments totaling more than 1,100 units and roughly $350 million in total cost.</v>
      </c>
      <c r="BJ60" s="18" t="str">
        <f t="array" ref="BJ60">IF($B60="", "", LET(aum, IFERROR(XLOOKUP($B60, 'Sponsor Connection'!$A:$A, 'Sponsor Connection'!$C:$C), ""), IF(OR(aum="", aum=0), "Not Reported", aum)))</f>
        <v>$350M</v>
      </c>
      <c r="BK60" s="19" t="str">
        <f t="array" ref="BK60">IF(ISBLANK($B60), "", LET(val, IFERROR(XLOOKUP($B60, 'Sponsor Connection'!$A:$A, 'Sponsor Connection'!$M:$M), ""), IF(OR(ISBLANK(val), val="", val=0), "Not Reported", val)))</f>
        <v>Not Reported</v>
      </c>
      <c r="BL60" s="13" t="str">
        <f t="array" ref="BL60">IF(ISBLANK($B60), "", LET(val, IFERROR(XLOOKUP($B60, 'Sponsor Connection'!$A:$A, 'Sponsor Connection'!$N:$N), ""), IF(val="", "Not Reported", val)))</f>
        <v>Not Reported</v>
      </c>
      <c r="BM60" s="20" t="str">
        <f t="array" ref="BM60">IF(ISBLANK($B60), "", LET(val, IFERROR(XLOOKUP($B60, 'Sponsor Connection'!$A:$A, 'Sponsor Connection'!$O:$O), ""), IF(val="", "Not Reported", val)))</f>
        <v>Not Reported</v>
      </c>
      <c r="BN60" s="21" t="str">
        <f t="array" ref="BN60">IF(ISBLANK($B60), "", LET(val, IFERROR(XLOOKUP($B60, 'Sponsor Connection'!$A:$A, 'Sponsor Connection'!$P:$P), ""), IF(val="", "Not Reported", val)))</f>
        <v>Not Reported</v>
      </c>
      <c r="BO60" s="13" t="str">
        <f t="array" ref="BO60">IF(ISBLANK($B60), "", LET(val, IFERROR(XLOOKUP($B60, 'Sponsor Connection'!$A:$A, 'Sponsor Connection'!$Q:$Q), ""), IF(val="", "Not Reported", val)))</f>
        <v>Not Reported</v>
      </c>
      <c r="BP60" s="16" t="str">
        <f t="array" ref="BP60">IFERROR(XLOOKUP($B60, 'Sponsor Connection'!$A:$A, 'Sponsor Connection'!$L:$L), )</f>
        <v>https://img.logo.dev/newstar-am.com?token=pk_FIVsDKgZTvCedVXXtt2rEg&amp;size=200&amp;retina=true</v>
      </c>
      <c r="BQ60" s="13">
        <f t="shared" si="8"/>
        <v>0.0473</v>
      </c>
      <c r="BR60" s="13">
        <f>IFERROR(VLOOKUP(L60, Benchmarks!$A$2:$D$15, 2, FALSE), "Not Analyzed")</f>
        <v>0.050338</v>
      </c>
      <c r="BS60" s="17" t="str">
        <f t="shared" si="9"/>
        <v>Meets Average</v>
      </c>
      <c r="BT60" s="13">
        <f t="shared" si="10"/>
        <v>0.3681818182</v>
      </c>
      <c r="BU60" s="13">
        <f>IFERROR(VLOOKUP(L60, Benchmarks!$A$2:$D$15, 4, FALSE), "Not Analyzed")</f>
        <v>0.2473634914</v>
      </c>
      <c r="BV60" s="17" t="str">
        <f t="shared" si="11"/>
        <v>Above Average</v>
      </c>
      <c r="BW60" s="13">
        <f t="shared" si="12"/>
        <v>0.0602</v>
      </c>
      <c r="BX60" s="13">
        <f>IFERROR(VLOOKUP(L60, Benchmarks!$A$2:$D$15, 3, FALSE), "Not Analyzed")</f>
        <v>0.05289545455</v>
      </c>
      <c r="BY60" s="17" t="str">
        <f t="shared" si="13"/>
        <v>Above Average</v>
      </c>
      <c r="BZ60" s="17" t="str">
        <f t="shared" si="17"/>
        <v>Investment: NewStar 17 Sweetwater Springs DST | Sponsor: NewStar Exchange | Structure: Delaware Statutory Trust (DST) | Status: Coming Soon / Under Review | LTV: 44.66% LTV | Availability: 1 | Location: GA | Strategy: Core-Plus | 721 Exchange Exit: None | Estimated Hold: 10 years | Cap Rate Equivalent: 0.08266143859292 | Minimum Investment: 100000</v>
      </c>
      <c r="CA60" s="17" t="str">
        <f>A60&amp;" ("&amp;H60&amp;")"&amp;CHAR(10)&amp;CHAR(10)&amp;"NewStar 17 Sweetwater Springs DST is a $39.4 million Delaware Statutory Trust offering Sweetwater Springs, a 95-townhome residential community built in 2021 at 1510 Duluth Highway in Lawrenceville, Georgia, in the Atlanta metro. Sponsored by NewStar Excha"&amp;"nge, an Atlanta-based vertically integrated sponsor founded in 2021 by former Preferred Apartment Communities executives, the trust carries a $17.6 million Freddie Mac fixed-rate loan at 5.10% (interest-only) and projects a 4.40% first-year distribution r"&amp;"ising to 6.02% by year 10 (4.73% average), with a $100,000 minimum for 1031 investors."</f>
        <v>NewStar 17 Sweetwater Springs DST (44.66% LTV)
NewStar 17 Sweetwater Springs DST is a $39.4 million Delaware Statutory Trust offering Sweetwater Springs, a 95-townhome residential community built in 2021 at 1510 Duluth Highway in Lawrenceville, Georgia, in the Atlanta metro. Sponsored by NewStar Exchange, an Atlanta-based vertically integrated sponsor founded in 2021 by former Preferred Apartment Communities executives, the trust carries a $17.6 million Freddie Mac fixed-rate loan at 5.10% (interest-only) and projects a 4.40% first-year distribution rising to 6.02% by year 10 (4.73% average), with a $100,000 minimum for 1031 investors.</v>
      </c>
    </row>
    <row r="61">
      <c r="A61" s="8" t="s">
        <v>1194</v>
      </c>
      <c r="B61" s="8" t="s">
        <v>1195</v>
      </c>
      <c r="C61" s="8" t="s">
        <v>1196</v>
      </c>
      <c r="D61" s="8" t="s">
        <v>82</v>
      </c>
      <c r="E61" s="9">
        <v>1.30788123E8</v>
      </c>
      <c r="F61" s="9">
        <v>1.30788123E8</v>
      </c>
      <c r="G61" s="9" t="s">
        <v>504</v>
      </c>
      <c r="H61" s="8" t="s">
        <v>504</v>
      </c>
      <c r="I61" s="9">
        <v>1.30788123E8</v>
      </c>
      <c r="J61" s="10">
        <v>46202.0</v>
      </c>
      <c r="K61" s="11">
        <v>1.0</v>
      </c>
      <c r="L61" s="8" t="s">
        <v>1197</v>
      </c>
      <c r="M61" s="8" t="s">
        <v>1198</v>
      </c>
      <c r="N61" s="12" t="s">
        <v>1199</v>
      </c>
      <c r="O61" s="12"/>
      <c r="P61" s="8" t="s">
        <v>257</v>
      </c>
      <c r="Q61" s="8" t="s">
        <v>258</v>
      </c>
      <c r="R61" s="8" t="s">
        <v>89</v>
      </c>
      <c r="S61" s="8" t="s">
        <v>1200</v>
      </c>
      <c r="T61" s="8" t="s">
        <v>1201</v>
      </c>
      <c r="U61" s="8" t="s">
        <v>1202</v>
      </c>
      <c r="V61" s="8" t="s">
        <v>1203</v>
      </c>
      <c r="W61" s="8" t="s">
        <v>1204</v>
      </c>
      <c r="X61" s="8" t="s">
        <v>1205</v>
      </c>
      <c r="Y61" s="8" t="s">
        <v>1206</v>
      </c>
      <c r="Z61" s="8" t="s">
        <v>1207</v>
      </c>
      <c r="AA61" s="8" t="s">
        <v>1208</v>
      </c>
      <c r="AB61" s="11"/>
      <c r="AC61" s="11"/>
      <c r="AD61" s="11"/>
      <c r="AE61" s="11"/>
      <c r="AF61" s="11"/>
      <c r="AG61" s="11"/>
      <c r="AH61" s="11"/>
      <c r="AI61" s="11"/>
      <c r="AJ61" s="11"/>
      <c r="AK61" s="11"/>
      <c r="AL61" s="11"/>
      <c r="AM61" s="8" t="s">
        <v>501</v>
      </c>
      <c r="AN61" s="13" t="str">
        <f t="shared" si="2"/>
        <v>N/A</v>
      </c>
      <c r="AO61" s="8" t="s">
        <v>504</v>
      </c>
      <c r="AP61" s="8" t="s">
        <v>504</v>
      </c>
      <c r="AQ61" s="8" t="s">
        <v>504</v>
      </c>
      <c r="AR61" s="8" t="s">
        <v>504</v>
      </c>
      <c r="AS61" s="8" t="s">
        <v>504</v>
      </c>
      <c r="AT61" s="12" t="s">
        <v>504</v>
      </c>
      <c r="AU61" s="8" t="s">
        <v>1209</v>
      </c>
      <c r="AV61" s="14" t="s">
        <v>1210</v>
      </c>
      <c r="AW61" s="15"/>
      <c r="AX61" s="9">
        <v>50000.0</v>
      </c>
      <c r="AY61" s="16" t="str">
        <f>IFERROR(__xludf.DUMMYFUNCTION("IF(ISBLANK(AV61), """", IF(REGEXMATCH(AV61, ""/file/d/""), ""https://lh3.googleusercontent.com/d/"" &amp; REGEXEXTRACT(AV61, ""/d/([a-zA-Z0-9_-]+)""), AV61))"),"https://lh3.googleusercontent.com/d/19ToebjpfJVbSuBj-jap6_JRAhSRf8LTH")</f>
        <v>https://lh3.googleusercontent.com/d/19ToebjpfJVbSuBj-jap6_JRAhSRf8LTH</v>
      </c>
      <c r="AZ61" s="13">
        <f t="shared" si="3"/>
        <v>0.06844705882</v>
      </c>
      <c r="BA61" s="17" t="str">
        <f t="shared" si="4"/>
        <v>Est. Tax-Adjusted Yield⁹</v>
      </c>
      <c r="BB61" s="17" t="str">
        <f t="shared" si="5"/>
        <v>Offering Documents Available By Request</v>
      </c>
      <c r="BC61" s="8" t="s">
        <v>1211</v>
      </c>
      <c r="BD61" s="8" t="s">
        <v>1212</v>
      </c>
      <c r="BE61" s="8" t="s">
        <v>1213</v>
      </c>
      <c r="BF61" s="17" t="str">
        <f t="shared" si="15"/>
        <v>Learn More About The Wyoming Reserve</v>
      </c>
      <c r="BG61" s="17" t="str">
        <f t="shared" si="16"/>
        <v>Learn More About Precious Metals Properties</v>
      </c>
      <c r="BH61" s="17" t="str">
        <f t="array" ref="BH61">IFERROR(XLOOKUP($B61, 'Sponsor Connection'!$A:$A, 'Sponsor Connection'!$B:$B), )</f>
        <v/>
      </c>
      <c r="BI61" s="17" t="str">
        <f t="array" ref="BI61">IFERROR(XLOOKUP($B61, 'Sponsor Connection'!$A:$A, 'Sponsor Connection'!$D:$D), )</f>
        <v>The Wyoming Reserve operates a precious-metals enterprise (gold and silver trading, vaulting, fulfillment, and metal-availability services) in a Wyoming qualified opportunity zone, offered to investors as a Qualified Opportunity Zone Fund (Wyoming corporation).</v>
      </c>
      <c r="BJ61" s="18" t="str">
        <f t="array" ref="BJ61">IF($B61="", "", LET(aum, IFERROR(XLOOKUP($B61, 'Sponsor Connection'!$A:$A, 'Sponsor Connection'!$C:$C), ""), IF(OR(aum="", aum=0), "Not Reported", aum)))</f>
        <v>Not Reported</v>
      </c>
      <c r="BK61" s="19" t="str">
        <f t="array" ref="BK61">IF(ISBLANK($B61), "", LET(val, IFERROR(XLOOKUP($B61, 'Sponsor Connection'!$A:$A, 'Sponsor Connection'!$M:$M), ""), IF(OR(ISBLANK(val), val="", val=0), "Not Reported", val)))</f>
        <v>Not Reported</v>
      </c>
      <c r="BL61" s="13" t="str">
        <f t="array" ref="BL61">IF(ISBLANK($B61), "", LET(val, IFERROR(XLOOKUP($B61, 'Sponsor Connection'!$A:$A, 'Sponsor Connection'!$N:$N), ""), IF(val="", "Not Reported", val)))</f>
        <v>Not Reported</v>
      </c>
      <c r="BM61" s="20" t="str">
        <f t="array" ref="BM61">IF(ISBLANK($B61), "", LET(val, IFERROR(XLOOKUP($B61, 'Sponsor Connection'!$A:$A, 'Sponsor Connection'!$O:$O), ""), IF(val="", "Not Reported", val)))</f>
        <v>Not Reported</v>
      </c>
      <c r="BN61" s="21" t="str">
        <f t="array" ref="BN61">IF(ISBLANK($B61), "", LET(val, IFERROR(XLOOKUP($B61, 'Sponsor Connection'!$A:$A, 'Sponsor Connection'!$P:$P), ""), IF(val="", "Not Reported", val)))</f>
        <v>Not Reported</v>
      </c>
      <c r="BO61" s="13" t="str">
        <f t="array" ref="BO61">IF(ISBLANK($B61), "", LET(val, IFERROR(XLOOKUP($B61, 'Sponsor Connection'!$A:$A, 'Sponsor Connection'!$Q:$Q), ""), IF(val="", "Not Reported", val)))</f>
        <v>Not Reported</v>
      </c>
      <c r="BP61" s="16" t="str">
        <f t="array" ref="BP61">IFERROR(XLOOKUP($B61, 'Sponsor Connection'!$A:$A, 'Sponsor Connection'!$L:$L), )</f>
        <v>https://img.logo.dev/thewyomingreserve.com?token=pk_FIVsDKgZTvCedVXXtt2rEg&amp;size=200&amp;retina=true</v>
      </c>
      <c r="BQ61" s="13" t="str">
        <f t="shared" si="8"/>
        <v/>
      </c>
      <c r="BR61" s="13" t="str">
        <f>IFERROR(VLOOKUP(L61, Benchmarks!$A$2:$D$15, 2, FALSE), "Not Analyzed")</f>
        <v/>
      </c>
      <c r="BS61" s="17" t="str">
        <f t="shared" si="9"/>
        <v/>
      </c>
      <c r="BT61" s="13">
        <f t="shared" si="10"/>
        <v>0</v>
      </c>
      <c r="BU61" s="13">
        <f>IFERROR(VLOOKUP(L61, Benchmarks!$A$2:$D$15, 4, FALSE), "Not Analyzed")</f>
        <v>0</v>
      </c>
      <c r="BV61" s="17" t="str">
        <f t="shared" si="11"/>
        <v>Not Analyzed</v>
      </c>
      <c r="BW61" s="13">
        <f t="shared" si="12"/>
        <v>0</v>
      </c>
      <c r="BX61" s="13">
        <f>IFERROR(VLOOKUP(L61, Benchmarks!$A$2:$D$15, 3, FALSE), "Not Analyzed")</f>
        <v>0</v>
      </c>
      <c r="BY61" s="17" t="str">
        <f t="shared" si="13"/>
        <v>Not Analyzed</v>
      </c>
      <c r="BZ61" s="17" t="str">
        <f t="shared" si="17"/>
        <v>Investment: The Wyoming Reserve OZ Fund - Offering II | Sponsor: The Wyoming Reserve | Structure: Qualified Opportunity Zone Fund (Corporation) | Status: Available | LTV: N/A | Availability: 1 | Location: WY | Strategy: Opportunistic | 721 Exchange Exit: None | Estimated Hold: 10 years | Cap Rate Equivalent: N/A | Minimum Investment: 50000</v>
      </c>
      <c r="CA61" s="17" t="str">
        <f>A61&amp;CHAR(10)&amp;CHAR(10)&amp;S61</f>
        <v>The Wyoming Reserve OZ Fund - Offering II
The Wyoming Reserve OZ Fund - Offering II is a Qualified Opportunity Zone Fund organized as a Wyoming corporation, offering up to $130,788,123 of common stock at $13.25 per share. Unlike a real-estate QOF, its qualified opportunity zone business is a precious-metals enterprise in Wyoming - purchasing and selling gold and silver and providing vaulting, fulfillment, and metal-availability services to commercial and industrial customers. Returns are driven by trading and fee income plus appreciation of metals inventory, with an optional "Smart Liquidity" share-repurchase program (after a one-year lock-up) of up to 1% of shares monthly (12% annually). Investors may defer eligible capital gains to December 31, 2026 and, if shares are held 10 years, eliminate tax on appreciation. Offered to accredited investors under Rule 506(c); $50,000 minimum.</v>
      </c>
    </row>
    <row r="62">
      <c r="A62" s="8" t="s">
        <v>1214</v>
      </c>
      <c r="B62" s="8" t="s">
        <v>776</v>
      </c>
      <c r="C62" s="8" t="s">
        <v>1215</v>
      </c>
      <c r="D62" s="8" t="s">
        <v>82</v>
      </c>
      <c r="E62" s="9">
        <v>7.7395E7</v>
      </c>
      <c r="F62" s="9">
        <v>7.7395E7</v>
      </c>
      <c r="G62" s="9" t="s">
        <v>1216</v>
      </c>
      <c r="H62" s="8" t="s">
        <v>1085</v>
      </c>
      <c r="I62" s="9">
        <v>7.7395E7</v>
      </c>
      <c r="J62" s="10">
        <v>46202.0</v>
      </c>
      <c r="K62" s="11">
        <v>1.0</v>
      </c>
      <c r="L62" s="8" t="s">
        <v>176</v>
      </c>
      <c r="M62" s="8" t="s">
        <v>1217</v>
      </c>
      <c r="N62" s="12" t="s">
        <v>935</v>
      </c>
      <c r="O62" s="12"/>
      <c r="P62" s="8" t="s">
        <v>257</v>
      </c>
      <c r="Q62" s="8" t="s">
        <v>258</v>
      </c>
      <c r="R62" s="8" t="s">
        <v>89</v>
      </c>
      <c r="S62" s="8" t="s">
        <v>1218</v>
      </c>
      <c r="T62" s="8" t="s">
        <v>1219</v>
      </c>
      <c r="U62" s="8" t="s">
        <v>1220</v>
      </c>
      <c r="V62" s="8" t="s">
        <v>1221</v>
      </c>
      <c r="W62" s="8" t="s">
        <v>1222</v>
      </c>
      <c r="X62" s="8" t="s">
        <v>1223</v>
      </c>
      <c r="Y62" s="8" t="s">
        <v>1224</v>
      </c>
      <c r="Z62" s="8" t="s">
        <v>1225</v>
      </c>
      <c r="AA62" s="8" t="s">
        <v>1226</v>
      </c>
      <c r="AB62" s="11"/>
      <c r="AC62" s="11"/>
      <c r="AD62" s="11"/>
      <c r="AE62" s="11"/>
      <c r="AF62" s="11"/>
      <c r="AG62" s="11"/>
      <c r="AH62" s="11"/>
      <c r="AI62" s="11"/>
      <c r="AJ62" s="11"/>
      <c r="AK62" s="11"/>
      <c r="AL62" s="11"/>
      <c r="AN62" s="13" t="str">
        <f t="shared" si="2"/>
        <v>N/A</v>
      </c>
      <c r="AO62" s="8" t="s">
        <v>1227</v>
      </c>
      <c r="AP62" s="8" t="s">
        <v>504</v>
      </c>
      <c r="AQ62" s="8" t="s">
        <v>504</v>
      </c>
      <c r="AR62" s="8" t="s">
        <v>504</v>
      </c>
      <c r="AS62" s="8" t="s">
        <v>504</v>
      </c>
      <c r="AT62" s="12" t="s">
        <v>504</v>
      </c>
      <c r="AU62" s="8" t="s">
        <v>1228</v>
      </c>
      <c r="AV62" s="14" t="s">
        <v>1229</v>
      </c>
      <c r="AW62" s="15"/>
      <c r="AX62" s="9">
        <v>100000.0</v>
      </c>
      <c r="AY62" s="16" t="str">
        <f>IFERROR(__xludf.DUMMYFUNCTION("IF(ISBLANK(AV62), """", IF(REGEXMATCH(AV62, ""/file/d/""), ""https://lh3.googleusercontent.com/d/"" &amp; REGEXEXTRACT(AV62, ""/d/([a-zA-Z0-9_-]+)""), AV62))"),"https://lh3.googleusercontent.com/d/1vZqeNQWgZQ511nnKFmJLMcbPe4HepiAi")</f>
        <v>https://lh3.googleusercontent.com/d/1vZqeNQWgZQ511nnKFmJLMcbPe4HepiAi</v>
      </c>
      <c r="AZ62" s="17" t="str">
        <f t="shared" si="3"/>
        <v/>
      </c>
      <c r="BA62" s="17" t="str">
        <f t="shared" si="4"/>
        <v>Tax-Adjusted Yield</v>
      </c>
      <c r="BB62" s="17" t="str">
        <f t="shared" si="5"/>
        <v>Offering Documents Available By Request</v>
      </c>
      <c r="BC62" s="8" t="s">
        <v>1230</v>
      </c>
      <c r="BD62" s="8" t="s">
        <v>790</v>
      </c>
      <c r="BE62" s="8" t="s">
        <v>197</v>
      </c>
      <c r="BF62" s="17" t="str">
        <f t="shared" si="15"/>
        <v>Learn More About Capital Square</v>
      </c>
      <c r="BG62" s="17" t="str">
        <f t="shared" si="16"/>
        <v>Learn More About Multifamily Properties</v>
      </c>
      <c r="BH62" s="17">
        <f t="array" ref="BH62">IFERROR(XLOOKUP($B62, 'Sponsor Connection'!$A:$A, 'Sponsor Connection'!$B:$B), )</f>
        <v>2012</v>
      </c>
      <c r="BI62" s="17" t="str">
        <f t="array" ref="BI62">IFERROR(XLOOKUP($B62, 'Sponsor Connection'!$A:$A, 'Sponsor Connection'!$D:$D), )</f>
        <v>Capital Square has evolved from a pure 1031/DST sponsor into one of the more vertically integrated platforms in the securitized exchange market, with over $6 billion in AUM and more than $7.5 billion in transaction volume since its 2012 founding by Louis Rogers. Beyond sponsoring DSTs across 175-plus assets for some 6,500 investors, the firm develops its own multifamily product, manages roughly 13,000 apartments through Capital Square Living, and diversifies into Qualified Opportunity Zone funds and a REIT. That control of the full lifecycle—and full-cycle results such as a cited 159% return of equity on a completed DST—make it a benchmark name for diligence-minded exchangers.</v>
      </c>
      <c r="BJ62" s="18">
        <f t="array" ref="BJ62">IF($B62="", "", LET(aum, IFERROR(XLOOKUP($B62, 'Sponsor Connection'!$A:$A, 'Sponsor Connection'!$C:$C), ""), IF(OR(aum="", aum=0), "Not Reported", aum)))</f>
        <v>6000000000</v>
      </c>
      <c r="BK62" s="19">
        <f t="array" ref="BK62">IF(ISBLANK($B62), "", LET(val, IFERROR(XLOOKUP($B62, 'Sponsor Connection'!$A:$A, 'Sponsor Connection'!$M:$M), ""), IF(OR(ISBLANK(val), val="", val=0), "Not Reported", val)))</f>
        <v>19</v>
      </c>
      <c r="BL62" s="13">
        <f t="array" ref="BL62">IF(ISBLANK($B62), "", LET(val, IFERROR(XLOOKUP($B62, 'Sponsor Connection'!$A:$A, 'Sponsor Connection'!$N:$N), ""), IF(val="", "Not Reported", val)))</f>
        <v>0.1519947368</v>
      </c>
      <c r="BM62" s="20">
        <f t="array" ref="BM62">IF(ISBLANK($B62), "", LET(val, IFERROR(XLOOKUP($B62, 'Sponsor Connection'!$A:$A, 'Sponsor Connection'!$O:$O), ""), IF(val="", "Not Reported", val)))</f>
        <v>1.833157895</v>
      </c>
      <c r="BN62" s="21">
        <f t="array" ref="BN62">IF(ISBLANK($B62), "", LET(val, IFERROR(XLOOKUP($B62, 'Sponsor Connection'!$A:$A, 'Sponsor Connection'!$P:$P), ""), IF(val="", "Not Reported", val)))</f>
        <v>4.810526316</v>
      </c>
      <c r="BO62" s="13">
        <f t="array" ref="BO62">IF(ISBLANK($B62), "", LET(val, IFERROR(XLOOKUP($B62, 'Sponsor Connection'!$A:$A, 'Sponsor Connection'!$Q:$Q), ""), IF(val="", "Not Reported", val)))</f>
        <v>1</v>
      </c>
      <c r="BP62" s="16" t="str">
        <f t="array" ref="BP62">IFERROR(XLOOKUP($B62, 'Sponsor Connection'!$A:$A, 'Sponsor Connection'!$L:$L), )</f>
        <v>https://img.logo.dev/capitalsq.com?token=pk_FIVsDKgZTvCedVXXtt2rEg&amp;size=200&amp;retina=true</v>
      </c>
      <c r="BQ62" s="13" t="str">
        <f t="shared" si="8"/>
        <v/>
      </c>
      <c r="BR62" s="13">
        <f>IFERROR(VLOOKUP(L62, Benchmarks!$A$2:$D$15, 2, FALSE), "Not Analyzed")</f>
        <v>0.050338</v>
      </c>
      <c r="BS62" s="17" t="str">
        <f t="shared" si="9"/>
        <v/>
      </c>
      <c r="BT62" s="13">
        <f t="shared" si="10"/>
        <v>0</v>
      </c>
      <c r="BU62" s="13">
        <f>IFERROR(VLOOKUP(L62, Benchmarks!$A$2:$D$15, 4, FALSE), "Not Analyzed")</f>
        <v>0.2473634914</v>
      </c>
      <c r="BV62" s="17" t="str">
        <f t="shared" si="11"/>
        <v>Not Analyzed</v>
      </c>
      <c r="BW62" s="13">
        <f t="shared" si="12"/>
        <v>0</v>
      </c>
      <c r="BX62" s="13">
        <f>IFERROR(VLOOKUP(L62, Benchmarks!$A$2:$D$15, 3, FALSE), "Not Analyzed")</f>
        <v>0.05289545455</v>
      </c>
      <c r="BY62" s="17" t="str">
        <f t="shared" si="13"/>
        <v>Not Analyzed</v>
      </c>
      <c r="BZ62" s="17" t="str">
        <f t="shared" si="17"/>
        <v>Investment: CSRA Opportunity Zone Fund IX, LLC | Sponsor: Capital Square | Structure: Qualified Opportunity Zone Fund (LLC) | Status: Available | LTV: 50-70% (target) | Availability: 1 | Location: VA | Strategy: Opportunistic | 721 Exchange Exit: None | Estimated Hold: 10 years | Cap Rate Equivalent: N/A | Minimum Investment: 100000</v>
      </c>
      <c r="CA62" s="17" t="str">
        <f t="shared" ref="CA62:CA64" si="20">A62&amp;" ("&amp;H62&amp;")"&amp;CHAR(10)&amp;CHAR(10)&amp;S62</f>
        <v>CSRA Opportunity Zone Fund IX, LLC (50-70% (target))
CSRA Opportunity Zone Fund IX, LLC is a Capital Square-sponsored Qualified Opportunity Zone Fund developing a mixed-use community in the Scott's Addition neighborhood of Richmond, VA - 220 traditional apartments plus 100 furnished apartment-hotel rooms at 1600 Roseneath Road, with construction completion projected in Q2 2027. The fund raises up to $77,395,000 of equity ($1,000 per Investor Unit) alongside project-level construction financing. Investors receive an 11% preferred return on the first $15M of units sold (7% thereafter), followed by return of capital and an 80/20 split. The QOZ structure offers capital-gains deferral to 12/31/2026 (reduced via the fair-market-value provision while under construction) and tax-free appreciation after a 10-year hold. Accredited investors only (Rule 506(c)); $100,000 minimum.</v>
      </c>
    </row>
    <row r="63">
      <c r="A63" s="8" t="s">
        <v>1231</v>
      </c>
      <c r="B63" s="8" t="s">
        <v>1232</v>
      </c>
      <c r="C63" s="8" t="s">
        <v>81</v>
      </c>
      <c r="D63" s="8" t="s">
        <v>152</v>
      </c>
      <c r="E63" s="9">
        <v>9.4525E7</v>
      </c>
      <c r="F63" s="9">
        <v>4.567E7</v>
      </c>
      <c r="G63" s="9">
        <v>4.8855E7</v>
      </c>
      <c r="H63" s="8" t="s">
        <v>1233</v>
      </c>
      <c r="I63" s="9">
        <v>4.567E7</v>
      </c>
      <c r="J63" s="10">
        <v>46202.0</v>
      </c>
      <c r="K63" s="11">
        <v>1.0</v>
      </c>
      <c r="L63" s="8" t="s">
        <v>176</v>
      </c>
      <c r="M63" s="8" t="s">
        <v>1234</v>
      </c>
      <c r="N63" s="12" t="s">
        <v>700</v>
      </c>
      <c r="O63" s="12" t="s">
        <v>1235</v>
      </c>
      <c r="P63" s="8" t="s">
        <v>113</v>
      </c>
      <c r="Q63" s="8" t="s">
        <v>258</v>
      </c>
      <c r="R63" s="8" t="s">
        <v>89</v>
      </c>
      <c r="S63" s="8" t="s">
        <v>1236</v>
      </c>
      <c r="T63" s="8" t="s">
        <v>1237</v>
      </c>
      <c r="U63" s="8" t="s">
        <v>1238</v>
      </c>
      <c r="V63" s="8" t="s">
        <v>1239</v>
      </c>
      <c r="W63" s="8" t="s">
        <v>1240</v>
      </c>
      <c r="X63" s="8" t="s">
        <v>1241</v>
      </c>
      <c r="Y63" s="8" t="s">
        <v>1242</v>
      </c>
      <c r="Z63" s="8" t="s">
        <v>1243</v>
      </c>
      <c r="AA63" s="8" t="s">
        <v>1244</v>
      </c>
      <c r="AB63" s="11">
        <v>0.0496</v>
      </c>
      <c r="AC63" s="11">
        <v>0.0469</v>
      </c>
      <c r="AD63" s="11">
        <v>0.0471</v>
      </c>
      <c r="AE63" s="11">
        <v>0.0497</v>
      </c>
      <c r="AF63" s="11">
        <v>0.0521</v>
      </c>
      <c r="AG63" s="11">
        <v>0.0474</v>
      </c>
      <c r="AH63" s="11">
        <v>0.0503</v>
      </c>
      <c r="AI63" s="11">
        <v>0.0525</v>
      </c>
      <c r="AJ63" s="11">
        <v>0.0554</v>
      </c>
      <c r="AK63" s="11">
        <v>0.0593</v>
      </c>
      <c r="AL63" s="11">
        <f t="shared" ref="AL63:AL64" si="21">average(AB63:AK63)</f>
        <v>0.05103</v>
      </c>
      <c r="AM63" s="8" t="s">
        <v>501</v>
      </c>
      <c r="AN63" s="13">
        <f t="shared" si="2"/>
        <v>0.08748844276</v>
      </c>
      <c r="AO63" s="8" t="s">
        <v>1245</v>
      </c>
      <c r="AP63" s="8" t="s">
        <v>1246</v>
      </c>
      <c r="AQ63" s="8" t="s">
        <v>89</v>
      </c>
      <c r="AR63" s="8" t="s">
        <v>312</v>
      </c>
      <c r="AS63" s="8" t="s">
        <v>1152</v>
      </c>
      <c r="AT63" s="12" t="s">
        <v>712</v>
      </c>
      <c r="AU63" s="8" t="s">
        <v>1247</v>
      </c>
      <c r="AV63" s="14" t="s">
        <v>1248</v>
      </c>
      <c r="AW63" s="15"/>
      <c r="AX63" s="9">
        <v>100000.0</v>
      </c>
      <c r="AY63" s="16" t="str">
        <f>IFERROR(__xludf.DUMMYFUNCTION("IF(ISBLANK(AV63), """", IF(REGEXMATCH(AV63, ""/file/d/""), ""https://lh3.googleusercontent.com/d/"" &amp; REGEXEXTRACT(AV63, ""/d/([a-zA-Z0-9_-]+)""), AV63))"),"https://lh3.googleusercontent.com/d/1-bmZOvUfrugWnT-qb7UQapLdhCEh9Pt9")</f>
        <v>https://lh3.googleusercontent.com/d/1-bmZOvUfrugWnT-qb7UQapLdhCEh9Pt9</v>
      </c>
      <c r="AZ63" s="13">
        <f t="shared" si="3"/>
        <v>0.1180470588</v>
      </c>
      <c r="BA63" s="17" t="str">
        <f t="shared" si="4"/>
        <v>Est. Tax-Adjusted Yield⁹</v>
      </c>
      <c r="BB63" s="17" t="str">
        <f t="shared" si="5"/>
        <v>Offering Documents Available By Request</v>
      </c>
      <c r="BC63" s="8" t="s">
        <v>1249</v>
      </c>
      <c r="BD63" s="8" t="s">
        <v>1250</v>
      </c>
      <c r="BE63" s="8" t="s">
        <v>197</v>
      </c>
      <c r="BF63" s="17" t="str">
        <f t="shared" si="15"/>
        <v>Learn More About IDEAL Capital Group</v>
      </c>
      <c r="BG63" s="17" t="str">
        <f t="shared" si="16"/>
        <v>Learn More About Multifamily Properties</v>
      </c>
      <c r="BH63" s="17">
        <f t="array" ref="BH63">IFERROR(XLOOKUP($B63, 'Sponsor Connection'!$A:$A, 'Sponsor Connection'!$B:$B), )</f>
        <v>2017</v>
      </c>
      <c r="BI63" s="17" t="str">
        <f t="array" ref="BI63">IFERROR(XLOOKUP($B63, 'Sponsor Connection'!$A:$A, 'Sponsor Connection'!$D:$D), )</f>
        <v>IDEAL Capital Group is a Clovis, California-based private real estate investment firm focused exclusively on multifamily acquisitions and development. Built on a family real estate platform with a multi-decade operating history and established as IDEAL Capital Group in 2017, the firm and its affiliates have developed or acquired over $3 billion of multifamily housing spanning more than 100 apartment communities and 13,000-plus units across nine states. IDEAL is vertically integrated across acquisitions, finance, construction oversight, and asset management, specializing in value-add and complex multifamily repositioning to pursue above-market, risk-adjusted returns for institutional and private-equity investors.</v>
      </c>
      <c r="BJ63" s="18" t="str">
        <f t="array" ref="BJ63">IF($B63="", "", LET(aum, IFERROR(XLOOKUP($B63, 'Sponsor Connection'!$A:$A, 'Sponsor Connection'!$C:$C), ""), IF(OR(aum="", aum=0), "Not Reported", aum)))</f>
        <v>$3.3B</v>
      </c>
      <c r="BK63" s="19" t="str">
        <f t="array" ref="BK63">IF(ISBLANK($B63), "", LET(val, IFERROR(XLOOKUP($B63, 'Sponsor Connection'!$A:$A, 'Sponsor Connection'!$M:$M), ""), IF(OR(ISBLANK(val), val="", val=0), "Not Reported", val)))</f>
        <v>Not Reported</v>
      </c>
      <c r="BL63" s="13" t="str">
        <f t="array" ref="BL63">IF(ISBLANK($B63), "", LET(val, IFERROR(XLOOKUP($B63, 'Sponsor Connection'!$A:$A, 'Sponsor Connection'!$N:$N), ""), IF(val="", "Not Reported", val)))</f>
        <v>Not Reported</v>
      </c>
      <c r="BM63" s="20" t="str">
        <f t="array" ref="BM63">IF(ISBLANK($B63), "", LET(val, IFERROR(XLOOKUP($B63, 'Sponsor Connection'!$A:$A, 'Sponsor Connection'!$O:$O), ""), IF(val="", "Not Reported", val)))</f>
        <v>Not Reported</v>
      </c>
      <c r="BN63" s="21" t="str">
        <f t="array" ref="BN63">IF(ISBLANK($B63), "", LET(val, IFERROR(XLOOKUP($B63, 'Sponsor Connection'!$A:$A, 'Sponsor Connection'!$P:$P), ""), IF(val="", "Not Reported", val)))</f>
        <v>Not Reported</v>
      </c>
      <c r="BO63" s="13" t="str">
        <f t="array" ref="BO63">IF(ISBLANK($B63), "", LET(val, IFERROR(XLOOKUP($B63, 'Sponsor Connection'!$A:$A, 'Sponsor Connection'!$Q:$Q), ""), IF(val="", "Not Reported", val)))</f>
        <v>Not Reported</v>
      </c>
      <c r="BP63" s="16" t="str">
        <f t="array" ref="BP63">IFERROR(XLOOKUP($B63, 'Sponsor Connection'!$A:$A, 'Sponsor Connection'!$L:$L), )</f>
        <v>https://logo.clearbit.com/idealcapgroup.com</v>
      </c>
      <c r="BQ63" s="13">
        <f t="shared" si="8"/>
        <v>0.05103</v>
      </c>
      <c r="BR63" s="13">
        <f>IFERROR(VLOOKUP(L63, Benchmarks!$A$2:$D$15, 2, FALSE), "Not Analyzed")</f>
        <v>0.050338</v>
      </c>
      <c r="BS63" s="17" t="str">
        <f t="shared" si="9"/>
        <v>Meets Average</v>
      </c>
      <c r="BT63" s="13">
        <f t="shared" si="10"/>
        <v>0.1955645161</v>
      </c>
      <c r="BU63" s="13">
        <f>IFERROR(VLOOKUP(L63, Benchmarks!$A$2:$D$15, 4, FALSE), "Not Analyzed")</f>
        <v>0.2473634914</v>
      </c>
      <c r="BV63" s="17" t="str">
        <f t="shared" si="11"/>
        <v>Below Average</v>
      </c>
      <c r="BW63" s="13">
        <f t="shared" si="12"/>
        <v>0.0593</v>
      </c>
      <c r="BX63" s="13">
        <f>IFERROR(VLOOKUP(L63, Benchmarks!$A$2:$D$15, 3, FALSE), "Not Analyzed")</f>
        <v>0.05289545455</v>
      </c>
      <c r="BY63" s="17" t="str">
        <f t="shared" si="13"/>
        <v>Above Average</v>
      </c>
      <c r="BZ63" s="17" t="str">
        <f t="shared" si="17"/>
        <v>Investment: IDEAL Ecco Park DST | Sponsor: IDEAL Capital Group | Structure: Delaware Statutory Trust (DST) | Status: Coming Soon / Under Review | LTV: 51.68% LTV | Availability: 1 | Location: OH | Strategy: Core-Plus | 721 Exchange Exit: None | Estimated Hold: 10 years | Cap Rate Equivalent: 0.0874884427604592 | Minimum Investment: 100000</v>
      </c>
      <c r="CA63" s="17" t="str">
        <f t="shared" si="20"/>
        <v>IDEAL Ecco Park DST (51.68% LTV)
IDEAL Ecco Park DST is a $94.5 million Delaware Statutory Trust from IDEAL Capital Group offering Ecco Park, a 360-unit Class A multifamily community completed in 2024 on 23.73 acres at 3461 Huddle Way in Canal Winchester, Ohio, in the Columbus metro. The trust acquired the property for $83 million and placed a $48.86 million Freddie Mac loan fixed at 5.17% for ten years (interest-only through 2031), leaving $45.67 million of equity at a 51.68% LTV. A 15-year, 100% property-tax abatement on the improvements materially reduces operating expenses. The offering is made under Rule 506(c) with a $100,000 minimum for 1031 investors.</v>
      </c>
    </row>
    <row r="64">
      <c r="A64" s="8" t="s">
        <v>1251</v>
      </c>
      <c r="B64" s="8" t="s">
        <v>215</v>
      </c>
      <c r="C64" s="8" t="s">
        <v>81</v>
      </c>
      <c r="D64" s="8" t="s">
        <v>82</v>
      </c>
      <c r="E64" s="9">
        <v>9.7979841E7</v>
      </c>
      <c r="F64" s="9">
        <v>5.8979841E7</v>
      </c>
      <c r="G64" s="9">
        <v>3.9E7</v>
      </c>
      <c r="H64" s="8" t="s">
        <v>1252</v>
      </c>
      <c r="I64" s="9">
        <v>5.8979841E7</v>
      </c>
      <c r="J64" s="10">
        <v>46202.0</v>
      </c>
      <c r="K64" s="11">
        <v>1.0</v>
      </c>
      <c r="L64" s="8" t="s">
        <v>277</v>
      </c>
      <c r="M64" s="8" t="s">
        <v>1253</v>
      </c>
      <c r="N64" s="12" t="s">
        <v>1254</v>
      </c>
      <c r="O64" s="12" t="s">
        <v>155</v>
      </c>
      <c r="P64" s="8" t="s">
        <v>87</v>
      </c>
      <c r="Q64" s="8" t="s">
        <v>88</v>
      </c>
      <c r="R64" s="8" t="s">
        <v>312</v>
      </c>
      <c r="S64" s="8" t="s">
        <v>1255</v>
      </c>
      <c r="T64" s="8" t="s">
        <v>1256</v>
      </c>
      <c r="U64" s="8" t="s">
        <v>1257</v>
      </c>
      <c r="V64" s="8" t="s">
        <v>1258</v>
      </c>
      <c r="W64" s="8" t="s">
        <v>1259</v>
      </c>
      <c r="X64" s="8" t="s">
        <v>1260</v>
      </c>
      <c r="Y64" s="8" t="s">
        <v>1261</v>
      </c>
      <c r="Z64" s="8" t="s">
        <v>1262</v>
      </c>
      <c r="AA64" s="8" t="s">
        <v>1263</v>
      </c>
      <c r="AB64" s="11">
        <v>0.0437</v>
      </c>
      <c r="AC64" s="11">
        <v>0.0466</v>
      </c>
      <c r="AD64" s="11">
        <v>0.0489</v>
      </c>
      <c r="AE64" s="11">
        <v>0.0529</v>
      </c>
      <c r="AF64" s="11">
        <v>0.057</v>
      </c>
      <c r="AG64" s="8" t="s">
        <v>142</v>
      </c>
      <c r="AH64" s="8" t="s">
        <v>142</v>
      </c>
      <c r="AI64" s="8" t="s">
        <v>142</v>
      </c>
      <c r="AJ64" s="8" t="s">
        <v>142</v>
      </c>
      <c r="AK64" s="8" t="s">
        <v>142</v>
      </c>
      <c r="AL64" s="11">
        <f t="shared" si="21"/>
        <v>0.04982</v>
      </c>
      <c r="AM64" s="8" t="s">
        <v>501</v>
      </c>
      <c r="AN64" s="13">
        <f t="shared" si="2"/>
        <v>0.08108393417</v>
      </c>
      <c r="AO64" s="8" t="s">
        <v>1264</v>
      </c>
      <c r="AP64" s="8" t="s">
        <v>1265</v>
      </c>
      <c r="AQ64" s="8" t="s">
        <v>312</v>
      </c>
      <c r="AR64" s="8" t="s">
        <v>312</v>
      </c>
      <c r="AS64" s="8" t="s">
        <v>145</v>
      </c>
      <c r="AT64" s="12" t="s">
        <v>324</v>
      </c>
      <c r="AU64" s="8" t="s">
        <v>1266</v>
      </c>
      <c r="AV64" s="14" t="s">
        <v>1267</v>
      </c>
      <c r="AW64" s="15"/>
      <c r="AX64" s="9">
        <v>100000.0</v>
      </c>
      <c r="AY64" s="16" t="str">
        <f>IFERROR(__xludf.DUMMYFUNCTION("IF(ISBLANK(AV64), """", IF(REGEXMATCH(AV64, ""/file/d/""), ""https://lh3.googleusercontent.com/d/"" &amp; REGEXEXTRACT(AV64, ""/d/([a-zA-Z0-9_-]+)""), AV64))"),"https://lh3.googleusercontent.com/d/1rJdzAcWfhw8mdJymZ3vyX-OTgnhU9rMr")</f>
        <v>https://lh3.googleusercontent.com/d/1rJdzAcWfhw8mdJymZ3vyX-OTgnhU9rMr</v>
      </c>
      <c r="AZ64" s="13">
        <f t="shared" si="3"/>
        <v>0.1121470588</v>
      </c>
      <c r="BA64" s="17" t="str">
        <f t="shared" si="4"/>
        <v>Est. Tax-Adjusted Yield⁹</v>
      </c>
      <c r="BB64" s="17" t="str">
        <f t="shared" si="5"/>
        <v>Offering Documents Available By Request</v>
      </c>
      <c r="BC64" s="8" t="s">
        <v>1268</v>
      </c>
      <c r="BD64" s="8" t="s">
        <v>233</v>
      </c>
      <c r="BE64" s="8" t="s">
        <v>293</v>
      </c>
      <c r="BF64" s="17" t="str">
        <f t="shared" si="15"/>
        <v>Learn More About Brookfield</v>
      </c>
      <c r="BG64" s="17" t="str">
        <f t="shared" si="16"/>
        <v>Learn More About Net Lease Properties</v>
      </c>
      <c r="BH64" s="17">
        <f t="array" ref="BH64">IFERROR(XLOOKUP($B64, 'Sponsor Connection'!$A:$A, 'Sponsor Connection'!$B:$B), )</f>
        <v>1899</v>
      </c>
      <c r="BI64" s="17" t="str">
        <f t="array" ref="BI64">IFERROR(XLOOKUP($B64, 'Sponsor Connection'!$A:$A, 'Sponsor Connection'!$D:$D), )</f>
        <v>Brookfield is a global owner-operator of real assets with well over $1 trillion in AUM and roughly $31 billion in U.S. institutional real estate, and it reaches retail and exchange investors through the Brookfield Real Estate Income Trust. Its competitive advantage is operational rather than financial-engineering: deep in-house operating platforms across infrastructure, renewables and property allow it to drive value at the asset level. Backed by a perpetual-capital base and a 125-year institutional lineage, Brookfield brings owner-operator scale that few sponsors can replicate, with DST/non-traded vehicles a small slice of the whole.</v>
      </c>
      <c r="BJ64" s="18">
        <f t="array" ref="BJ64">IF($B64="", "", LET(aum, IFERROR(XLOOKUP($B64, 'Sponsor Connection'!$A:$A, 'Sponsor Connection'!$C:$C), ""), IF(OR(aum="", aum=0), "Not Reported", aum)))</f>
        <v>1000000000000</v>
      </c>
      <c r="BK64" s="19" t="str">
        <f t="array" ref="BK64">IF(ISBLANK($B64), "", LET(val, IFERROR(XLOOKUP($B64, 'Sponsor Connection'!$A:$A, 'Sponsor Connection'!$M:$M), ""), IF(OR(ISBLANK(val), val="", val=0), "Not Reported", val)))</f>
        <v>Not Reported</v>
      </c>
      <c r="BL64" s="13" t="str">
        <f t="array" ref="BL64">IF(ISBLANK($B64), "", LET(val, IFERROR(XLOOKUP($B64, 'Sponsor Connection'!$A:$A, 'Sponsor Connection'!$N:$N), ""), IF(val="", "Not Reported", val)))</f>
        <v>No Data</v>
      </c>
      <c r="BM64" s="20" t="str">
        <f t="array" ref="BM64">IF(ISBLANK($B64), "", LET(val, IFERROR(XLOOKUP($B64, 'Sponsor Connection'!$A:$A, 'Sponsor Connection'!$O:$O), ""), IF(val="", "Not Reported", val)))</f>
        <v>No Data</v>
      </c>
      <c r="BN64" s="21" t="str">
        <f t="array" ref="BN64">IF(ISBLANK($B64), "", LET(val, IFERROR(XLOOKUP($B64, 'Sponsor Connection'!$A:$A, 'Sponsor Connection'!$P:$P), ""), IF(val="", "Not Reported", val)))</f>
        <v>No Data</v>
      </c>
      <c r="BO64" s="13" t="str">
        <f t="array" ref="BO64">IF(ISBLANK($B64), "", LET(val, IFERROR(XLOOKUP($B64, 'Sponsor Connection'!$A:$A, 'Sponsor Connection'!$Q:$Q), ""), IF(val="", "Not Reported", val)))</f>
        <v>No Data</v>
      </c>
      <c r="BP64" s="16" t="str">
        <f t="array" ref="BP64">IFERROR(XLOOKUP($B64, 'Sponsor Connection'!$A:$A, 'Sponsor Connection'!$L:$L), )</f>
        <v>https://img.logo.dev/brookfield.com?token=pk_FIVsDKgZTvCedVXXtt2rEg&amp;size=200&amp;retina=true</v>
      </c>
      <c r="BQ64" s="13">
        <f t="shared" si="8"/>
        <v>0.04982</v>
      </c>
      <c r="BR64" s="13">
        <f>IFERROR(VLOOKUP(L64, Benchmarks!$A$2:$D$15, 2, FALSE), "Not Analyzed")</f>
        <v>0.05184571429</v>
      </c>
      <c r="BS64" s="17" t="str">
        <f t="shared" si="9"/>
        <v>Meets Average</v>
      </c>
      <c r="BT64" s="13">
        <f t="shared" si="10"/>
        <v>0.3043478261</v>
      </c>
      <c r="BU64" s="13">
        <f>IFERROR(VLOOKUP(L64, Benchmarks!$A$2:$D$15, 4, FALSE), "Not Analyzed")</f>
        <v>0.09042966756</v>
      </c>
      <c r="BV64" s="17" t="str">
        <f t="shared" si="11"/>
        <v>Above Average</v>
      </c>
      <c r="BW64" s="13">
        <f t="shared" si="12"/>
        <v>0.057</v>
      </c>
      <c r="BX64" s="13">
        <f>IFERROR(VLOOKUP(L64, Benchmarks!$A$2:$D$15, 3, FALSE), "Not Analyzed")</f>
        <v>0.05365714286</v>
      </c>
      <c r="BY64" s="17" t="str">
        <f t="shared" si="13"/>
        <v>Meets Average</v>
      </c>
      <c r="BZ64" s="17" t="str">
        <f t="shared" si="17"/>
        <v>Investment: BREX Net Lease Data Center I DST | Sponsor: Brookfield | Structure: Delaware Statutory Trust (DST) | Status: Available | LTV: 39.80% LTV | Availability: 1 | Location: CA | Strategy: Core | 721 Exchange Exit: Optional | Estimated Hold: 5 years | Cap Rate Equivalent: 0.0810839341692391 | Minimum Investment: 100000</v>
      </c>
      <c r="CA64" s="17" t="str">
        <f t="shared" si="20"/>
        <v>BREX Net Lease Data Center I DST (39.80% LTV)
BREX Net Lease Data Center I DST is a $98.0 million Delaware Statutory Trust from Brookfield (Brookfield Real Estate Exchange) offering 255 Caspian Drive, a Tier III single-tenant data center totaling 119,756 square feet (6.5 MW of critical IT capacity) in Sunnyvale, California, in the heart of Silicon Valley. The facility is net-leased to Equinix (S&amp;P: BBB+) with 4.4% annual rent increases and a master lease running to 2046; the trust is capitalized with $58.98 million of equity and $39.0 million of debt fixed via hedge at 5.25% through 2031, a 39.8% LTV. A 721 UPREIT exchange option into a Brookfield REIT may be available at the sponsor's discretion. The offering is made under Rule 506(c) with a $100,000 minimum.</v>
      </c>
    </row>
    <row r="65">
      <c r="I65" s="24"/>
      <c r="J65" s="25"/>
      <c r="K65" s="13"/>
      <c r="BJ65" s="18" t="str">
        <f t="array" ref="BJ65">IF($B65="", "", LET(aum, IFERROR(XLOOKUP($B65, 'Sponsor Connection'!$A:$A, 'Sponsor Connection'!$C:$C), ""), IF(OR(aum="", aum=0), "Not Reported", aum)))</f>
        <v/>
      </c>
      <c r="BK65" s="19" t="str">
        <f t="array" ref="BK65">IF(ISBLANK($B65), "", LET(val, IFERROR(XLOOKUP($B65, 'Sponsor Connection'!$A:$A, 'Sponsor Connection'!$M:$M), ""), IF(val="", "Not Reported", val)))</f>
        <v/>
      </c>
      <c r="BL65" s="13" t="str">
        <f t="array" ref="BL65">IF(ISBLANK($B65), "", LET(val, IFERROR(XLOOKUP($B65, 'Sponsor Connection'!$A:$A, 'Sponsor Connection'!$N:$N), ""), IF(val="", "Not Reported", val)))</f>
        <v/>
      </c>
      <c r="BM65" s="20" t="str">
        <f t="array" ref="BM65">IF(ISBLANK($B65), "", LET(val, IFERROR(XLOOKUP($B65, 'Sponsor Connection'!$A:$A, 'Sponsor Connection'!$O:$O), ""), IF(val="", "Not Reported", val)))</f>
        <v/>
      </c>
      <c r="BN65" s="21" t="str">
        <f t="array" ref="BN65">IF(ISBLANK($B65), "", LET(val, IFERROR(XLOOKUP($B65, 'Sponsor Connection'!$A:$A, 'Sponsor Connection'!$P:$P), ""), IF(val="", "Not Reported", val)))</f>
        <v/>
      </c>
      <c r="BO65" s="13" t="str">
        <f t="array" ref="BO65">IF(ISBLANK($B65), "", LET(val, IFERROR(XLOOKUP($B65, 'Sponsor Connection'!$A:$A, 'Sponsor Connection'!$Q:$Q), ""), IF(val="", "Not Reported", val)))</f>
        <v/>
      </c>
    </row>
    <row r="66">
      <c r="I66" s="24"/>
      <c r="J66" s="25"/>
      <c r="K66" s="13"/>
      <c r="BJ66" s="18" t="str">
        <f t="array" ref="BJ66">IF($B66="", "", LET(aum, IFERROR(XLOOKUP($B66, 'Sponsor Connection'!$A:$A, 'Sponsor Connection'!$C:$C), ""), IF(OR(aum="", aum=0), "Not Reported", aum)))</f>
        <v/>
      </c>
      <c r="BK66" s="19" t="str">
        <f t="array" ref="BK66">IF(ISBLANK($B66), "", LET(val, IFERROR(XLOOKUP($B66, 'Sponsor Connection'!$A:$A, 'Sponsor Connection'!$M:$M), ""), IF(val="", "Not Reported", val)))</f>
        <v/>
      </c>
      <c r="BL66" s="13" t="str">
        <f t="array" ref="BL66">IF(ISBLANK($B66), "", LET(val, IFERROR(XLOOKUP($B66, 'Sponsor Connection'!$A:$A, 'Sponsor Connection'!$N:$N), ""), IF(val="", "Not Reported", val)))</f>
        <v/>
      </c>
      <c r="BM66" s="20" t="str">
        <f t="array" ref="BM66">IF(ISBLANK($B66), "", LET(val, IFERROR(XLOOKUP($B66, 'Sponsor Connection'!$A:$A, 'Sponsor Connection'!$O:$O), ""), IF(val="", "Not Reported", val)))</f>
        <v/>
      </c>
      <c r="BN66" s="21" t="str">
        <f t="array" ref="BN66">IF(ISBLANK($B66), "", LET(val, IFERROR(XLOOKUP($B66, 'Sponsor Connection'!$A:$A, 'Sponsor Connection'!$P:$P), ""), IF(val="", "Not Reported", val)))</f>
        <v/>
      </c>
      <c r="BO66" s="13" t="str">
        <f t="array" ref="BO66">IF(ISBLANK($B66), "", LET(val, IFERROR(XLOOKUP($B66, 'Sponsor Connection'!$A:$A, 'Sponsor Connection'!$Q:$Q), ""), IF(val="", "Not Reported", val)))</f>
        <v/>
      </c>
    </row>
    <row r="67">
      <c r="I67" s="24"/>
      <c r="J67" s="25"/>
      <c r="K67" s="13"/>
      <c r="BJ67" s="18" t="str">
        <f t="array" ref="BJ67">IF($B67="", "", LET(aum, IFERROR(XLOOKUP($B67, 'Sponsor Connection'!$A:$A, 'Sponsor Connection'!$C:$C), ""), IF(OR(aum="", aum=0), "Not Reported", aum)))</f>
        <v/>
      </c>
      <c r="BK67" s="19" t="str">
        <f t="array" ref="BK67">IF(ISBLANK($B67), "", LET(val, IFERROR(XLOOKUP($B67, 'Sponsor Connection'!$A:$A, 'Sponsor Connection'!$M:$M), ""), IF(val="", "Not Reported", val)))</f>
        <v/>
      </c>
      <c r="BL67" s="13" t="str">
        <f t="array" ref="BL67">IF(ISBLANK($B67), "", LET(val, IFERROR(XLOOKUP($B67, 'Sponsor Connection'!$A:$A, 'Sponsor Connection'!$N:$N), ""), IF(val="", "Not Reported", val)))</f>
        <v/>
      </c>
      <c r="BM67" s="20" t="str">
        <f t="array" ref="BM67">IF(ISBLANK($B67), "", LET(val, IFERROR(XLOOKUP($B67, 'Sponsor Connection'!$A:$A, 'Sponsor Connection'!$O:$O), ""), IF(val="", "Not Reported", val)))</f>
        <v/>
      </c>
      <c r="BN67" s="21" t="str">
        <f t="array" ref="BN67">IF(ISBLANK($B67), "", LET(val, IFERROR(XLOOKUP($B67, 'Sponsor Connection'!$A:$A, 'Sponsor Connection'!$P:$P), ""), IF(val="", "Not Reported", val)))</f>
        <v/>
      </c>
      <c r="BO67" s="13" t="str">
        <f t="array" ref="BO67">IF(ISBLANK($B67), "", LET(val, IFERROR(XLOOKUP($B67, 'Sponsor Connection'!$A:$A, 'Sponsor Connection'!$Q:$Q), ""), IF(val="", "Not Reported", val)))</f>
        <v/>
      </c>
    </row>
    <row r="68">
      <c r="I68" s="24"/>
      <c r="J68" s="25"/>
      <c r="K68" s="13"/>
      <c r="BJ68" s="18" t="str">
        <f t="array" ref="BJ68">IF($B68="", "", LET(aum, IFERROR(XLOOKUP($B68, 'Sponsor Connection'!$A:$A, 'Sponsor Connection'!$C:$C), ""), IF(OR(aum="", aum=0), "Not Reported", aum)))</f>
        <v/>
      </c>
      <c r="BK68" s="19" t="str">
        <f t="array" ref="BK68">IF(ISBLANK($B68), "", LET(val, IFERROR(XLOOKUP($B68, 'Sponsor Connection'!$A:$A, 'Sponsor Connection'!$M:$M), ""), IF(val="", "Not Reported", val)))</f>
        <v/>
      </c>
      <c r="BL68" s="13" t="str">
        <f t="array" ref="BL68">IF(ISBLANK($B68), "", LET(val, IFERROR(XLOOKUP($B68, 'Sponsor Connection'!$A:$A, 'Sponsor Connection'!$N:$N), ""), IF(val="", "Not Reported", val)))</f>
        <v/>
      </c>
      <c r="BM68" s="20" t="str">
        <f t="array" ref="BM68">IF(ISBLANK($B68), "", LET(val, IFERROR(XLOOKUP($B68, 'Sponsor Connection'!$A:$A, 'Sponsor Connection'!$O:$O), ""), IF(val="", "Not Reported", val)))</f>
        <v/>
      </c>
      <c r="BN68" s="21" t="str">
        <f t="array" ref="BN68">IF(ISBLANK($B68), "", LET(val, IFERROR(XLOOKUP($B68, 'Sponsor Connection'!$A:$A, 'Sponsor Connection'!$P:$P), ""), IF(val="", "Not Reported", val)))</f>
        <v/>
      </c>
      <c r="BO68" s="13" t="str">
        <f t="array" ref="BO68">IF(ISBLANK($B68), "", LET(val, IFERROR(XLOOKUP($B68, 'Sponsor Connection'!$A:$A, 'Sponsor Connection'!$Q:$Q), ""), IF(val="", "Not Reported", val)))</f>
        <v/>
      </c>
    </row>
    <row r="69">
      <c r="I69" s="24"/>
      <c r="J69" s="25"/>
      <c r="K69" s="13"/>
      <c r="BJ69" s="18" t="str">
        <f t="array" ref="BJ69">IF($B69="", "", LET(aum, IFERROR(XLOOKUP($B69, 'Sponsor Connection'!$A:$A, 'Sponsor Connection'!$C:$C), ""), IF(OR(aum="", aum=0), "Not Reported", aum)))</f>
        <v/>
      </c>
      <c r="BK69" s="19" t="str">
        <f t="array" ref="BK69">IF(ISBLANK($B69), "", LET(val, IFERROR(XLOOKUP($B69, 'Sponsor Connection'!$A:$A, 'Sponsor Connection'!$M:$M), ""), IF(val="", "Not Reported", val)))</f>
        <v/>
      </c>
      <c r="BL69" s="13" t="str">
        <f t="array" ref="BL69">IF(ISBLANK($B69), "", LET(val, IFERROR(XLOOKUP($B69, 'Sponsor Connection'!$A:$A, 'Sponsor Connection'!$N:$N), ""), IF(val="", "Not Reported", val)))</f>
        <v/>
      </c>
      <c r="BM69" s="20" t="str">
        <f t="array" ref="BM69">IF(ISBLANK($B69), "", LET(val, IFERROR(XLOOKUP($B69, 'Sponsor Connection'!$A:$A, 'Sponsor Connection'!$O:$O), ""), IF(val="", "Not Reported", val)))</f>
        <v/>
      </c>
      <c r="BN69" s="21" t="str">
        <f t="array" ref="BN69">IF(ISBLANK($B69), "", LET(val, IFERROR(XLOOKUP($B69, 'Sponsor Connection'!$A:$A, 'Sponsor Connection'!$P:$P), ""), IF(val="", "Not Reported", val)))</f>
        <v/>
      </c>
      <c r="BO69" s="13" t="str">
        <f t="array" ref="BO69">IF(ISBLANK($B69), "", LET(val, IFERROR(XLOOKUP($B69, 'Sponsor Connection'!$A:$A, 'Sponsor Connection'!$Q:$Q), ""), IF(val="", "Not Reported", val)))</f>
        <v/>
      </c>
    </row>
    <row r="70">
      <c r="I70" s="24"/>
      <c r="J70" s="25"/>
      <c r="K70" s="13"/>
      <c r="BJ70" s="18" t="str">
        <f t="array" ref="BJ70">IF($B70="", "", LET(aum, IFERROR(XLOOKUP($B70, 'Sponsor Connection'!$A:$A, 'Sponsor Connection'!$C:$C), ""), IF(OR(aum="", aum=0), "Not Reported", aum)))</f>
        <v/>
      </c>
      <c r="BK70" s="19" t="str">
        <f t="array" ref="BK70">IF(ISBLANK($B70), "", LET(val, IFERROR(XLOOKUP($B70, 'Sponsor Connection'!$A:$A, 'Sponsor Connection'!$M:$M), ""), IF(val="", "Not Reported", val)))</f>
        <v/>
      </c>
      <c r="BL70" s="13" t="str">
        <f t="array" ref="BL70">IF(ISBLANK($B70), "", LET(val, IFERROR(XLOOKUP($B70, 'Sponsor Connection'!$A:$A, 'Sponsor Connection'!$N:$N), ""), IF(val="", "Not Reported", val)))</f>
        <v/>
      </c>
      <c r="BM70" s="20" t="str">
        <f t="array" ref="BM70">IF(ISBLANK($B70), "", LET(val, IFERROR(XLOOKUP($B70, 'Sponsor Connection'!$A:$A, 'Sponsor Connection'!$O:$O), ""), IF(val="", "Not Reported", val)))</f>
        <v/>
      </c>
      <c r="BN70" s="21" t="str">
        <f t="array" ref="BN70">IF(ISBLANK($B70), "", LET(val, IFERROR(XLOOKUP($B70, 'Sponsor Connection'!$A:$A, 'Sponsor Connection'!$P:$P), ""), IF(val="", "Not Reported", val)))</f>
        <v/>
      </c>
      <c r="BO70" s="13" t="str">
        <f t="array" ref="BO70">IF(ISBLANK($B70), "", LET(val, IFERROR(XLOOKUP($B70, 'Sponsor Connection'!$A:$A, 'Sponsor Connection'!$Q:$Q), ""), IF(val="", "Not Reported", val)))</f>
        <v/>
      </c>
    </row>
    <row r="71">
      <c r="I71" s="24"/>
      <c r="J71" s="25"/>
      <c r="K71" s="13"/>
      <c r="BJ71" s="18" t="str">
        <f t="array" ref="BJ71">IF($B71="", "", LET(aum, IFERROR(XLOOKUP($B71, 'Sponsor Connection'!$A:$A, 'Sponsor Connection'!$C:$C), ""), IF(OR(aum="", aum=0), "Not Reported", aum)))</f>
        <v/>
      </c>
      <c r="BK71" s="19" t="str">
        <f t="array" ref="BK71">IF(ISBLANK($B71), "", LET(val, IFERROR(XLOOKUP($B71, 'Sponsor Connection'!$A:$A, 'Sponsor Connection'!$M:$M), ""), IF(val="", "Not Reported", val)))</f>
        <v/>
      </c>
      <c r="BL71" s="13" t="str">
        <f t="array" ref="BL71">IF(ISBLANK($B71), "", LET(val, IFERROR(XLOOKUP($B71, 'Sponsor Connection'!$A:$A, 'Sponsor Connection'!$N:$N), ""), IF(val="", "Not Reported", val)))</f>
        <v/>
      </c>
      <c r="BM71" s="20" t="str">
        <f t="array" ref="BM71">IF(ISBLANK($B71), "", LET(val, IFERROR(XLOOKUP($B71, 'Sponsor Connection'!$A:$A, 'Sponsor Connection'!$O:$O), ""), IF(val="", "Not Reported", val)))</f>
        <v/>
      </c>
      <c r="BN71" s="21" t="str">
        <f t="array" ref="BN71">IF(ISBLANK($B71), "", LET(val, IFERROR(XLOOKUP($B71, 'Sponsor Connection'!$A:$A, 'Sponsor Connection'!$P:$P), ""), IF(val="", "Not Reported", val)))</f>
        <v/>
      </c>
      <c r="BO71" s="13" t="str">
        <f t="array" ref="BO71">IF(ISBLANK($B71), "", LET(val, IFERROR(XLOOKUP($B71, 'Sponsor Connection'!$A:$A, 'Sponsor Connection'!$Q:$Q), ""), IF(val="", "Not Reported", val)))</f>
        <v/>
      </c>
    </row>
    <row r="72">
      <c r="I72" s="24"/>
      <c r="J72" s="25"/>
      <c r="K72" s="13"/>
      <c r="BJ72" s="18" t="str">
        <f t="array" ref="BJ72">IF($B72="", "", LET(aum, IFERROR(XLOOKUP($B72, 'Sponsor Connection'!$A:$A, 'Sponsor Connection'!$C:$C), ""), IF(OR(aum="", aum=0), "Not Reported", aum)))</f>
        <v/>
      </c>
      <c r="BK72" s="19" t="str">
        <f t="array" ref="BK72">IF(ISBLANK($B72), "", LET(val, IFERROR(XLOOKUP($B72, 'Sponsor Connection'!$A:$A, 'Sponsor Connection'!$M:$M), ""), IF(val="", "Not Reported", val)))</f>
        <v/>
      </c>
      <c r="BL72" s="13" t="str">
        <f t="array" ref="BL72">IF(ISBLANK($B72), "", LET(val, IFERROR(XLOOKUP($B72, 'Sponsor Connection'!$A:$A, 'Sponsor Connection'!$N:$N), ""), IF(val="", "Not Reported", val)))</f>
        <v/>
      </c>
      <c r="BM72" s="20" t="str">
        <f t="array" ref="BM72">IF(ISBLANK($B72), "", LET(val, IFERROR(XLOOKUP($B72, 'Sponsor Connection'!$A:$A, 'Sponsor Connection'!$O:$O), ""), IF(val="", "Not Reported", val)))</f>
        <v/>
      </c>
      <c r="BN72" s="21" t="str">
        <f t="array" ref="BN72">IF(ISBLANK($B72), "", LET(val, IFERROR(XLOOKUP($B72, 'Sponsor Connection'!$A:$A, 'Sponsor Connection'!$P:$P), ""), IF(val="", "Not Reported", val)))</f>
        <v/>
      </c>
      <c r="BO72" s="13" t="str">
        <f t="array" ref="BO72">IF(ISBLANK($B72), "", LET(val, IFERROR(XLOOKUP($B72, 'Sponsor Connection'!$A:$A, 'Sponsor Connection'!$Q:$Q), ""), IF(val="", "Not Reported", val)))</f>
        <v/>
      </c>
    </row>
    <row r="73">
      <c r="I73" s="24"/>
      <c r="J73" s="25"/>
      <c r="K73" s="13"/>
      <c r="BJ73" s="18" t="str">
        <f t="array" ref="BJ73">IF($B73="", "", LET(aum, IFERROR(XLOOKUP($B73, 'Sponsor Connection'!$A:$A, 'Sponsor Connection'!$C:$C), ""), IF(OR(aum="", aum=0), "Not Reported", aum)))</f>
        <v/>
      </c>
      <c r="BK73" s="19" t="str">
        <f t="array" ref="BK73">IF(ISBLANK($B73), "", LET(val, IFERROR(XLOOKUP($B73, 'Sponsor Connection'!$A:$A, 'Sponsor Connection'!$M:$M), ""), IF(val="", "Not Reported", val)))</f>
        <v/>
      </c>
      <c r="BL73" s="13" t="str">
        <f t="array" ref="BL73">IF(ISBLANK($B73), "", LET(val, IFERROR(XLOOKUP($B73, 'Sponsor Connection'!$A:$A, 'Sponsor Connection'!$N:$N), ""), IF(val="", "Not Reported", val)))</f>
        <v/>
      </c>
      <c r="BM73" s="20" t="str">
        <f t="array" ref="BM73">IF(ISBLANK($B73), "", LET(val, IFERROR(XLOOKUP($B73, 'Sponsor Connection'!$A:$A, 'Sponsor Connection'!$O:$O), ""), IF(val="", "Not Reported", val)))</f>
        <v/>
      </c>
      <c r="BN73" s="21" t="str">
        <f t="array" ref="BN73">IF(ISBLANK($B73), "", LET(val, IFERROR(XLOOKUP($B73, 'Sponsor Connection'!$A:$A, 'Sponsor Connection'!$P:$P), ""), IF(val="", "Not Reported", val)))</f>
        <v/>
      </c>
      <c r="BO73" s="13" t="str">
        <f t="array" ref="BO73">IF(ISBLANK($B73), "", LET(val, IFERROR(XLOOKUP($B73, 'Sponsor Connection'!$A:$A, 'Sponsor Connection'!$Q:$Q), ""), IF(val="", "Not Reported", val)))</f>
        <v/>
      </c>
    </row>
    <row r="74">
      <c r="I74" s="24"/>
      <c r="J74" s="25"/>
      <c r="K74" s="13"/>
      <c r="BJ74" s="18" t="str">
        <f t="array" ref="BJ74">IF($B74="", "", LET(aum, IFERROR(XLOOKUP($B74, 'Sponsor Connection'!$A:$A, 'Sponsor Connection'!$C:$C), ""), IF(OR(aum="", aum=0), "Not Reported", aum)))</f>
        <v/>
      </c>
      <c r="BK74" s="19" t="str">
        <f t="array" ref="BK74">IF(ISBLANK($B74), "", LET(val, IFERROR(XLOOKUP($B74, 'Sponsor Connection'!$A:$A, 'Sponsor Connection'!$M:$M), ""), IF(val="", "Not Reported", val)))</f>
        <v/>
      </c>
      <c r="BL74" s="13" t="str">
        <f t="array" ref="BL74">IF(ISBLANK($B74), "", LET(val, IFERROR(XLOOKUP($B74, 'Sponsor Connection'!$A:$A, 'Sponsor Connection'!$N:$N), ""), IF(val="", "Not Reported", val)))</f>
        <v/>
      </c>
      <c r="BM74" s="20" t="str">
        <f t="array" ref="BM74">IF(ISBLANK($B74), "", LET(val, IFERROR(XLOOKUP($B74, 'Sponsor Connection'!$A:$A, 'Sponsor Connection'!$O:$O), ""), IF(val="", "Not Reported", val)))</f>
        <v/>
      </c>
      <c r="BN74" s="21" t="str">
        <f t="array" ref="BN74">IF(ISBLANK($B74), "", LET(val, IFERROR(XLOOKUP($B74, 'Sponsor Connection'!$A:$A, 'Sponsor Connection'!$P:$P), ""), IF(val="", "Not Reported", val)))</f>
        <v/>
      </c>
      <c r="BO74" s="13" t="str">
        <f t="array" ref="BO74">IF(ISBLANK($B74), "", LET(val, IFERROR(XLOOKUP($B74, 'Sponsor Connection'!$A:$A, 'Sponsor Connection'!$Q:$Q), ""), IF(val="", "Not Reported", val)))</f>
        <v/>
      </c>
    </row>
    <row r="75">
      <c r="I75" s="24"/>
      <c r="J75" s="25"/>
      <c r="K75" s="13"/>
      <c r="BJ75" s="18" t="str">
        <f t="array" ref="BJ75">IF($B75="", "", LET(aum, IFERROR(XLOOKUP($B75, 'Sponsor Connection'!$A:$A, 'Sponsor Connection'!$C:$C), ""), IF(OR(aum="", aum=0), "Not Reported", aum)))</f>
        <v/>
      </c>
      <c r="BK75" s="19" t="str">
        <f t="array" ref="BK75">IF(ISBLANK($B75), "", LET(val, IFERROR(XLOOKUP($B75, 'Sponsor Connection'!$A:$A, 'Sponsor Connection'!$M:$M), ""), IF(val="", "Not Reported", val)))</f>
        <v/>
      </c>
      <c r="BL75" s="13" t="str">
        <f t="array" ref="BL75">IF(ISBLANK($B75), "", LET(val, IFERROR(XLOOKUP($B75, 'Sponsor Connection'!$A:$A, 'Sponsor Connection'!$N:$N), ""), IF(val="", "Not Reported", val)))</f>
        <v/>
      </c>
      <c r="BM75" s="20" t="str">
        <f t="array" ref="BM75">IF(ISBLANK($B75), "", LET(val, IFERROR(XLOOKUP($B75, 'Sponsor Connection'!$A:$A, 'Sponsor Connection'!$O:$O), ""), IF(val="", "Not Reported", val)))</f>
        <v/>
      </c>
      <c r="BN75" s="21" t="str">
        <f t="array" ref="BN75">IF(ISBLANK($B75), "", LET(val, IFERROR(XLOOKUP($B75, 'Sponsor Connection'!$A:$A, 'Sponsor Connection'!$P:$P), ""), IF(val="", "Not Reported", val)))</f>
        <v/>
      </c>
      <c r="BO75" s="13" t="str">
        <f t="array" ref="BO75">IF(ISBLANK($B75), "", LET(val, IFERROR(XLOOKUP($B75, 'Sponsor Connection'!$A:$A, 'Sponsor Connection'!$Q:$Q), ""), IF(val="", "Not Reported", val)))</f>
        <v/>
      </c>
    </row>
    <row r="76">
      <c r="I76" s="24"/>
      <c r="J76" s="25"/>
      <c r="K76" s="13"/>
      <c r="BJ76" s="18" t="str">
        <f t="array" ref="BJ76">IF($B76="", "", LET(aum, IFERROR(XLOOKUP($B76, 'Sponsor Connection'!$A:$A, 'Sponsor Connection'!$C:$C), ""), IF(OR(aum="", aum=0), "Not Reported", aum)))</f>
        <v/>
      </c>
      <c r="BK76" s="19" t="str">
        <f t="array" ref="BK76">IF(ISBLANK($B76), "", LET(val, IFERROR(XLOOKUP($B76, 'Sponsor Connection'!$A:$A, 'Sponsor Connection'!$M:$M), ""), IF(val="", "Not Reported", val)))</f>
        <v/>
      </c>
      <c r="BL76" s="13" t="str">
        <f t="array" ref="BL76">IF(ISBLANK($B76), "", LET(val, IFERROR(XLOOKUP($B76, 'Sponsor Connection'!$A:$A, 'Sponsor Connection'!$N:$N), ""), IF(val="", "Not Reported", val)))</f>
        <v/>
      </c>
      <c r="BM76" s="20" t="str">
        <f t="array" ref="BM76">IF(ISBLANK($B76), "", LET(val, IFERROR(XLOOKUP($B76, 'Sponsor Connection'!$A:$A, 'Sponsor Connection'!$O:$O), ""), IF(val="", "Not Reported", val)))</f>
        <v/>
      </c>
      <c r="BN76" s="21" t="str">
        <f t="array" ref="BN76">IF(ISBLANK($B76), "", LET(val, IFERROR(XLOOKUP($B76, 'Sponsor Connection'!$A:$A, 'Sponsor Connection'!$P:$P), ""), IF(val="", "Not Reported", val)))</f>
        <v/>
      </c>
      <c r="BO76" s="13" t="str">
        <f t="array" ref="BO76">IF(ISBLANK($B76), "", LET(val, IFERROR(XLOOKUP($B76, 'Sponsor Connection'!$A:$A, 'Sponsor Connection'!$Q:$Q), ""), IF(val="", "Not Reported", val)))</f>
        <v/>
      </c>
    </row>
    <row r="77">
      <c r="I77" s="24"/>
      <c r="J77" s="25"/>
      <c r="K77" s="13"/>
      <c r="BJ77" s="18" t="str">
        <f t="array" ref="BJ77">IF($B77="", "", LET(aum, IFERROR(XLOOKUP($B77, 'Sponsor Connection'!$A:$A, 'Sponsor Connection'!$C:$C), ""), IF(OR(aum="", aum=0), "Not Reported", aum)))</f>
        <v/>
      </c>
      <c r="BK77" s="19" t="str">
        <f t="array" ref="BK77">IF(ISBLANK($B77), "", LET(val, IFERROR(XLOOKUP($B77, 'Sponsor Connection'!$A:$A, 'Sponsor Connection'!$M:$M), ""), IF(val="", "Not Reported", val)))</f>
        <v/>
      </c>
      <c r="BL77" s="13" t="str">
        <f t="array" ref="BL77">IF(ISBLANK($B77), "", LET(val, IFERROR(XLOOKUP($B77, 'Sponsor Connection'!$A:$A, 'Sponsor Connection'!$N:$N), ""), IF(val="", "Not Reported", val)))</f>
        <v/>
      </c>
      <c r="BM77" s="20" t="str">
        <f t="array" ref="BM77">IF(ISBLANK($B77), "", LET(val, IFERROR(XLOOKUP($B77, 'Sponsor Connection'!$A:$A, 'Sponsor Connection'!$O:$O), ""), IF(val="", "Not Reported", val)))</f>
        <v/>
      </c>
      <c r="BN77" s="21" t="str">
        <f t="array" ref="BN77">IF(ISBLANK($B77), "", LET(val, IFERROR(XLOOKUP($B77, 'Sponsor Connection'!$A:$A, 'Sponsor Connection'!$P:$P), ""), IF(val="", "Not Reported", val)))</f>
        <v/>
      </c>
      <c r="BO77" s="13" t="str">
        <f t="array" ref="BO77">IF(ISBLANK($B77), "", LET(val, IFERROR(XLOOKUP($B77, 'Sponsor Connection'!$A:$A, 'Sponsor Connection'!$Q:$Q), ""), IF(val="", "Not Reported", val)))</f>
        <v/>
      </c>
    </row>
    <row r="78">
      <c r="I78" s="24"/>
      <c r="J78" s="25"/>
      <c r="K78" s="13"/>
      <c r="BJ78" s="18" t="str">
        <f t="array" ref="BJ78">IF($B78="", "", LET(aum, IFERROR(XLOOKUP($B78, 'Sponsor Connection'!$A:$A, 'Sponsor Connection'!$C:$C), ""), IF(OR(aum="", aum=0), "Not Reported", aum)))</f>
        <v/>
      </c>
      <c r="BK78" s="19" t="str">
        <f t="array" ref="BK78">IF(ISBLANK($B78), "", LET(val, IFERROR(XLOOKUP($B78, 'Sponsor Connection'!$A:$A, 'Sponsor Connection'!$M:$M), ""), IF(val="", "Not Reported", val)))</f>
        <v/>
      </c>
      <c r="BL78" s="13" t="str">
        <f t="array" ref="BL78">IF(ISBLANK($B78), "", LET(val, IFERROR(XLOOKUP($B78, 'Sponsor Connection'!$A:$A, 'Sponsor Connection'!$N:$N), ""), IF(val="", "Not Reported", val)))</f>
        <v/>
      </c>
      <c r="BM78" s="20" t="str">
        <f t="array" ref="BM78">IF(ISBLANK($B78), "", LET(val, IFERROR(XLOOKUP($B78, 'Sponsor Connection'!$A:$A, 'Sponsor Connection'!$O:$O), ""), IF(val="", "Not Reported", val)))</f>
        <v/>
      </c>
      <c r="BN78" s="21" t="str">
        <f t="array" ref="BN78">IF(ISBLANK($B78), "", LET(val, IFERROR(XLOOKUP($B78, 'Sponsor Connection'!$A:$A, 'Sponsor Connection'!$P:$P), ""), IF(val="", "Not Reported", val)))</f>
        <v/>
      </c>
      <c r="BO78" s="13" t="str">
        <f t="array" ref="BO78">IF(ISBLANK($B78), "", LET(val, IFERROR(XLOOKUP($B78, 'Sponsor Connection'!$A:$A, 'Sponsor Connection'!$Q:$Q), ""), IF(val="", "Not Reported", val)))</f>
        <v/>
      </c>
    </row>
    <row r="79">
      <c r="I79" s="24"/>
      <c r="J79" s="25"/>
      <c r="K79" s="13"/>
      <c r="BJ79" s="18" t="str">
        <f t="array" ref="BJ79">IF($B79="", "", LET(aum, IFERROR(XLOOKUP($B79, 'Sponsor Connection'!$A:$A, 'Sponsor Connection'!$C:$C), ""), IF(OR(aum="", aum=0), "Not Reported", aum)))</f>
        <v/>
      </c>
      <c r="BK79" s="19" t="str">
        <f t="array" ref="BK79">IF(ISBLANK($B79), "", LET(val, IFERROR(XLOOKUP($B79, 'Sponsor Connection'!$A:$A, 'Sponsor Connection'!$M:$M), ""), IF(val="", "Not Reported", val)))</f>
        <v/>
      </c>
      <c r="BL79" s="13" t="str">
        <f t="array" ref="BL79">IF(ISBLANK($B79), "", LET(val, IFERROR(XLOOKUP($B79, 'Sponsor Connection'!$A:$A, 'Sponsor Connection'!$N:$N), ""), IF(val="", "Not Reported", val)))</f>
        <v/>
      </c>
      <c r="BM79" s="20" t="str">
        <f t="array" ref="BM79">IF(ISBLANK($B79), "", LET(val, IFERROR(XLOOKUP($B79, 'Sponsor Connection'!$A:$A, 'Sponsor Connection'!$O:$O), ""), IF(val="", "Not Reported", val)))</f>
        <v/>
      </c>
      <c r="BN79" s="21" t="str">
        <f t="array" ref="BN79">IF(ISBLANK($B79), "", LET(val, IFERROR(XLOOKUP($B79, 'Sponsor Connection'!$A:$A, 'Sponsor Connection'!$P:$P), ""), IF(val="", "Not Reported", val)))</f>
        <v/>
      </c>
      <c r="BO79" s="13" t="str">
        <f t="array" ref="BO79">IF(ISBLANK($B79), "", LET(val, IFERROR(XLOOKUP($B79, 'Sponsor Connection'!$A:$A, 'Sponsor Connection'!$Q:$Q), ""), IF(val="", "Not Reported", val)))</f>
        <v/>
      </c>
    </row>
    <row r="80">
      <c r="I80" s="24"/>
      <c r="J80" s="25"/>
      <c r="K80" s="13"/>
      <c r="BJ80" s="18" t="str">
        <f t="array" ref="BJ80">IF($B80="", "", LET(aum, IFERROR(XLOOKUP($B80, 'Sponsor Connection'!$A:$A, 'Sponsor Connection'!$C:$C), ""), IF(OR(aum="", aum=0), "Not Reported", aum)))</f>
        <v/>
      </c>
      <c r="BK80" s="19" t="str">
        <f t="array" ref="BK80">IF(ISBLANK($B80), "", LET(val, IFERROR(XLOOKUP($B80, 'Sponsor Connection'!$A:$A, 'Sponsor Connection'!$M:$M), ""), IF(val="", "Not Reported", val)))</f>
        <v/>
      </c>
      <c r="BL80" s="13" t="str">
        <f t="array" ref="BL80">IF(ISBLANK($B80), "", LET(val, IFERROR(XLOOKUP($B80, 'Sponsor Connection'!$A:$A, 'Sponsor Connection'!$N:$N), ""), IF(val="", "Not Reported", val)))</f>
        <v/>
      </c>
      <c r="BM80" s="20" t="str">
        <f t="array" ref="BM80">IF(ISBLANK($B80), "", LET(val, IFERROR(XLOOKUP($B80, 'Sponsor Connection'!$A:$A, 'Sponsor Connection'!$O:$O), ""), IF(val="", "Not Reported", val)))</f>
        <v/>
      </c>
      <c r="BN80" s="21" t="str">
        <f t="array" ref="BN80">IF(ISBLANK($B80), "", LET(val, IFERROR(XLOOKUP($B80, 'Sponsor Connection'!$A:$A, 'Sponsor Connection'!$P:$P), ""), IF(val="", "Not Reported", val)))</f>
        <v/>
      </c>
      <c r="BO80" s="13" t="str">
        <f t="array" ref="BO80">IF(ISBLANK($B80), "", LET(val, IFERROR(XLOOKUP($B80, 'Sponsor Connection'!$A:$A, 'Sponsor Connection'!$Q:$Q), ""), IF(val="", "Not Reported", val)))</f>
        <v/>
      </c>
    </row>
    <row r="81">
      <c r="I81" s="24"/>
      <c r="J81" s="25"/>
      <c r="K81" s="13"/>
      <c r="BJ81" s="18" t="str">
        <f t="array" ref="BJ81">IF($B81="", "", LET(aum, IFERROR(XLOOKUP($B81, 'Sponsor Connection'!$A:$A, 'Sponsor Connection'!$C:$C), ""), IF(OR(aum="", aum=0), "Not Reported", aum)))</f>
        <v/>
      </c>
      <c r="BK81" s="19" t="str">
        <f t="array" ref="BK81">IF(ISBLANK($B81), "", LET(val, IFERROR(XLOOKUP($B81, 'Sponsor Connection'!$A:$A, 'Sponsor Connection'!$M:$M), ""), IF(val="", "Not Reported", val)))</f>
        <v/>
      </c>
      <c r="BL81" s="13" t="str">
        <f t="array" ref="BL81">IF(ISBLANK($B81), "", LET(val, IFERROR(XLOOKUP($B81, 'Sponsor Connection'!$A:$A, 'Sponsor Connection'!$N:$N), ""), IF(val="", "Not Reported", val)))</f>
        <v/>
      </c>
      <c r="BM81" s="20" t="str">
        <f t="array" ref="BM81">IF(ISBLANK($B81), "", LET(val, IFERROR(XLOOKUP($B81, 'Sponsor Connection'!$A:$A, 'Sponsor Connection'!$O:$O), ""), IF(val="", "Not Reported", val)))</f>
        <v/>
      </c>
      <c r="BN81" s="21" t="str">
        <f t="array" ref="BN81">IF(ISBLANK($B81), "", LET(val, IFERROR(XLOOKUP($B81, 'Sponsor Connection'!$A:$A, 'Sponsor Connection'!$P:$P), ""), IF(val="", "Not Reported", val)))</f>
        <v/>
      </c>
      <c r="BO81" s="13" t="str">
        <f t="array" ref="BO81">IF(ISBLANK($B81), "", LET(val, IFERROR(XLOOKUP($B81, 'Sponsor Connection'!$A:$A, 'Sponsor Connection'!$Q:$Q), ""), IF(val="", "Not Reported", val)))</f>
        <v/>
      </c>
    </row>
    <row r="82">
      <c r="I82" s="24"/>
      <c r="J82" s="25"/>
      <c r="K82" s="13"/>
      <c r="BJ82" s="18" t="str">
        <f t="array" ref="BJ82">IF($B82="", "", LET(aum, IFERROR(XLOOKUP($B82, 'Sponsor Connection'!$A:$A, 'Sponsor Connection'!$C:$C), ""), IF(OR(aum="", aum=0), "Not Reported", aum)))</f>
        <v/>
      </c>
      <c r="BK82" s="19" t="str">
        <f t="array" ref="BK82">IF(ISBLANK($B82), "", LET(val, IFERROR(XLOOKUP($B82, 'Sponsor Connection'!$A:$A, 'Sponsor Connection'!$M:$M), ""), IF(val="", "Not Reported", val)))</f>
        <v/>
      </c>
      <c r="BL82" s="13" t="str">
        <f t="array" ref="BL82">IF(ISBLANK($B82), "", LET(val, IFERROR(XLOOKUP($B82, 'Sponsor Connection'!$A:$A, 'Sponsor Connection'!$N:$N), ""), IF(val="", "Not Reported", val)))</f>
        <v/>
      </c>
      <c r="BM82" s="20" t="str">
        <f t="array" ref="BM82">IF(ISBLANK($B82), "", LET(val, IFERROR(XLOOKUP($B82, 'Sponsor Connection'!$A:$A, 'Sponsor Connection'!$O:$O), ""), IF(val="", "Not Reported", val)))</f>
        <v/>
      </c>
      <c r="BN82" s="21" t="str">
        <f t="array" ref="BN82">IF(ISBLANK($B82), "", LET(val, IFERROR(XLOOKUP($B82, 'Sponsor Connection'!$A:$A, 'Sponsor Connection'!$P:$P), ""), IF(val="", "Not Reported", val)))</f>
        <v/>
      </c>
      <c r="BO82" s="13" t="str">
        <f t="array" ref="BO82">IF(ISBLANK($B82), "", LET(val, IFERROR(XLOOKUP($B82, 'Sponsor Connection'!$A:$A, 'Sponsor Connection'!$Q:$Q), ""), IF(val="", "Not Reported", val)))</f>
        <v/>
      </c>
    </row>
    <row r="83">
      <c r="I83" s="24"/>
      <c r="J83" s="25"/>
      <c r="K83" s="13"/>
      <c r="BJ83" s="18" t="str">
        <f t="array" ref="BJ83">IF($B83="", "", LET(aum, IFERROR(XLOOKUP($B83, 'Sponsor Connection'!$A:$A, 'Sponsor Connection'!$C:$C), ""), IF(OR(aum="", aum=0), "Not Reported", aum)))</f>
        <v/>
      </c>
      <c r="BK83" s="19" t="str">
        <f t="array" ref="BK83">IF(ISBLANK($B83), "", LET(val, IFERROR(XLOOKUP($B83, 'Sponsor Connection'!$A:$A, 'Sponsor Connection'!$M:$M), ""), IF(val="", "Not Reported", val)))</f>
        <v/>
      </c>
      <c r="BL83" s="13" t="str">
        <f t="array" ref="BL83">IF(ISBLANK($B83), "", LET(val, IFERROR(XLOOKUP($B83, 'Sponsor Connection'!$A:$A, 'Sponsor Connection'!$N:$N), ""), IF(val="", "Not Reported", val)))</f>
        <v/>
      </c>
      <c r="BM83" s="20" t="str">
        <f t="array" ref="BM83">IF(ISBLANK($B83), "", LET(val, IFERROR(XLOOKUP($B83, 'Sponsor Connection'!$A:$A, 'Sponsor Connection'!$O:$O), ""), IF(val="", "Not Reported", val)))</f>
        <v/>
      </c>
      <c r="BN83" s="21" t="str">
        <f t="array" ref="BN83">IF(ISBLANK($B83), "", LET(val, IFERROR(XLOOKUP($B83, 'Sponsor Connection'!$A:$A, 'Sponsor Connection'!$P:$P), ""), IF(val="", "Not Reported", val)))</f>
        <v/>
      </c>
      <c r="BO83" s="13" t="str">
        <f t="array" ref="BO83">IF(ISBLANK($B83), "", LET(val, IFERROR(XLOOKUP($B83, 'Sponsor Connection'!$A:$A, 'Sponsor Connection'!$Q:$Q), ""), IF(val="", "Not Reported", val)))</f>
        <v/>
      </c>
    </row>
    <row r="84">
      <c r="I84" s="24"/>
      <c r="J84" s="25"/>
      <c r="K84" s="13"/>
      <c r="BJ84" s="18" t="str">
        <f t="array" ref="BJ84">IF($B84="", "", LET(aum, IFERROR(XLOOKUP($B84, 'Sponsor Connection'!$A:$A, 'Sponsor Connection'!$C:$C), ""), IF(OR(aum="", aum=0), "Not Reported", aum)))</f>
        <v/>
      </c>
      <c r="BK84" s="19" t="str">
        <f t="array" ref="BK84">IF(ISBLANK($B84), "", LET(val, IFERROR(XLOOKUP($B84, 'Sponsor Connection'!$A:$A, 'Sponsor Connection'!$M:$M), ""), IF(val="", "Not Reported", val)))</f>
        <v/>
      </c>
      <c r="BL84" s="13" t="str">
        <f t="array" ref="BL84">IF(ISBLANK($B84), "", LET(val, IFERROR(XLOOKUP($B84, 'Sponsor Connection'!$A:$A, 'Sponsor Connection'!$N:$N), ""), IF(val="", "Not Reported", val)))</f>
        <v/>
      </c>
      <c r="BM84" s="20" t="str">
        <f t="array" ref="BM84">IF(ISBLANK($B84), "", LET(val, IFERROR(XLOOKUP($B84, 'Sponsor Connection'!$A:$A, 'Sponsor Connection'!$O:$O), ""), IF(val="", "Not Reported", val)))</f>
        <v/>
      </c>
      <c r="BN84" s="21" t="str">
        <f t="array" ref="BN84">IF(ISBLANK($B84), "", LET(val, IFERROR(XLOOKUP($B84, 'Sponsor Connection'!$A:$A, 'Sponsor Connection'!$P:$P), ""), IF(val="", "Not Reported", val)))</f>
        <v/>
      </c>
      <c r="BO84" s="13" t="str">
        <f t="array" ref="BO84">IF(ISBLANK($B84), "", LET(val, IFERROR(XLOOKUP($B84, 'Sponsor Connection'!$A:$A, 'Sponsor Connection'!$Q:$Q), ""), IF(val="", "Not Reported", val)))</f>
        <v/>
      </c>
    </row>
    <row r="85">
      <c r="I85" s="24"/>
      <c r="J85" s="25"/>
      <c r="K85" s="13"/>
      <c r="BJ85" s="18" t="str">
        <f t="array" ref="BJ85">IF($B85="", "", LET(aum, IFERROR(XLOOKUP($B85, 'Sponsor Connection'!$A:$A, 'Sponsor Connection'!$C:$C), ""), IF(OR(aum="", aum=0), "Not Reported", aum)))</f>
        <v/>
      </c>
      <c r="BK85" s="19" t="str">
        <f t="array" ref="BK85">IF(ISBLANK($B85), "", LET(val, IFERROR(XLOOKUP($B85, 'Sponsor Connection'!$A:$A, 'Sponsor Connection'!$M:$M), ""), IF(val="", "Not Reported", val)))</f>
        <v/>
      </c>
      <c r="BL85" s="13" t="str">
        <f t="array" ref="BL85">IF(ISBLANK($B85), "", LET(val, IFERROR(XLOOKUP($B85, 'Sponsor Connection'!$A:$A, 'Sponsor Connection'!$N:$N), ""), IF(val="", "Not Reported", val)))</f>
        <v/>
      </c>
      <c r="BM85" s="20" t="str">
        <f t="array" ref="BM85">IF(ISBLANK($B85), "", LET(val, IFERROR(XLOOKUP($B85, 'Sponsor Connection'!$A:$A, 'Sponsor Connection'!$O:$O), ""), IF(val="", "Not Reported", val)))</f>
        <v/>
      </c>
      <c r="BN85" s="21" t="str">
        <f t="array" ref="BN85">IF(ISBLANK($B85), "", LET(val, IFERROR(XLOOKUP($B85, 'Sponsor Connection'!$A:$A, 'Sponsor Connection'!$P:$P), ""), IF(val="", "Not Reported", val)))</f>
        <v/>
      </c>
      <c r="BO85" s="13" t="str">
        <f t="array" ref="BO85">IF(ISBLANK($B85), "", LET(val, IFERROR(XLOOKUP($B85, 'Sponsor Connection'!$A:$A, 'Sponsor Connection'!$Q:$Q), ""), IF(val="", "Not Reported", val)))</f>
        <v/>
      </c>
    </row>
    <row r="86">
      <c r="I86" s="24"/>
      <c r="J86" s="25"/>
      <c r="K86" s="13"/>
      <c r="BJ86" s="18" t="str">
        <f t="array" ref="BJ86">IF($B86="", "", LET(aum, IFERROR(XLOOKUP($B86, 'Sponsor Connection'!$A:$A, 'Sponsor Connection'!$C:$C), ""), IF(OR(aum="", aum=0), "Not Reported", aum)))</f>
        <v/>
      </c>
      <c r="BK86" s="19" t="str">
        <f t="array" ref="BK86">IF(ISBLANK($B86), "", LET(val, IFERROR(XLOOKUP($B86, 'Sponsor Connection'!$A:$A, 'Sponsor Connection'!$M:$M), ""), IF(val="", "Not Reported", val)))</f>
        <v/>
      </c>
      <c r="BL86" s="13" t="str">
        <f t="array" ref="BL86">IF(ISBLANK($B86), "", LET(val, IFERROR(XLOOKUP($B86, 'Sponsor Connection'!$A:$A, 'Sponsor Connection'!$N:$N), ""), IF(val="", "Not Reported", val)))</f>
        <v/>
      </c>
      <c r="BM86" s="20" t="str">
        <f t="array" ref="BM86">IF(ISBLANK($B86), "", LET(val, IFERROR(XLOOKUP($B86, 'Sponsor Connection'!$A:$A, 'Sponsor Connection'!$O:$O), ""), IF(val="", "Not Reported", val)))</f>
        <v/>
      </c>
      <c r="BN86" s="21" t="str">
        <f t="array" ref="BN86">IF(ISBLANK($B86), "", LET(val, IFERROR(XLOOKUP($B86, 'Sponsor Connection'!$A:$A, 'Sponsor Connection'!$P:$P), ""), IF(val="", "Not Reported", val)))</f>
        <v/>
      </c>
      <c r="BO86" s="13" t="str">
        <f t="array" ref="BO86">IF(ISBLANK($B86), "", LET(val, IFERROR(XLOOKUP($B86, 'Sponsor Connection'!$A:$A, 'Sponsor Connection'!$Q:$Q), ""), IF(val="", "Not Reported", val)))</f>
        <v/>
      </c>
    </row>
    <row r="87">
      <c r="I87" s="24"/>
      <c r="J87" s="25"/>
      <c r="K87" s="13"/>
      <c r="BJ87" s="18" t="str">
        <f t="array" ref="BJ87">IF($B87="", "", LET(aum, IFERROR(XLOOKUP($B87, 'Sponsor Connection'!$A:$A, 'Sponsor Connection'!$C:$C), ""), IF(OR(aum="", aum=0), "Not Reported", aum)))</f>
        <v/>
      </c>
      <c r="BK87" s="19" t="str">
        <f t="array" ref="BK87">IF(ISBLANK($B87), "", LET(val, IFERROR(XLOOKUP($B87, 'Sponsor Connection'!$A:$A, 'Sponsor Connection'!$M:$M), ""), IF(val="", "Not Reported", val)))</f>
        <v/>
      </c>
      <c r="BL87" s="13" t="str">
        <f t="array" ref="BL87">IF(ISBLANK($B87), "", LET(val, IFERROR(XLOOKUP($B87, 'Sponsor Connection'!$A:$A, 'Sponsor Connection'!$N:$N), ""), IF(val="", "Not Reported", val)))</f>
        <v/>
      </c>
      <c r="BM87" s="20" t="str">
        <f t="array" ref="BM87">IF(ISBLANK($B87), "", LET(val, IFERROR(XLOOKUP($B87, 'Sponsor Connection'!$A:$A, 'Sponsor Connection'!$O:$O), ""), IF(val="", "Not Reported", val)))</f>
        <v/>
      </c>
      <c r="BN87" s="21" t="str">
        <f t="array" ref="BN87">IF(ISBLANK($B87), "", LET(val, IFERROR(XLOOKUP($B87, 'Sponsor Connection'!$A:$A, 'Sponsor Connection'!$P:$P), ""), IF(val="", "Not Reported", val)))</f>
        <v/>
      </c>
      <c r="BO87" s="13" t="str">
        <f t="array" ref="BO87">IF(ISBLANK($B87), "", LET(val, IFERROR(XLOOKUP($B87, 'Sponsor Connection'!$A:$A, 'Sponsor Connection'!$Q:$Q), ""), IF(val="", "Not Reported", val)))</f>
        <v/>
      </c>
    </row>
    <row r="88">
      <c r="I88" s="24"/>
      <c r="J88" s="25"/>
      <c r="K88" s="13"/>
      <c r="BJ88" s="18" t="str">
        <f t="array" ref="BJ88">IF($B88="", "", LET(aum, IFERROR(XLOOKUP($B88, 'Sponsor Connection'!$A:$A, 'Sponsor Connection'!$C:$C), ""), IF(OR(aum="", aum=0), "Not Reported", aum)))</f>
        <v/>
      </c>
      <c r="BK88" s="19" t="str">
        <f t="array" ref="BK88">IF(ISBLANK($B88), "", LET(val, IFERROR(XLOOKUP($B88, 'Sponsor Connection'!$A:$A, 'Sponsor Connection'!$M:$M), ""), IF(val="", "Not Reported", val)))</f>
        <v/>
      </c>
      <c r="BL88" s="13" t="str">
        <f t="array" ref="BL88">IF(ISBLANK($B88), "", LET(val, IFERROR(XLOOKUP($B88, 'Sponsor Connection'!$A:$A, 'Sponsor Connection'!$N:$N), ""), IF(val="", "Not Reported", val)))</f>
        <v/>
      </c>
      <c r="BM88" s="20" t="str">
        <f t="array" ref="BM88">IF(ISBLANK($B88), "", LET(val, IFERROR(XLOOKUP($B88, 'Sponsor Connection'!$A:$A, 'Sponsor Connection'!$O:$O), ""), IF(val="", "Not Reported", val)))</f>
        <v/>
      </c>
      <c r="BN88" s="21" t="str">
        <f t="array" ref="BN88">IF(ISBLANK($B88), "", LET(val, IFERROR(XLOOKUP($B88, 'Sponsor Connection'!$A:$A, 'Sponsor Connection'!$P:$P), ""), IF(val="", "Not Reported", val)))</f>
        <v/>
      </c>
      <c r="BO88" s="13" t="str">
        <f t="array" ref="BO88">IF(ISBLANK($B88), "", LET(val, IFERROR(XLOOKUP($B88, 'Sponsor Connection'!$A:$A, 'Sponsor Connection'!$Q:$Q), ""), IF(val="", "Not Reported", val)))</f>
        <v/>
      </c>
    </row>
    <row r="89">
      <c r="I89" s="24"/>
      <c r="J89" s="25"/>
      <c r="K89" s="13"/>
      <c r="BJ89" s="18" t="str">
        <f t="array" ref="BJ89">IF($B89="", "", LET(aum, IFERROR(XLOOKUP($B89, 'Sponsor Connection'!$A:$A, 'Sponsor Connection'!$C:$C), ""), IF(OR(aum="", aum=0), "Not Reported", aum)))</f>
        <v/>
      </c>
      <c r="BK89" s="19" t="str">
        <f t="array" ref="BK89">IF(ISBLANK($B89), "", LET(val, IFERROR(XLOOKUP($B89, 'Sponsor Connection'!$A:$A, 'Sponsor Connection'!$M:$M), ""), IF(val="", "Not Reported", val)))</f>
        <v/>
      </c>
      <c r="BL89" s="13" t="str">
        <f t="array" ref="BL89">IF(ISBLANK($B89), "", LET(val, IFERROR(XLOOKUP($B89, 'Sponsor Connection'!$A:$A, 'Sponsor Connection'!$N:$N), ""), IF(val="", "Not Reported", val)))</f>
        <v/>
      </c>
      <c r="BM89" s="20" t="str">
        <f t="array" ref="BM89">IF(ISBLANK($B89), "", LET(val, IFERROR(XLOOKUP($B89, 'Sponsor Connection'!$A:$A, 'Sponsor Connection'!$O:$O), ""), IF(val="", "Not Reported", val)))</f>
        <v/>
      </c>
      <c r="BN89" s="21" t="str">
        <f t="array" ref="BN89">IF(ISBLANK($B89), "", LET(val, IFERROR(XLOOKUP($B89, 'Sponsor Connection'!$A:$A, 'Sponsor Connection'!$P:$P), ""), IF(val="", "Not Reported", val)))</f>
        <v/>
      </c>
      <c r="BO89" s="13" t="str">
        <f t="array" ref="BO89">IF(ISBLANK($B89), "", LET(val, IFERROR(XLOOKUP($B89, 'Sponsor Connection'!$A:$A, 'Sponsor Connection'!$Q:$Q), ""), IF(val="", "Not Reported", val)))</f>
        <v/>
      </c>
    </row>
    <row r="90">
      <c r="I90" s="24"/>
      <c r="J90" s="25"/>
      <c r="K90" s="13"/>
      <c r="BJ90" s="18" t="str">
        <f t="array" ref="BJ90">IF($B90="", "", LET(aum, IFERROR(XLOOKUP($B90, 'Sponsor Connection'!$A:$A, 'Sponsor Connection'!$C:$C), ""), IF(OR(aum="", aum=0), "Not Reported", aum)))</f>
        <v/>
      </c>
      <c r="BK90" s="19" t="str">
        <f t="array" ref="BK90">IF(ISBLANK($B90), "", LET(val, IFERROR(XLOOKUP($B90, 'Sponsor Connection'!$A:$A, 'Sponsor Connection'!$M:$M), ""), IF(val="", "Not Reported", val)))</f>
        <v/>
      </c>
      <c r="BL90" s="13" t="str">
        <f t="array" ref="BL90">IF(ISBLANK($B90), "", LET(val, IFERROR(XLOOKUP($B90, 'Sponsor Connection'!$A:$A, 'Sponsor Connection'!$N:$N), ""), IF(val="", "Not Reported", val)))</f>
        <v/>
      </c>
      <c r="BM90" s="20" t="str">
        <f t="array" ref="BM90">IF(ISBLANK($B90), "", LET(val, IFERROR(XLOOKUP($B90, 'Sponsor Connection'!$A:$A, 'Sponsor Connection'!$O:$O), ""), IF(val="", "Not Reported", val)))</f>
        <v/>
      </c>
      <c r="BN90" s="21" t="str">
        <f t="array" ref="BN90">IF(ISBLANK($B90), "", LET(val, IFERROR(XLOOKUP($B90, 'Sponsor Connection'!$A:$A, 'Sponsor Connection'!$P:$P), ""), IF(val="", "Not Reported", val)))</f>
        <v/>
      </c>
      <c r="BO90" s="13" t="str">
        <f t="array" ref="BO90">IF(ISBLANK($B90), "", LET(val, IFERROR(XLOOKUP($B90, 'Sponsor Connection'!$A:$A, 'Sponsor Connection'!$Q:$Q), ""), IF(val="", "Not Reported", val)))</f>
        <v/>
      </c>
    </row>
    <row r="91">
      <c r="I91" s="24"/>
      <c r="J91" s="25"/>
      <c r="K91" s="13"/>
      <c r="BJ91" s="18" t="str">
        <f t="array" ref="BJ91">IF($B91="", "", LET(aum, IFERROR(XLOOKUP($B91, 'Sponsor Connection'!$A:$A, 'Sponsor Connection'!$C:$C), ""), IF(OR(aum="", aum=0), "Not Reported", aum)))</f>
        <v/>
      </c>
      <c r="BK91" s="19" t="str">
        <f t="array" ref="BK91">IF(ISBLANK($B91), "", LET(val, IFERROR(XLOOKUP($B91, 'Sponsor Connection'!$A:$A, 'Sponsor Connection'!$M:$M), ""), IF(val="", "Not Reported", val)))</f>
        <v/>
      </c>
      <c r="BL91" s="13" t="str">
        <f t="array" ref="BL91">IF(ISBLANK($B91), "", LET(val, IFERROR(XLOOKUP($B91, 'Sponsor Connection'!$A:$A, 'Sponsor Connection'!$N:$N), ""), IF(val="", "Not Reported", val)))</f>
        <v/>
      </c>
      <c r="BM91" s="20" t="str">
        <f t="array" ref="BM91">IF(ISBLANK($B91), "", LET(val, IFERROR(XLOOKUP($B91, 'Sponsor Connection'!$A:$A, 'Sponsor Connection'!$O:$O), ""), IF(val="", "Not Reported", val)))</f>
        <v/>
      </c>
      <c r="BN91" s="21" t="str">
        <f t="array" ref="BN91">IF(ISBLANK($B91), "", LET(val, IFERROR(XLOOKUP($B91, 'Sponsor Connection'!$A:$A, 'Sponsor Connection'!$P:$P), ""), IF(val="", "Not Reported", val)))</f>
        <v/>
      </c>
      <c r="BO91" s="13" t="str">
        <f t="array" ref="BO91">IF(ISBLANK($B91), "", LET(val, IFERROR(XLOOKUP($B91, 'Sponsor Connection'!$A:$A, 'Sponsor Connection'!$Q:$Q), ""), IF(val="", "Not Reported", val)))</f>
        <v/>
      </c>
    </row>
    <row r="92">
      <c r="I92" s="24"/>
      <c r="J92" s="25"/>
      <c r="K92" s="13"/>
      <c r="BJ92" s="18" t="str">
        <f t="array" ref="BJ92">IF($B92="", "", LET(aum, IFERROR(XLOOKUP($B92, 'Sponsor Connection'!$A:$A, 'Sponsor Connection'!$C:$C), ""), IF(OR(aum="", aum=0), "Not Reported", aum)))</f>
        <v/>
      </c>
      <c r="BK92" s="19" t="str">
        <f t="array" ref="BK92">IF(ISBLANK($B92), "", LET(val, IFERROR(XLOOKUP($B92, 'Sponsor Connection'!$A:$A, 'Sponsor Connection'!$M:$M), ""), IF(val="", "Not Reported", val)))</f>
        <v/>
      </c>
      <c r="BL92" s="13" t="str">
        <f t="array" ref="BL92">IF(ISBLANK($B92), "", LET(val, IFERROR(XLOOKUP($B92, 'Sponsor Connection'!$A:$A, 'Sponsor Connection'!$N:$N), ""), IF(val="", "Not Reported", val)))</f>
        <v/>
      </c>
      <c r="BM92" s="20" t="str">
        <f t="array" ref="BM92">IF(ISBLANK($B92), "", LET(val, IFERROR(XLOOKUP($B92, 'Sponsor Connection'!$A:$A, 'Sponsor Connection'!$O:$O), ""), IF(val="", "Not Reported", val)))</f>
        <v/>
      </c>
      <c r="BN92" s="21" t="str">
        <f t="array" ref="BN92">IF(ISBLANK($B92), "", LET(val, IFERROR(XLOOKUP($B92, 'Sponsor Connection'!$A:$A, 'Sponsor Connection'!$P:$P), ""), IF(val="", "Not Reported", val)))</f>
        <v/>
      </c>
      <c r="BO92" s="13" t="str">
        <f t="array" ref="BO92">IF(ISBLANK($B92), "", LET(val, IFERROR(XLOOKUP($B92, 'Sponsor Connection'!$A:$A, 'Sponsor Connection'!$Q:$Q), ""), IF(val="", "Not Reported", val)))</f>
        <v/>
      </c>
    </row>
    <row r="93">
      <c r="I93" s="24"/>
      <c r="J93" s="25"/>
      <c r="K93" s="13"/>
      <c r="BJ93" s="18" t="str">
        <f t="array" ref="BJ93">IF($B93="", "", LET(aum, IFERROR(XLOOKUP($B93, 'Sponsor Connection'!$A:$A, 'Sponsor Connection'!$C:$C), ""), IF(OR(aum="", aum=0), "Not Reported", aum)))</f>
        <v/>
      </c>
      <c r="BK93" s="19" t="str">
        <f t="array" ref="BK93">IF(ISBLANK($B93), "", LET(val, IFERROR(XLOOKUP($B93, 'Sponsor Connection'!$A:$A, 'Sponsor Connection'!$M:$M), ""), IF(val="", "Not Reported", val)))</f>
        <v/>
      </c>
      <c r="BL93" s="13" t="str">
        <f t="array" ref="BL93">IF(ISBLANK($B93), "", LET(val, IFERROR(XLOOKUP($B93, 'Sponsor Connection'!$A:$A, 'Sponsor Connection'!$N:$N), ""), IF(val="", "Not Reported", val)))</f>
        <v/>
      </c>
      <c r="BM93" s="20" t="str">
        <f t="array" ref="BM93">IF(ISBLANK($B93), "", LET(val, IFERROR(XLOOKUP($B93, 'Sponsor Connection'!$A:$A, 'Sponsor Connection'!$O:$O), ""), IF(val="", "Not Reported", val)))</f>
        <v/>
      </c>
      <c r="BN93" s="21" t="str">
        <f t="array" ref="BN93">IF(ISBLANK($B93), "", LET(val, IFERROR(XLOOKUP($B93, 'Sponsor Connection'!$A:$A, 'Sponsor Connection'!$P:$P), ""), IF(val="", "Not Reported", val)))</f>
        <v/>
      </c>
      <c r="BO93" s="13" t="str">
        <f t="array" ref="BO93">IF(ISBLANK($B93), "", LET(val, IFERROR(XLOOKUP($B93, 'Sponsor Connection'!$A:$A, 'Sponsor Connection'!$Q:$Q), ""), IF(val="", "Not Reported", val)))</f>
        <v/>
      </c>
    </row>
    <row r="94">
      <c r="I94" s="24"/>
      <c r="J94" s="25"/>
      <c r="K94" s="13"/>
      <c r="BJ94" s="18" t="str">
        <f t="array" ref="BJ94">IF($B94="", "", LET(aum, IFERROR(XLOOKUP($B94, 'Sponsor Connection'!$A:$A, 'Sponsor Connection'!$C:$C), ""), IF(OR(aum="", aum=0), "Not Reported", aum)))</f>
        <v/>
      </c>
      <c r="BK94" s="19" t="str">
        <f t="array" ref="BK94">IF(ISBLANK($B94), "", LET(val, IFERROR(XLOOKUP($B94, 'Sponsor Connection'!$A:$A, 'Sponsor Connection'!$M:$M), ""), IF(val="", "Not Reported", val)))</f>
        <v/>
      </c>
      <c r="BL94" s="13" t="str">
        <f t="array" ref="BL94">IF(ISBLANK($B94), "", LET(val, IFERROR(XLOOKUP($B94, 'Sponsor Connection'!$A:$A, 'Sponsor Connection'!$N:$N), ""), IF(val="", "Not Reported", val)))</f>
        <v/>
      </c>
      <c r="BM94" s="20" t="str">
        <f t="array" ref="BM94">IF(ISBLANK($B94), "", LET(val, IFERROR(XLOOKUP($B94, 'Sponsor Connection'!$A:$A, 'Sponsor Connection'!$O:$O), ""), IF(val="", "Not Reported", val)))</f>
        <v/>
      </c>
      <c r="BN94" s="21" t="str">
        <f t="array" ref="BN94">IF(ISBLANK($B94), "", LET(val, IFERROR(XLOOKUP($B94, 'Sponsor Connection'!$A:$A, 'Sponsor Connection'!$P:$P), ""), IF(val="", "Not Reported", val)))</f>
        <v/>
      </c>
      <c r="BO94" s="13" t="str">
        <f t="array" ref="BO94">IF(ISBLANK($B94), "", LET(val, IFERROR(XLOOKUP($B94, 'Sponsor Connection'!$A:$A, 'Sponsor Connection'!$Q:$Q), ""), IF(val="", "Not Reported", val)))</f>
        <v/>
      </c>
    </row>
    <row r="95">
      <c r="I95" s="24"/>
      <c r="J95" s="25"/>
      <c r="K95" s="13"/>
      <c r="BJ95" s="18" t="str">
        <f t="array" ref="BJ95">IF($B95="", "", LET(aum, IFERROR(XLOOKUP($B95, 'Sponsor Connection'!$A:$A, 'Sponsor Connection'!$C:$C), ""), IF(OR(aum="", aum=0), "Not Reported", aum)))</f>
        <v/>
      </c>
      <c r="BK95" s="19" t="str">
        <f t="array" ref="BK95">IF(ISBLANK($B95), "", LET(val, IFERROR(XLOOKUP($B95, 'Sponsor Connection'!$A:$A, 'Sponsor Connection'!$M:$M), ""), IF(val="", "Not Reported", val)))</f>
        <v/>
      </c>
      <c r="BL95" s="13" t="str">
        <f t="array" ref="BL95">IF(ISBLANK($B95), "", LET(val, IFERROR(XLOOKUP($B95, 'Sponsor Connection'!$A:$A, 'Sponsor Connection'!$N:$N), ""), IF(val="", "Not Reported", val)))</f>
        <v/>
      </c>
      <c r="BM95" s="20" t="str">
        <f t="array" ref="BM95">IF(ISBLANK($B95), "", LET(val, IFERROR(XLOOKUP($B95, 'Sponsor Connection'!$A:$A, 'Sponsor Connection'!$O:$O), ""), IF(val="", "Not Reported", val)))</f>
        <v/>
      </c>
      <c r="BN95" s="21" t="str">
        <f t="array" ref="BN95">IF(ISBLANK($B95), "", LET(val, IFERROR(XLOOKUP($B95, 'Sponsor Connection'!$A:$A, 'Sponsor Connection'!$P:$P), ""), IF(val="", "Not Reported", val)))</f>
        <v/>
      </c>
      <c r="BO95" s="13" t="str">
        <f t="array" ref="BO95">IF(ISBLANK($B95), "", LET(val, IFERROR(XLOOKUP($B95, 'Sponsor Connection'!$A:$A, 'Sponsor Connection'!$Q:$Q), ""), IF(val="", "Not Reported", val)))</f>
        <v/>
      </c>
    </row>
    <row r="96">
      <c r="I96" s="24"/>
      <c r="J96" s="25"/>
      <c r="K96" s="13"/>
      <c r="BJ96" s="18" t="str">
        <f t="array" ref="BJ96">IF($B96="", "", LET(aum, IFERROR(XLOOKUP($B96, 'Sponsor Connection'!$A:$A, 'Sponsor Connection'!$C:$C), ""), IF(OR(aum="", aum=0), "Not Reported", aum)))</f>
        <v/>
      </c>
      <c r="BK96" s="19" t="str">
        <f t="array" ref="BK96">IF(ISBLANK($B96), "", LET(val, IFERROR(XLOOKUP($B96, 'Sponsor Connection'!$A:$A, 'Sponsor Connection'!$M:$M), ""), IF(val="", "Not Reported", val)))</f>
        <v/>
      </c>
      <c r="BL96" s="13" t="str">
        <f t="array" ref="BL96">IF(ISBLANK($B96), "", LET(val, IFERROR(XLOOKUP($B96, 'Sponsor Connection'!$A:$A, 'Sponsor Connection'!$N:$N), ""), IF(val="", "Not Reported", val)))</f>
        <v/>
      </c>
      <c r="BM96" s="20" t="str">
        <f t="array" ref="BM96">IF(ISBLANK($B96), "", LET(val, IFERROR(XLOOKUP($B96, 'Sponsor Connection'!$A:$A, 'Sponsor Connection'!$O:$O), ""), IF(val="", "Not Reported", val)))</f>
        <v/>
      </c>
      <c r="BN96" s="21" t="str">
        <f t="array" ref="BN96">IF(ISBLANK($B96), "", LET(val, IFERROR(XLOOKUP($B96, 'Sponsor Connection'!$A:$A, 'Sponsor Connection'!$P:$P), ""), IF(val="", "Not Reported", val)))</f>
        <v/>
      </c>
      <c r="BO96" s="13" t="str">
        <f t="array" ref="BO96">IF(ISBLANK($B96), "", LET(val, IFERROR(XLOOKUP($B96, 'Sponsor Connection'!$A:$A, 'Sponsor Connection'!$Q:$Q), ""), IF(val="", "Not Reported", val)))</f>
        <v/>
      </c>
    </row>
    <row r="97">
      <c r="I97" s="24"/>
      <c r="J97" s="25"/>
      <c r="K97" s="13"/>
      <c r="BJ97" s="18" t="str">
        <f t="array" ref="BJ97">IF($B97="", "", LET(aum, IFERROR(XLOOKUP($B97, 'Sponsor Connection'!$A:$A, 'Sponsor Connection'!$C:$C), ""), IF(OR(aum="", aum=0), "Not Reported", aum)))</f>
        <v/>
      </c>
      <c r="BK97" s="19" t="str">
        <f t="array" ref="BK97">IF(ISBLANK($B97), "", LET(val, IFERROR(XLOOKUP($B97, 'Sponsor Connection'!$A:$A, 'Sponsor Connection'!$M:$M), ""), IF(val="", "Not Reported", val)))</f>
        <v/>
      </c>
      <c r="BL97" s="13" t="str">
        <f t="array" ref="BL97">IF(ISBLANK($B97), "", LET(val, IFERROR(XLOOKUP($B97, 'Sponsor Connection'!$A:$A, 'Sponsor Connection'!$N:$N), ""), IF(val="", "Not Reported", val)))</f>
        <v/>
      </c>
      <c r="BM97" s="20" t="str">
        <f t="array" ref="BM97">IF(ISBLANK($B97), "", LET(val, IFERROR(XLOOKUP($B97, 'Sponsor Connection'!$A:$A, 'Sponsor Connection'!$O:$O), ""), IF(val="", "Not Reported", val)))</f>
        <v/>
      </c>
      <c r="BN97" s="21" t="str">
        <f t="array" ref="BN97">IF(ISBLANK($B97), "", LET(val, IFERROR(XLOOKUP($B97, 'Sponsor Connection'!$A:$A, 'Sponsor Connection'!$P:$P), ""), IF(val="", "Not Reported", val)))</f>
        <v/>
      </c>
      <c r="BO97" s="13" t="str">
        <f t="array" ref="BO97">IF(ISBLANK($B97), "", LET(val, IFERROR(XLOOKUP($B97, 'Sponsor Connection'!$A:$A, 'Sponsor Connection'!$Q:$Q), ""), IF(val="", "Not Reported", val)))</f>
        <v/>
      </c>
    </row>
    <row r="98">
      <c r="I98" s="24"/>
      <c r="J98" s="25"/>
      <c r="K98" s="13"/>
      <c r="BJ98" s="18" t="str">
        <f t="array" ref="BJ98">IF($B98="", "", LET(aum, IFERROR(XLOOKUP($B98, 'Sponsor Connection'!$A:$A, 'Sponsor Connection'!$C:$C), ""), IF(OR(aum="", aum=0), "Not Reported", aum)))</f>
        <v/>
      </c>
      <c r="BK98" s="19" t="str">
        <f t="array" ref="BK98">IF(ISBLANK($B98), "", LET(val, IFERROR(XLOOKUP($B98, 'Sponsor Connection'!$A:$A, 'Sponsor Connection'!$M:$M), ""), IF(val="", "Not Reported", val)))</f>
        <v/>
      </c>
      <c r="BL98" s="13" t="str">
        <f t="array" ref="BL98">IF(ISBLANK($B98), "", LET(val, IFERROR(XLOOKUP($B98, 'Sponsor Connection'!$A:$A, 'Sponsor Connection'!$N:$N), ""), IF(val="", "Not Reported", val)))</f>
        <v/>
      </c>
      <c r="BM98" s="20" t="str">
        <f t="array" ref="BM98">IF(ISBLANK($B98), "", LET(val, IFERROR(XLOOKUP($B98, 'Sponsor Connection'!$A:$A, 'Sponsor Connection'!$O:$O), ""), IF(val="", "Not Reported", val)))</f>
        <v/>
      </c>
      <c r="BN98" s="21" t="str">
        <f t="array" ref="BN98">IF(ISBLANK($B98), "", LET(val, IFERROR(XLOOKUP($B98, 'Sponsor Connection'!$A:$A, 'Sponsor Connection'!$P:$P), ""), IF(val="", "Not Reported", val)))</f>
        <v/>
      </c>
      <c r="BO98" s="13" t="str">
        <f t="array" ref="BO98">IF(ISBLANK($B98), "", LET(val, IFERROR(XLOOKUP($B98, 'Sponsor Connection'!$A:$A, 'Sponsor Connection'!$Q:$Q), ""), IF(val="", "Not Reported", val)))</f>
        <v/>
      </c>
    </row>
    <row r="99">
      <c r="I99" s="24"/>
      <c r="J99" s="25"/>
      <c r="K99" s="13"/>
      <c r="BJ99" s="18" t="str">
        <f t="array" ref="BJ99">IF($B99="", "", LET(aum, IFERROR(XLOOKUP($B99, 'Sponsor Connection'!$A:$A, 'Sponsor Connection'!$C:$C), ""), IF(OR(aum="", aum=0), "Not Reported", aum)))</f>
        <v/>
      </c>
      <c r="BK99" s="19" t="str">
        <f t="array" ref="BK99">IF(ISBLANK($B99), "", LET(val, IFERROR(XLOOKUP($B99, 'Sponsor Connection'!$A:$A, 'Sponsor Connection'!$M:$M), ""), IF(val="", "Not Reported", val)))</f>
        <v/>
      </c>
      <c r="BL99" s="13" t="str">
        <f t="array" ref="BL99">IF(ISBLANK($B99), "", LET(val, IFERROR(XLOOKUP($B99, 'Sponsor Connection'!$A:$A, 'Sponsor Connection'!$N:$N), ""), IF(val="", "Not Reported", val)))</f>
        <v/>
      </c>
      <c r="BM99" s="20" t="str">
        <f t="array" ref="BM99">IF(ISBLANK($B99), "", LET(val, IFERROR(XLOOKUP($B99, 'Sponsor Connection'!$A:$A, 'Sponsor Connection'!$O:$O), ""), IF(val="", "Not Reported", val)))</f>
        <v/>
      </c>
      <c r="BN99" s="21" t="str">
        <f t="array" ref="BN99">IF(ISBLANK($B99), "", LET(val, IFERROR(XLOOKUP($B99, 'Sponsor Connection'!$A:$A, 'Sponsor Connection'!$P:$P), ""), IF(val="", "Not Reported", val)))</f>
        <v/>
      </c>
      <c r="BO99" s="13" t="str">
        <f t="array" ref="BO99">IF(ISBLANK($B99), "", LET(val, IFERROR(XLOOKUP($B99, 'Sponsor Connection'!$A:$A, 'Sponsor Connection'!$Q:$Q), ""), IF(val="", "Not Reported", val)))</f>
        <v/>
      </c>
    </row>
    <row r="100">
      <c r="I100" s="24"/>
      <c r="J100" s="25"/>
      <c r="K100" s="13"/>
      <c r="BJ100" s="18" t="str">
        <f t="array" ref="BJ100">IF($B100="", "", LET(aum, IFERROR(XLOOKUP($B100, 'Sponsor Connection'!$A:$A, 'Sponsor Connection'!$C:$C), ""), IF(OR(aum="", aum=0), "Not Reported", aum)))</f>
        <v/>
      </c>
      <c r="BK100" s="19" t="str">
        <f t="array" ref="BK100">IF(ISBLANK($B100), "", LET(val, IFERROR(XLOOKUP($B100, 'Sponsor Connection'!$A:$A, 'Sponsor Connection'!$M:$M), ""), IF(val="", "Not Reported", val)))</f>
        <v/>
      </c>
      <c r="BL100" s="13" t="str">
        <f t="array" ref="BL100">IF(ISBLANK($B100), "", LET(val, IFERROR(XLOOKUP($B100, 'Sponsor Connection'!$A:$A, 'Sponsor Connection'!$N:$N), ""), IF(val="", "Not Reported", val)))</f>
        <v/>
      </c>
      <c r="BM100" s="20" t="str">
        <f t="array" ref="BM100">IF(ISBLANK($B100), "", LET(val, IFERROR(XLOOKUP($B100, 'Sponsor Connection'!$A:$A, 'Sponsor Connection'!$O:$O), ""), IF(val="", "Not Reported", val)))</f>
        <v/>
      </c>
      <c r="BN100" s="21" t="str">
        <f t="array" ref="BN100">IF(ISBLANK($B100), "", LET(val, IFERROR(XLOOKUP($B100, 'Sponsor Connection'!$A:$A, 'Sponsor Connection'!$P:$P), ""), IF(val="", "Not Reported", val)))</f>
        <v/>
      </c>
      <c r="BO100" s="13" t="str">
        <f t="array" ref="BO100">IF(ISBLANK($B100), "", LET(val, IFERROR(XLOOKUP($B100, 'Sponsor Connection'!$A:$A, 'Sponsor Connection'!$Q:$Q), ""), IF(val="", "Not Reported", val)))</f>
        <v/>
      </c>
    </row>
    <row r="101">
      <c r="I101" s="24"/>
      <c r="J101" s="25"/>
      <c r="K101" s="13"/>
      <c r="BK101" s="26"/>
      <c r="BL101" s="13"/>
      <c r="BM101" s="20"/>
      <c r="BN101" s="21"/>
      <c r="BO101" s="13"/>
    </row>
    <row r="102">
      <c r="I102" s="24"/>
      <c r="J102" s="25"/>
      <c r="K102" s="13"/>
      <c r="BK102" s="26"/>
      <c r="BL102" s="13"/>
      <c r="BM102" s="20"/>
      <c r="BN102" s="21"/>
      <c r="BO102" s="13"/>
    </row>
    <row r="103">
      <c r="I103" s="24"/>
      <c r="J103" s="25"/>
      <c r="K103" s="13"/>
      <c r="BK103" s="26"/>
      <c r="BL103" s="13"/>
      <c r="BM103" s="20"/>
      <c r="BN103" s="21"/>
      <c r="BO103" s="13"/>
    </row>
    <row r="104">
      <c r="I104" s="24"/>
      <c r="J104" s="25"/>
      <c r="K104" s="13"/>
      <c r="BK104" s="26"/>
      <c r="BL104" s="13"/>
      <c r="BM104" s="20"/>
      <c r="BN104" s="21"/>
      <c r="BO104" s="13"/>
    </row>
    <row r="105">
      <c r="I105" s="24"/>
      <c r="J105" s="25"/>
      <c r="K105" s="13"/>
      <c r="BK105" s="26"/>
      <c r="BL105" s="13"/>
      <c r="BM105" s="20"/>
      <c r="BN105" s="21"/>
      <c r="BO105" s="13"/>
    </row>
    <row r="106">
      <c r="I106" s="24"/>
      <c r="J106" s="25"/>
      <c r="K106" s="13"/>
      <c r="BK106" s="26"/>
      <c r="BL106" s="13"/>
      <c r="BM106" s="20"/>
      <c r="BN106" s="21"/>
      <c r="BO106" s="13"/>
    </row>
    <row r="107">
      <c r="I107" s="24"/>
      <c r="J107" s="25"/>
      <c r="K107" s="13"/>
      <c r="BK107" s="26"/>
      <c r="BL107" s="13"/>
      <c r="BM107" s="20"/>
      <c r="BN107" s="21"/>
      <c r="BO107" s="13"/>
    </row>
    <row r="108">
      <c r="I108" s="24"/>
      <c r="J108" s="25"/>
      <c r="K108" s="13"/>
      <c r="BK108" s="26"/>
      <c r="BL108" s="13"/>
      <c r="BM108" s="20"/>
      <c r="BN108" s="21"/>
      <c r="BO108" s="13"/>
    </row>
    <row r="109">
      <c r="I109" s="24"/>
      <c r="J109" s="25"/>
      <c r="K109" s="13"/>
      <c r="BK109" s="26"/>
      <c r="BL109" s="13"/>
      <c r="BM109" s="20"/>
      <c r="BN109" s="21"/>
      <c r="BO109" s="13"/>
    </row>
    <row r="110">
      <c r="I110" s="24"/>
      <c r="J110" s="25"/>
      <c r="K110" s="13"/>
      <c r="BK110" s="26"/>
      <c r="BL110" s="13"/>
      <c r="BM110" s="20"/>
      <c r="BN110" s="21"/>
      <c r="BO110" s="13"/>
    </row>
    <row r="111">
      <c r="I111" s="24"/>
      <c r="J111" s="25"/>
      <c r="K111" s="13"/>
      <c r="BK111" s="26"/>
      <c r="BL111" s="13"/>
      <c r="BM111" s="20"/>
      <c r="BN111" s="21"/>
      <c r="BO111" s="13"/>
    </row>
    <row r="112">
      <c r="I112" s="24"/>
      <c r="J112" s="25"/>
      <c r="K112" s="13"/>
      <c r="BK112" s="26"/>
      <c r="BL112" s="13"/>
      <c r="BM112" s="20"/>
      <c r="BN112" s="21"/>
      <c r="BO112" s="13"/>
    </row>
    <row r="113">
      <c r="I113" s="24"/>
      <c r="J113" s="25"/>
      <c r="K113" s="13"/>
      <c r="BK113" s="26"/>
      <c r="BL113" s="13"/>
      <c r="BM113" s="20"/>
      <c r="BN113" s="21"/>
      <c r="BO113" s="13"/>
    </row>
    <row r="114">
      <c r="I114" s="24"/>
      <c r="J114" s="25"/>
      <c r="K114" s="13"/>
      <c r="BK114" s="26"/>
      <c r="BL114" s="13"/>
      <c r="BM114" s="20"/>
      <c r="BN114" s="21"/>
      <c r="BO114" s="13"/>
    </row>
    <row r="115">
      <c r="I115" s="24"/>
      <c r="J115" s="25"/>
      <c r="K115" s="13"/>
      <c r="BK115" s="26"/>
      <c r="BL115" s="13"/>
      <c r="BM115" s="20"/>
      <c r="BN115" s="21"/>
      <c r="BO115" s="13"/>
    </row>
    <row r="116">
      <c r="I116" s="24"/>
      <c r="J116" s="25"/>
      <c r="K116" s="13"/>
      <c r="BK116" s="26"/>
      <c r="BL116" s="13"/>
      <c r="BM116" s="20"/>
      <c r="BN116" s="21"/>
      <c r="BO116" s="13"/>
    </row>
    <row r="117">
      <c r="I117" s="24"/>
      <c r="J117" s="25"/>
      <c r="K117" s="13"/>
      <c r="BK117" s="26"/>
      <c r="BL117" s="13"/>
      <c r="BM117" s="20"/>
      <c r="BN117" s="21"/>
      <c r="BO117" s="13"/>
    </row>
    <row r="118">
      <c r="I118" s="24"/>
      <c r="J118" s="25"/>
      <c r="K118" s="13"/>
      <c r="BK118" s="26"/>
      <c r="BL118" s="13"/>
      <c r="BM118" s="20"/>
      <c r="BN118" s="21"/>
      <c r="BO118" s="13"/>
    </row>
    <row r="119">
      <c r="I119" s="24"/>
      <c r="J119" s="25"/>
      <c r="K119" s="13"/>
      <c r="BK119" s="26"/>
      <c r="BL119" s="13"/>
      <c r="BM119" s="20"/>
      <c r="BN119" s="21"/>
      <c r="BO119" s="13"/>
    </row>
    <row r="120">
      <c r="I120" s="24"/>
      <c r="J120" s="25"/>
      <c r="K120" s="13"/>
      <c r="BK120" s="26"/>
      <c r="BL120" s="13"/>
      <c r="BM120" s="20"/>
      <c r="BN120" s="21"/>
      <c r="BO120" s="13"/>
    </row>
    <row r="121">
      <c r="I121" s="24"/>
      <c r="J121" s="25"/>
      <c r="K121" s="13"/>
      <c r="BK121" s="26"/>
      <c r="BL121" s="13"/>
      <c r="BM121" s="20"/>
      <c r="BN121" s="21"/>
      <c r="BO121" s="13"/>
    </row>
    <row r="122">
      <c r="I122" s="24"/>
      <c r="J122" s="25"/>
      <c r="K122" s="13"/>
      <c r="BK122" s="26"/>
      <c r="BL122" s="13"/>
      <c r="BM122" s="20"/>
      <c r="BN122" s="21"/>
      <c r="BO122" s="13"/>
    </row>
    <row r="123">
      <c r="I123" s="24"/>
      <c r="J123" s="25"/>
      <c r="K123" s="13"/>
      <c r="BK123" s="26"/>
      <c r="BL123" s="13"/>
      <c r="BM123" s="20"/>
      <c r="BN123" s="21"/>
      <c r="BO123" s="13"/>
    </row>
    <row r="124">
      <c r="I124" s="24"/>
      <c r="J124" s="25"/>
      <c r="K124" s="13"/>
      <c r="BK124" s="26"/>
      <c r="BL124" s="13"/>
      <c r="BM124" s="20"/>
      <c r="BN124" s="21"/>
      <c r="BO124" s="13"/>
    </row>
    <row r="125">
      <c r="I125" s="24"/>
      <c r="J125" s="25"/>
      <c r="K125" s="13"/>
      <c r="BK125" s="26"/>
      <c r="BL125" s="13"/>
      <c r="BM125" s="20"/>
      <c r="BN125" s="21"/>
      <c r="BO125" s="13"/>
    </row>
    <row r="126">
      <c r="I126" s="24"/>
      <c r="J126" s="25"/>
      <c r="K126" s="13"/>
      <c r="BK126" s="26"/>
      <c r="BL126" s="13"/>
      <c r="BM126" s="20"/>
      <c r="BN126" s="21"/>
      <c r="BO126" s="13"/>
    </row>
    <row r="127">
      <c r="I127" s="24"/>
      <c r="J127" s="25"/>
      <c r="K127" s="13"/>
      <c r="BK127" s="26"/>
      <c r="BL127" s="13"/>
      <c r="BM127" s="20"/>
      <c r="BN127" s="21"/>
      <c r="BO127" s="13"/>
    </row>
    <row r="128">
      <c r="I128" s="24"/>
      <c r="J128" s="25"/>
      <c r="K128" s="13"/>
      <c r="BK128" s="26"/>
      <c r="BL128" s="13"/>
      <c r="BM128" s="20"/>
      <c r="BN128" s="21"/>
      <c r="BO128" s="13"/>
    </row>
    <row r="129">
      <c r="I129" s="24"/>
      <c r="J129" s="25"/>
      <c r="K129" s="13"/>
      <c r="BK129" s="26"/>
      <c r="BL129" s="13"/>
      <c r="BM129" s="20"/>
      <c r="BN129" s="21"/>
      <c r="BO129" s="13"/>
    </row>
    <row r="130">
      <c r="I130" s="24"/>
      <c r="J130" s="25"/>
      <c r="K130" s="13"/>
      <c r="BK130" s="26"/>
      <c r="BL130" s="13"/>
      <c r="BM130" s="20"/>
      <c r="BN130" s="21"/>
      <c r="BO130" s="13"/>
    </row>
    <row r="131">
      <c r="I131" s="24"/>
      <c r="J131" s="25"/>
      <c r="K131" s="13"/>
      <c r="BK131" s="26"/>
      <c r="BL131" s="13"/>
      <c r="BM131" s="20"/>
      <c r="BN131" s="21"/>
      <c r="BO131" s="13"/>
    </row>
    <row r="132">
      <c r="I132" s="24"/>
      <c r="J132" s="25"/>
      <c r="K132" s="13"/>
      <c r="BK132" s="26"/>
      <c r="BL132" s="13"/>
      <c r="BM132" s="20"/>
      <c r="BN132" s="21"/>
      <c r="BO132" s="13"/>
    </row>
    <row r="133">
      <c r="I133" s="24"/>
      <c r="J133" s="25"/>
      <c r="K133" s="13"/>
      <c r="BK133" s="26"/>
      <c r="BL133" s="13"/>
      <c r="BM133" s="20"/>
      <c r="BN133" s="21"/>
      <c r="BO133" s="13"/>
    </row>
    <row r="134">
      <c r="I134" s="24"/>
      <c r="J134" s="25"/>
      <c r="K134" s="13"/>
      <c r="BK134" s="26"/>
      <c r="BL134" s="13"/>
      <c r="BM134" s="20"/>
      <c r="BN134" s="21"/>
      <c r="BO134" s="13"/>
    </row>
    <row r="135">
      <c r="I135" s="24"/>
      <c r="J135" s="25"/>
      <c r="K135" s="13"/>
      <c r="BK135" s="26"/>
      <c r="BL135" s="13"/>
      <c r="BM135" s="20"/>
      <c r="BN135" s="21"/>
      <c r="BO135" s="13"/>
    </row>
    <row r="136">
      <c r="I136" s="24"/>
      <c r="J136" s="25"/>
      <c r="K136" s="13"/>
      <c r="BK136" s="26"/>
      <c r="BL136" s="13"/>
      <c r="BM136" s="20"/>
      <c r="BN136" s="21"/>
      <c r="BO136" s="13"/>
    </row>
    <row r="137">
      <c r="I137" s="24"/>
      <c r="J137" s="25"/>
      <c r="K137" s="13"/>
      <c r="BK137" s="26"/>
      <c r="BL137" s="13"/>
      <c r="BM137" s="20"/>
      <c r="BN137" s="21"/>
      <c r="BO137" s="13"/>
    </row>
    <row r="138">
      <c r="I138" s="24"/>
      <c r="J138" s="25"/>
      <c r="K138" s="13"/>
      <c r="BK138" s="26"/>
      <c r="BL138" s="13"/>
      <c r="BM138" s="20"/>
      <c r="BN138" s="21"/>
      <c r="BO138" s="13"/>
    </row>
    <row r="139">
      <c r="I139" s="24"/>
      <c r="J139" s="25"/>
      <c r="K139" s="13"/>
      <c r="BK139" s="26"/>
      <c r="BL139" s="13"/>
      <c r="BM139" s="20"/>
      <c r="BN139" s="21"/>
      <c r="BO139" s="13"/>
    </row>
    <row r="140">
      <c r="I140" s="24"/>
      <c r="J140" s="25"/>
      <c r="K140" s="13"/>
      <c r="BK140" s="26"/>
      <c r="BL140" s="13"/>
      <c r="BM140" s="20"/>
      <c r="BN140" s="21"/>
      <c r="BO140" s="13"/>
    </row>
    <row r="141">
      <c r="I141" s="24"/>
      <c r="J141" s="25"/>
      <c r="K141" s="13"/>
      <c r="BK141" s="26"/>
      <c r="BL141" s="13"/>
      <c r="BM141" s="20"/>
      <c r="BN141" s="21"/>
      <c r="BO141" s="13"/>
    </row>
    <row r="142">
      <c r="I142" s="24"/>
      <c r="J142" s="25"/>
      <c r="K142" s="13"/>
      <c r="BK142" s="26"/>
      <c r="BL142" s="13"/>
      <c r="BM142" s="20"/>
      <c r="BN142" s="21"/>
      <c r="BO142" s="13"/>
    </row>
    <row r="143">
      <c r="I143" s="24"/>
      <c r="J143" s="25"/>
      <c r="K143" s="13"/>
      <c r="BK143" s="26"/>
      <c r="BL143" s="13"/>
      <c r="BM143" s="20"/>
      <c r="BN143" s="21"/>
      <c r="BO143" s="13"/>
    </row>
    <row r="144">
      <c r="I144" s="24"/>
      <c r="J144" s="25"/>
      <c r="K144" s="13"/>
      <c r="BK144" s="26"/>
      <c r="BL144" s="13"/>
      <c r="BM144" s="20"/>
      <c r="BN144" s="21"/>
      <c r="BO144" s="13"/>
    </row>
    <row r="145">
      <c r="I145" s="24"/>
      <c r="J145" s="25"/>
      <c r="K145" s="13"/>
      <c r="BK145" s="26"/>
      <c r="BL145" s="13"/>
      <c r="BM145" s="20"/>
      <c r="BN145" s="21"/>
      <c r="BO145" s="13"/>
    </row>
    <row r="146">
      <c r="I146" s="24"/>
      <c r="J146" s="25"/>
      <c r="K146" s="13"/>
      <c r="BK146" s="26"/>
      <c r="BL146" s="13"/>
      <c r="BM146" s="20"/>
      <c r="BN146" s="21"/>
      <c r="BO146" s="13"/>
    </row>
    <row r="147">
      <c r="I147" s="24"/>
      <c r="J147" s="25"/>
      <c r="K147" s="13"/>
      <c r="BK147" s="26"/>
      <c r="BL147" s="13"/>
      <c r="BM147" s="20"/>
      <c r="BN147" s="21"/>
      <c r="BO147" s="13"/>
    </row>
    <row r="148">
      <c r="I148" s="24"/>
      <c r="J148" s="25"/>
      <c r="K148" s="13"/>
      <c r="BK148" s="26"/>
      <c r="BL148" s="13"/>
      <c r="BM148" s="20"/>
      <c r="BN148" s="21"/>
      <c r="BO148" s="13"/>
    </row>
    <row r="149">
      <c r="I149" s="24"/>
      <c r="J149" s="25"/>
      <c r="K149" s="13"/>
      <c r="BK149" s="26"/>
      <c r="BL149" s="13"/>
      <c r="BM149" s="20"/>
      <c r="BN149" s="21"/>
      <c r="BO149" s="13"/>
    </row>
    <row r="150">
      <c r="I150" s="24"/>
      <c r="J150" s="25"/>
      <c r="K150" s="13"/>
      <c r="BK150" s="26"/>
      <c r="BL150" s="13"/>
      <c r="BM150" s="20"/>
      <c r="BN150" s="21"/>
      <c r="BO150" s="13"/>
    </row>
    <row r="151">
      <c r="I151" s="24"/>
      <c r="J151" s="25"/>
      <c r="K151" s="13"/>
      <c r="BK151" s="26"/>
      <c r="BL151" s="13"/>
      <c r="BM151" s="20"/>
      <c r="BN151" s="21"/>
      <c r="BO151" s="13"/>
    </row>
    <row r="152">
      <c r="I152" s="24"/>
      <c r="J152" s="25"/>
      <c r="K152" s="13"/>
      <c r="BK152" s="26"/>
      <c r="BL152" s="13"/>
      <c r="BM152" s="20"/>
      <c r="BN152" s="21"/>
      <c r="BO152" s="13"/>
    </row>
    <row r="153">
      <c r="I153" s="24"/>
      <c r="J153" s="25"/>
      <c r="K153" s="13"/>
      <c r="BK153" s="26"/>
      <c r="BL153" s="13"/>
      <c r="BM153" s="20"/>
      <c r="BN153" s="21"/>
      <c r="BO153" s="13"/>
    </row>
    <row r="154">
      <c r="I154" s="24"/>
      <c r="J154" s="25"/>
      <c r="K154" s="13"/>
      <c r="BK154" s="26"/>
      <c r="BL154" s="13"/>
      <c r="BM154" s="20"/>
      <c r="BN154" s="21"/>
      <c r="BO154" s="13"/>
    </row>
    <row r="155">
      <c r="I155" s="24"/>
      <c r="J155" s="25"/>
      <c r="K155" s="13"/>
      <c r="BK155" s="26"/>
      <c r="BL155" s="13"/>
      <c r="BM155" s="20"/>
      <c r="BN155" s="21"/>
      <c r="BO155" s="13"/>
    </row>
    <row r="156">
      <c r="I156" s="24"/>
      <c r="J156" s="25"/>
      <c r="K156" s="13"/>
      <c r="BK156" s="26"/>
      <c r="BL156" s="13"/>
      <c r="BM156" s="20"/>
      <c r="BN156" s="21"/>
      <c r="BO156" s="13"/>
    </row>
    <row r="157">
      <c r="I157" s="24"/>
      <c r="J157" s="25"/>
      <c r="K157" s="13"/>
      <c r="BK157" s="26"/>
      <c r="BL157" s="13"/>
      <c r="BM157" s="20"/>
      <c r="BN157" s="21"/>
      <c r="BO157" s="13"/>
    </row>
    <row r="158">
      <c r="I158" s="24"/>
      <c r="J158" s="25"/>
      <c r="K158" s="13"/>
      <c r="BK158" s="26"/>
      <c r="BL158" s="13"/>
      <c r="BM158" s="20"/>
      <c r="BN158" s="21"/>
      <c r="BO158" s="13"/>
    </row>
    <row r="159">
      <c r="I159" s="24"/>
      <c r="J159" s="25"/>
      <c r="K159" s="13"/>
      <c r="BK159" s="26"/>
      <c r="BL159" s="13"/>
      <c r="BM159" s="20"/>
      <c r="BN159" s="21"/>
      <c r="BO159" s="13"/>
    </row>
    <row r="160">
      <c r="I160" s="24"/>
      <c r="J160" s="25"/>
      <c r="K160" s="13"/>
      <c r="BK160" s="26"/>
      <c r="BL160" s="13"/>
      <c r="BM160" s="20"/>
      <c r="BN160" s="21"/>
      <c r="BO160" s="13"/>
    </row>
    <row r="161">
      <c r="I161" s="24"/>
      <c r="J161" s="25"/>
      <c r="K161" s="13"/>
      <c r="BK161" s="26"/>
      <c r="BL161" s="13"/>
      <c r="BM161" s="20"/>
      <c r="BN161" s="21"/>
      <c r="BO161" s="13"/>
    </row>
    <row r="162">
      <c r="I162" s="24"/>
      <c r="J162" s="25"/>
      <c r="K162" s="13"/>
      <c r="BK162" s="26"/>
      <c r="BL162" s="13"/>
      <c r="BM162" s="20"/>
      <c r="BN162" s="21"/>
      <c r="BO162" s="13"/>
    </row>
    <row r="163">
      <c r="I163" s="24"/>
      <c r="J163" s="25"/>
      <c r="K163" s="13"/>
      <c r="BK163" s="26"/>
      <c r="BL163" s="13"/>
      <c r="BM163" s="20"/>
      <c r="BN163" s="21"/>
      <c r="BO163" s="13"/>
    </row>
    <row r="164">
      <c r="I164" s="24"/>
      <c r="J164" s="25"/>
      <c r="K164" s="13"/>
      <c r="BK164" s="26"/>
      <c r="BL164" s="13"/>
      <c r="BM164" s="20"/>
      <c r="BN164" s="21"/>
      <c r="BO164" s="13"/>
    </row>
    <row r="165">
      <c r="I165" s="24"/>
      <c r="J165" s="25"/>
      <c r="K165" s="13"/>
      <c r="BK165" s="26"/>
      <c r="BL165" s="13"/>
      <c r="BM165" s="20"/>
      <c r="BN165" s="21"/>
      <c r="BO165" s="13"/>
    </row>
    <row r="166">
      <c r="I166" s="24"/>
      <c r="J166" s="25"/>
      <c r="K166" s="13"/>
      <c r="BK166" s="26"/>
      <c r="BL166" s="13"/>
      <c r="BM166" s="20"/>
      <c r="BN166" s="21"/>
      <c r="BO166" s="13"/>
    </row>
    <row r="167">
      <c r="I167" s="24"/>
      <c r="J167" s="25"/>
      <c r="K167" s="13"/>
      <c r="BK167" s="26"/>
      <c r="BL167" s="13"/>
      <c r="BM167" s="20"/>
      <c r="BN167" s="21"/>
      <c r="BO167" s="13"/>
    </row>
    <row r="168">
      <c r="I168" s="24"/>
      <c r="J168" s="25"/>
      <c r="K168" s="13"/>
      <c r="BK168" s="26"/>
      <c r="BL168" s="13"/>
      <c r="BM168" s="20"/>
      <c r="BN168" s="21"/>
      <c r="BO168" s="13"/>
    </row>
    <row r="169">
      <c r="I169" s="24"/>
      <c r="J169" s="25"/>
      <c r="K169" s="13"/>
      <c r="BK169" s="26"/>
      <c r="BL169" s="13"/>
      <c r="BM169" s="20"/>
      <c r="BN169" s="21"/>
      <c r="BO169" s="13"/>
    </row>
    <row r="170">
      <c r="I170" s="24"/>
      <c r="J170" s="25"/>
      <c r="K170" s="13"/>
      <c r="BK170" s="26"/>
      <c r="BL170" s="13"/>
      <c r="BM170" s="20"/>
      <c r="BN170" s="21"/>
      <c r="BO170" s="13"/>
    </row>
    <row r="171">
      <c r="I171" s="24"/>
      <c r="J171" s="25"/>
      <c r="K171" s="13"/>
      <c r="BK171" s="26"/>
      <c r="BL171" s="13"/>
      <c r="BM171" s="20"/>
      <c r="BN171" s="21"/>
      <c r="BO171" s="13"/>
    </row>
    <row r="172">
      <c r="I172" s="24"/>
      <c r="J172" s="25"/>
      <c r="K172" s="13"/>
      <c r="BK172" s="26"/>
      <c r="BL172" s="13"/>
      <c r="BM172" s="20"/>
      <c r="BN172" s="21"/>
      <c r="BO172" s="13"/>
    </row>
    <row r="173">
      <c r="I173" s="24"/>
      <c r="J173" s="25"/>
      <c r="K173" s="13"/>
      <c r="BK173" s="26"/>
      <c r="BL173" s="13"/>
      <c r="BM173" s="20"/>
      <c r="BN173" s="21"/>
      <c r="BO173" s="13"/>
    </row>
    <row r="174">
      <c r="I174" s="24"/>
      <c r="J174" s="25"/>
      <c r="K174" s="13"/>
      <c r="BK174" s="26"/>
      <c r="BL174" s="13"/>
      <c r="BM174" s="20"/>
      <c r="BN174" s="21"/>
      <c r="BO174" s="13"/>
    </row>
    <row r="175">
      <c r="I175" s="24"/>
      <c r="J175" s="25"/>
      <c r="K175" s="13"/>
      <c r="BK175" s="26"/>
      <c r="BL175" s="13"/>
      <c r="BM175" s="20"/>
      <c r="BN175" s="21"/>
      <c r="BO175" s="13"/>
    </row>
    <row r="176">
      <c r="I176" s="24"/>
      <c r="J176" s="25"/>
      <c r="K176" s="13"/>
      <c r="BK176" s="26"/>
      <c r="BL176" s="13"/>
      <c r="BM176" s="20"/>
      <c r="BN176" s="21"/>
      <c r="BO176" s="13"/>
    </row>
    <row r="177">
      <c r="I177" s="24"/>
      <c r="J177" s="25"/>
      <c r="K177" s="13"/>
      <c r="BK177" s="26"/>
      <c r="BL177" s="13"/>
      <c r="BM177" s="20"/>
      <c r="BN177" s="21"/>
      <c r="BO177" s="13"/>
    </row>
    <row r="178">
      <c r="I178" s="24"/>
      <c r="J178" s="25"/>
      <c r="K178" s="13"/>
      <c r="BK178" s="26"/>
      <c r="BL178" s="13"/>
      <c r="BM178" s="20"/>
      <c r="BN178" s="21"/>
      <c r="BO178" s="13"/>
    </row>
    <row r="179">
      <c r="I179" s="24"/>
      <c r="J179" s="25"/>
      <c r="K179" s="13"/>
      <c r="BK179" s="26"/>
      <c r="BL179" s="13"/>
      <c r="BM179" s="20"/>
      <c r="BN179" s="21"/>
      <c r="BO179" s="13"/>
    </row>
    <row r="180">
      <c r="I180" s="24"/>
      <c r="J180" s="25"/>
      <c r="K180" s="13"/>
      <c r="BK180" s="26"/>
      <c r="BL180" s="13"/>
      <c r="BM180" s="20"/>
      <c r="BN180" s="21"/>
      <c r="BO180" s="13"/>
    </row>
    <row r="181">
      <c r="I181" s="24"/>
      <c r="J181" s="25"/>
      <c r="K181" s="13"/>
      <c r="BK181" s="26"/>
      <c r="BL181" s="13"/>
      <c r="BM181" s="20"/>
      <c r="BN181" s="21"/>
      <c r="BO181" s="13"/>
    </row>
    <row r="182">
      <c r="I182" s="24"/>
      <c r="J182" s="25"/>
      <c r="K182" s="13"/>
      <c r="BK182" s="26"/>
      <c r="BL182" s="13"/>
      <c r="BM182" s="20"/>
      <c r="BN182" s="21"/>
      <c r="BO182" s="13"/>
    </row>
    <row r="183">
      <c r="I183" s="24"/>
      <c r="J183" s="25"/>
      <c r="K183" s="13"/>
      <c r="BK183" s="26"/>
      <c r="BL183" s="13"/>
      <c r="BM183" s="20"/>
      <c r="BN183" s="21"/>
      <c r="BO183" s="13"/>
    </row>
    <row r="184">
      <c r="I184" s="24"/>
      <c r="J184" s="25"/>
      <c r="K184" s="13"/>
      <c r="BK184" s="26"/>
      <c r="BL184" s="13"/>
      <c r="BM184" s="20"/>
      <c r="BN184" s="21"/>
      <c r="BO184" s="13"/>
    </row>
    <row r="185">
      <c r="I185" s="24"/>
      <c r="J185" s="25"/>
      <c r="K185" s="13"/>
      <c r="BK185" s="26"/>
      <c r="BL185" s="13"/>
      <c r="BM185" s="20"/>
      <c r="BN185" s="21"/>
      <c r="BO185" s="13"/>
    </row>
    <row r="186">
      <c r="I186" s="24"/>
      <c r="J186" s="25"/>
      <c r="K186" s="13"/>
      <c r="BK186" s="26"/>
      <c r="BL186" s="13"/>
      <c r="BM186" s="20"/>
      <c r="BN186" s="21"/>
      <c r="BO186" s="13"/>
    </row>
    <row r="187">
      <c r="I187" s="24"/>
      <c r="J187" s="25"/>
      <c r="K187" s="13"/>
      <c r="BK187" s="26"/>
      <c r="BL187" s="13"/>
      <c r="BM187" s="20"/>
      <c r="BN187" s="21"/>
      <c r="BO187" s="13"/>
    </row>
    <row r="188">
      <c r="I188" s="24"/>
      <c r="J188" s="25"/>
      <c r="K188" s="13"/>
      <c r="BK188" s="26"/>
      <c r="BL188" s="13"/>
      <c r="BM188" s="20"/>
      <c r="BN188" s="21"/>
      <c r="BO188" s="13"/>
    </row>
    <row r="189">
      <c r="I189" s="24"/>
      <c r="J189" s="25"/>
      <c r="K189" s="13"/>
      <c r="BK189" s="26"/>
      <c r="BL189" s="13"/>
      <c r="BM189" s="20"/>
      <c r="BN189" s="21"/>
      <c r="BO189" s="13"/>
    </row>
    <row r="190">
      <c r="I190" s="24"/>
      <c r="J190" s="25"/>
      <c r="K190" s="13"/>
      <c r="BK190" s="26"/>
      <c r="BL190" s="13"/>
      <c r="BM190" s="20"/>
      <c r="BN190" s="21"/>
      <c r="BO190" s="13"/>
    </row>
    <row r="191">
      <c r="I191" s="24"/>
      <c r="J191" s="25"/>
      <c r="K191" s="13"/>
      <c r="BK191" s="26"/>
      <c r="BL191" s="13"/>
      <c r="BM191" s="20"/>
      <c r="BN191" s="21"/>
      <c r="BO191" s="13"/>
    </row>
    <row r="192">
      <c r="I192" s="24"/>
      <c r="J192" s="25"/>
      <c r="K192" s="13"/>
      <c r="BK192" s="26"/>
      <c r="BL192" s="13"/>
      <c r="BM192" s="20"/>
      <c r="BN192" s="21"/>
      <c r="BO192" s="13"/>
    </row>
    <row r="193">
      <c r="I193" s="24"/>
      <c r="J193" s="25"/>
      <c r="K193" s="13"/>
      <c r="BK193" s="26"/>
      <c r="BL193" s="13"/>
      <c r="BM193" s="20"/>
      <c r="BN193" s="21"/>
      <c r="BO193" s="13"/>
    </row>
    <row r="194">
      <c r="I194" s="24"/>
      <c r="J194" s="25"/>
      <c r="K194" s="13"/>
      <c r="BK194" s="26"/>
      <c r="BL194" s="13"/>
      <c r="BM194" s="20"/>
      <c r="BN194" s="21"/>
      <c r="BO194" s="13"/>
    </row>
    <row r="195">
      <c r="I195" s="24"/>
      <c r="J195" s="25"/>
      <c r="K195" s="13"/>
      <c r="BK195" s="26"/>
      <c r="BL195" s="13"/>
      <c r="BM195" s="20"/>
      <c r="BN195" s="21"/>
      <c r="BO195" s="13"/>
    </row>
    <row r="196">
      <c r="I196" s="24"/>
      <c r="J196" s="25"/>
      <c r="K196" s="13"/>
      <c r="BK196" s="26"/>
      <c r="BL196" s="13"/>
      <c r="BM196" s="20"/>
      <c r="BN196" s="21"/>
      <c r="BO196" s="13"/>
    </row>
    <row r="197">
      <c r="I197" s="24"/>
      <c r="J197" s="25"/>
      <c r="K197" s="13"/>
      <c r="BK197" s="26"/>
      <c r="BL197" s="13"/>
      <c r="BM197" s="20"/>
      <c r="BN197" s="21"/>
      <c r="BO197" s="13"/>
    </row>
    <row r="198">
      <c r="I198" s="24"/>
      <c r="J198" s="25"/>
      <c r="K198" s="13"/>
      <c r="BK198" s="26"/>
      <c r="BL198" s="13"/>
      <c r="BM198" s="20"/>
      <c r="BN198" s="21"/>
      <c r="BO198" s="13"/>
    </row>
    <row r="199">
      <c r="I199" s="24"/>
      <c r="J199" s="25"/>
      <c r="K199" s="13"/>
      <c r="BK199" s="26"/>
      <c r="BL199" s="13"/>
      <c r="BM199" s="20"/>
      <c r="BN199" s="21"/>
      <c r="BO199" s="13"/>
    </row>
    <row r="200">
      <c r="I200" s="24"/>
      <c r="J200" s="25"/>
      <c r="K200" s="13"/>
      <c r="BK200" s="26"/>
      <c r="BL200" s="13"/>
      <c r="BM200" s="20"/>
      <c r="BN200" s="21"/>
      <c r="BO200" s="13"/>
    </row>
    <row r="201">
      <c r="I201" s="24"/>
      <c r="J201" s="25"/>
      <c r="K201" s="13"/>
      <c r="BK201" s="26"/>
      <c r="BL201" s="13"/>
      <c r="BM201" s="20"/>
      <c r="BN201" s="21"/>
      <c r="BO201" s="13"/>
    </row>
    <row r="202">
      <c r="I202" s="24"/>
      <c r="J202" s="25"/>
      <c r="K202" s="13"/>
      <c r="BK202" s="26"/>
      <c r="BL202" s="13"/>
      <c r="BM202" s="20"/>
      <c r="BN202" s="21"/>
      <c r="BO202" s="13"/>
    </row>
    <row r="203">
      <c r="I203" s="24"/>
      <c r="J203" s="25"/>
      <c r="K203" s="13"/>
      <c r="BK203" s="26"/>
      <c r="BL203" s="13"/>
      <c r="BM203" s="20"/>
      <c r="BN203" s="21"/>
      <c r="BO203" s="13"/>
    </row>
    <row r="204">
      <c r="I204" s="24"/>
      <c r="J204" s="25"/>
      <c r="K204" s="13"/>
      <c r="BK204" s="26"/>
      <c r="BL204" s="13"/>
      <c r="BM204" s="20"/>
      <c r="BN204" s="21"/>
      <c r="BO204" s="13"/>
    </row>
    <row r="205">
      <c r="I205" s="24"/>
      <c r="J205" s="25"/>
      <c r="K205" s="13"/>
      <c r="BK205" s="26"/>
      <c r="BL205" s="13"/>
      <c r="BM205" s="20"/>
      <c r="BN205" s="21"/>
      <c r="BO205" s="13"/>
    </row>
    <row r="206">
      <c r="I206" s="24"/>
      <c r="J206" s="25"/>
      <c r="K206" s="13"/>
      <c r="BK206" s="26"/>
      <c r="BL206" s="13"/>
      <c r="BM206" s="20"/>
      <c r="BN206" s="21"/>
      <c r="BO206" s="13"/>
    </row>
    <row r="207">
      <c r="I207" s="24"/>
      <c r="J207" s="25"/>
      <c r="K207" s="13"/>
      <c r="BK207" s="26"/>
      <c r="BL207" s="13"/>
      <c r="BM207" s="20"/>
      <c r="BN207" s="21"/>
      <c r="BO207" s="13"/>
    </row>
    <row r="208">
      <c r="I208" s="24"/>
      <c r="J208" s="25"/>
      <c r="K208" s="13"/>
      <c r="BK208" s="26"/>
      <c r="BL208" s="13"/>
      <c r="BM208" s="20"/>
      <c r="BN208" s="21"/>
      <c r="BO208" s="13"/>
    </row>
    <row r="209">
      <c r="I209" s="24"/>
      <c r="J209" s="25"/>
      <c r="K209" s="13"/>
      <c r="BK209" s="26"/>
      <c r="BL209" s="13"/>
      <c r="BM209" s="20"/>
      <c r="BN209" s="21"/>
      <c r="BO209" s="13"/>
    </row>
    <row r="210">
      <c r="I210" s="24"/>
      <c r="J210" s="25"/>
      <c r="K210" s="13"/>
      <c r="BK210" s="26"/>
      <c r="BL210" s="13"/>
      <c r="BM210" s="20"/>
      <c r="BN210" s="21"/>
      <c r="BO210" s="13"/>
    </row>
    <row r="211">
      <c r="I211" s="24"/>
      <c r="J211" s="25"/>
      <c r="K211" s="13"/>
      <c r="BK211" s="26"/>
      <c r="BL211" s="13"/>
      <c r="BM211" s="20"/>
      <c r="BN211" s="21"/>
      <c r="BO211" s="13"/>
    </row>
    <row r="212">
      <c r="I212" s="24"/>
      <c r="J212" s="25"/>
      <c r="K212" s="13"/>
      <c r="BK212" s="26"/>
      <c r="BL212" s="13"/>
      <c r="BM212" s="20"/>
      <c r="BN212" s="21"/>
      <c r="BO212" s="13"/>
    </row>
    <row r="213">
      <c r="I213" s="24"/>
      <c r="J213" s="25"/>
      <c r="K213" s="13"/>
      <c r="BK213" s="26"/>
      <c r="BL213" s="13"/>
      <c r="BM213" s="20"/>
      <c r="BN213" s="21"/>
      <c r="BO213" s="13"/>
    </row>
    <row r="214">
      <c r="I214" s="24"/>
      <c r="J214" s="25"/>
      <c r="K214" s="13"/>
      <c r="BK214" s="26"/>
      <c r="BL214" s="13"/>
      <c r="BM214" s="20"/>
      <c r="BN214" s="21"/>
      <c r="BO214" s="13"/>
    </row>
    <row r="215">
      <c r="I215" s="24"/>
      <c r="J215" s="25"/>
      <c r="K215" s="13"/>
      <c r="BK215" s="26"/>
      <c r="BL215" s="13"/>
      <c r="BM215" s="20"/>
      <c r="BN215" s="21"/>
      <c r="BO215" s="13"/>
    </row>
    <row r="216">
      <c r="I216" s="24"/>
      <c r="J216" s="25"/>
      <c r="K216" s="13"/>
      <c r="BK216" s="26"/>
      <c r="BL216" s="13"/>
      <c r="BM216" s="20"/>
      <c r="BN216" s="21"/>
      <c r="BO216" s="13"/>
    </row>
    <row r="217">
      <c r="I217" s="24"/>
      <c r="J217" s="25"/>
      <c r="K217" s="13"/>
      <c r="BK217" s="26"/>
      <c r="BL217" s="13"/>
      <c r="BM217" s="20"/>
      <c r="BN217" s="21"/>
      <c r="BO217" s="13"/>
    </row>
    <row r="218">
      <c r="I218" s="24"/>
      <c r="J218" s="25"/>
      <c r="K218" s="13"/>
      <c r="BK218" s="26"/>
      <c r="BL218" s="13"/>
      <c r="BM218" s="20"/>
      <c r="BN218" s="21"/>
      <c r="BO218" s="13"/>
    </row>
    <row r="219">
      <c r="I219" s="24"/>
      <c r="J219" s="25"/>
      <c r="K219" s="13"/>
      <c r="BK219" s="26"/>
      <c r="BL219" s="13"/>
      <c r="BM219" s="20"/>
      <c r="BN219" s="21"/>
      <c r="BO219" s="13"/>
    </row>
    <row r="220">
      <c r="I220" s="24"/>
      <c r="J220" s="25"/>
      <c r="K220" s="13"/>
      <c r="BK220" s="26"/>
      <c r="BL220" s="13"/>
      <c r="BM220" s="20"/>
      <c r="BN220" s="21"/>
      <c r="BO220" s="13"/>
    </row>
    <row r="221">
      <c r="I221" s="24"/>
      <c r="J221" s="25"/>
      <c r="K221" s="13"/>
      <c r="BK221" s="26"/>
      <c r="BL221" s="13"/>
      <c r="BM221" s="20"/>
      <c r="BN221" s="21"/>
      <c r="BO221" s="13"/>
    </row>
    <row r="222">
      <c r="I222" s="24"/>
      <c r="J222" s="25"/>
      <c r="K222" s="13"/>
      <c r="BK222" s="26"/>
      <c r="BL222" s="13"/>
      <c r="BM222" s="20"/>
      <c r="BN222" s="21"/>
      <c r="BO222" s="13"/>
    </row>
    <row r="223">
      <c r="I223" s="24"/>
      <c r="J223" s="25"/>
      <c r="K223" s="13"/>
      <c r="BK223" s="26"/>
      <c r="BL223" s="13"/>
      <c r="BM223" s="20"/>
      <c r="BN223" s="21"/>
      <c r="BO223" s="13"/>
    </row>
    <row r="224">
      <c r="I224" s="24"/>
      <c r="J224" s="25"/>
      <c r="K224" s="13"/>
      <c r="BK224" s="26"/>
      <c r="BL224" s="13"/>
      <c r="BM224" s="20"/>
      <c r="BN224" s="21"/>
      <c r="BO224" s="13"/>
    </row>
    <row r="225">
      <c r="I225" s="24"/>
      <c r="J225" s="25"/>
      <c r="K225" s="13"/>
      <c r="BK225" s="26"/>
      <c r="BL225" s="13"/>
      <c r="BM225" s="20"/>
      <c r="BN225" s="21"/>
      <c r="BO225" s="13"/>
    </row>
    <row r="226">
      <c r="I226" s="24"/>
      <c r="J226" s="25"/>
      <c r="K226" s="13"/>
      <c r="BK226" s="26"/>
      <c r="BL226" s="13"/>
      <c r="BM226" s="20"/>
      <c r="BN226" s="21"/>
      <c r="BO226" s="13"/>
    </row>
    <row r="227">
      <c r="I227" s="24"/>
      <c r="J227" s="25"/>
      <c r="K227" s="13"/>
      <c r="BK227" s="26"/>
      <c r="BL227" s="13"/>
      <c r="BM227" s="20"/>
      <c r="BN227" s="21"/>
      <c r="BO227" s="13"/>
    </row>
    <row r="228">
      <c r="I228" s="24"/>
      <c r="J228" s="25"/>
      <c r="K228" s="13"/>
      <c r="BK228" s="26"/>
      <c r="BL228" s="13"/>
      <c r="BM228" s="20"/>
      <c r="BN228" s="21"/>
      <c r="BO228" s="13"/>
    </row>
    <row r="229">
      <c r="I229" s="24"/>
      <c r="J229" s="25"/>
      <c r="K229" s="13"/>
      <c r="BK229" s="26"/>
      <c r="BL229" s="13"/>
      <c r="BM229" s="20"/>
      <c r="BN229" s="21"/>
      <c r="BO229" s="13"/>
    </row>
    <row r="230">
      <c r="I230" s="24"/>
      <c r="J230" s="25"/>
      <c r="K230" s="13"/>
      <c r="BK230" s="26"/>
      <c r="BL230" s="13"/>
      <c r="BM230" s="20"/>
      <c r="BN230" s="21"/>
      <c r="BO230" s="13"/>
    </row>
    <row r="231">
      <c r="I231" s="24"/>
      <c r="J231" s="25"/>
      <c r="K231" s="13"/>
      <c r="BK231" s="26"/>
      <c r="BL231" s="13"/>
      <c r="BM231" s="20"/>
      <c r="BN231" s="21"/>
      <c r="BO231" s="13"/>
    </row>
    <row r="232">
      <c r="I232" s="24"/>
      <c r="J232" s="25"/>
      <c r="K232" s="13"/>
      <c r="BK232" s="26"/>
      <c r="BL232" s="13"/>
      <c r="BM232" s="20"/>
      <c r="BN232" s="21"/>
      <c r="BO232" s="13"/>
    </row>
    <row r="233">
      <c r="I233" s="24"/>
      <c r="J233" s="25"/>
      <c r="K233" s="13"/>
      <c r="BK233" s="26"/>
      <c r="BL233" s="13"/>
      <c r="BM233" s="20"/>
      <c r="BN233" s="21"/>
      <c r="BO233" s="13"/>
    </row>
    <row r="234">
      <c r="I234" s="24"/>
      <c r="J234" s="25"/>
      <c r="K234" s="13"/>
      <c r="BK234" s="26"/>
      <c r="BL234" s="13"/>
      <c r="BM234" s="20"/>
      <c r="BN234" s="21"/>
      <c r="BO234" s="13"/>
    </row>
    <row r="235">
      <c r="I235" s="24"/>
      <c r="J235" s="25"/>
      <c r="K235" s="13"/>
      <c r="BK235" s="26"/>
      <c r="BL235" s="13"/>
      <c r="BM235" s="20"/>
      <c r="BN235" s="21"/>
      <c r="BO235" s="13"/>
    </row>
    <row r="236">
      <c r="I236" s="24"/>
      <c r="J236" s="25"/>
      <c r="K236" s="13"/>
      <c r="BK236" s="26"/>
      <c r="BL236" s="13"/>
      <c r="BM236" s="20"/>
      <c r="BN236" s="21"/>
      <c r="BO236" s="13"/>
    </row>
    <row r="237">
      <c r="I237" s="24"/>
      <c r="J237" s="25"/>
      <c r="K237" s="13"/>
      <c r="BK237" s="26"/>
      <c r="BL237" s="13"/>
      <c r="BM237" s="20"/>
      <c r="BN237" s="21"/>
      <c r="BO237" s="13"/>
    </row>
    <row r="238">
      <c r="I238" s="24"/>
      <c r="J238" s="25"/>
      <c r="K238" s="13"/>
      <c r="BK238" s="26"/>
      <c r="BL238" s="13"/>
      <c r="BM238" s="20"/>
      <c r="BN238" s="21"/>
      <c r="BO238" s="13"/>
    </row>
    <row r="239">
      <c r="I239" s="24"/>
      <c r="J239" s="25"/>
      <c r="K239" s="13"/>
      <c r="BK239" s="26"/>
      <c r="BL239" s="13"/>
      <c r="BM239" s="20"/>
      <c r="BN239" s="21"/>
      <c r="BO239" s="13"/>
    </row>
    <row r="240">
      <c r="I240" s="24"/>
      <c r="J240" s="25"/>
      <c r="K240" s="13"/>
      <c r="BK240" s="26"/>
      <c r="BL240" s="13"/>
      <c r="BM240" s="20"/>
      <c r="BN240" s="21"/>
      <c r="BO240" s="13"/>
    </row>
    <row r="241">
      <c r="I241" s="24"/>
      <c r="J241" s="25"/>
      <c r="K241" s="13"/>
      <c r="BK241" s="26"/>
      <c r="BL241" s="13"/>
      <c r="BM241" s="20"/>
      <c r="BN241" s="21"/>
      <c r="BO241" s="13"/>
    </row>
    <row r="242">
      <c r="I242" s="24"/>
      <c r="J242" s="25"/>
      <c r="K242" s="13"/>
      <c r="BK242" s="26"/>
      <c r="BL242" s="13"/>
      <c r="BM242" s="20"/>
      <c r="BN242" s="21"/>
      <c r="BO242" s="13"/>
    </row>
    <row r="243">
      <c r="I243" s="24"/>
      <c r="J243" s="25"/>
      <c r="K243" s="13"/>
      <c r="BK243" s="26"/>
      <c r="BL243" s="13"/>
      <c r="BM243" s="20"/>
      <c r="BN243" s="21"/>
      <c r="BO243" s="13"/>
    </row>
    <row r="244">
      <c r="I244" s="24"/>
      <c r="J244" s="25"/>
      <c r="K244" s="13"/>
      <c r="BK244" s="26"/>
      <c r="BL244" s="13"/>
      <c r="BM244" s="20"/>
      <c r="BN244" s="21"/>
      <c r="BO244" s="13"/>
    </row>
    <row r="245">
      <c r="I245" s="24"/>
      <c r="J245" s="25"/>
      <c r="K245" s="13"/>
      <c r="BK245" s="26"/>
      <c r="BL245" s="13"/>
      <c r="BM245" s="20"/>
      <c r="BN245" s="21"/>
      <c r="BO245" s="13"/>
    </row>
    <row r="246">
      <c r="I246" s="24"/>
      <c r="J246" s="25"/>
      <c r="K246" s="13"/>
      <c r="BK246" s="26"/>
      <c r="BL246" s="13"/>
      <c r="BM246" s="20"/>
      <c r="BN246" s="21"/>
      <c r="BO246" s="13"/>
    </row>
    <row r="247">
      <c r="I247" s="24"/>
      <c r="J247" s="25"/>
      <c r="K247" s="13"/>
      <c r="BK247" s="26"/>
      <c r="BL247" s="13"/>
      <c r="BM247" s="20"/>
      <c r="BN247" s="21"/>
      <c r="BO247" s="13"/>
    </row>
    <row r="248">
      <c r="I248" s="24"/>
      <c r="J248" s="25"/>
      <c r="K248" s="13"/>
      <c r="BK248" s="26"/>
      <c r="BL248" s="13"/>
      <c r="BM248" s="20"/>
      <c r="BN248" s="21"/>
      <c r="BO248" s="13"/>
    </row>
    <row r="249">
      <c r="I249" s="24"/>
      <c r="J249" s="25"/>
      <c r="K249" s="13"/>
      <c r="BK249" s="26"/>
      <c r="BL249" s="13"/>
      <c r="BM249" s="20"/>
      <c r="BN249" s="21"/>
      <c r="BO249" s="13"/>
    </row>
    <row r="250">
      <c r="I250" s="24"/>
      <c r="J250" s="25"/>
      <c r="K250" s="13"/>
      <c r="BK250" s="26"/>
      <c r="BL250" s="13"/>
      <c r="BM250" s="20"/>
      <c r="BN250" s="21"/>
      <c r="BO250" s="13"/>
    </row>
    <row r="251">
      <c r="I251" s="24"/>
      <c r="J251" s="25"/>
      <c r="K251" s="13"/>
      <c r="BK251" s="26"/>
      <c r="BL251" s="13"/>
      <c r="BM251" s="20"/>
      <c r="BN251" s="21"/>
      <c r="BO251" s="13"/>
    </row>
    <row r="252">
      <c r="I252" s="24"/>
      <c r="J252" s="25"/>
      <c r="K252" s="13"/>
      <c r="BK252" s="26"/>
      <c r="BL252" s="13"/>
      <c r="BM252" s="20"/>
      <c r="BN252" s="21"/>
      <c r="BO252" s="13"/>
    </row>
    <row r="253">
      <c r="I253" s="24"/>
      <c r="J253" s="25"/>
      <c r="K253" s="13"/>
      <c r="BK253" s="26"/>
      <c r="BL253" s="13"/>
      <c r="BM253" s="20"/>
      <c r="BN253" s="21"/>
      <c r="BO253" s="13"/>
    </row>
    <row r="254">
      <c r="I254" s="24"/>
      <c r="J254" s="25"/>
      <c r="K254" s="13"/>
      <c r="BK254" s="26"/>
      <c r="BL254" s="13"/>
      <c r="BM254" s="20"/>
      <c r="BN254" s="21"/>
      <c r="BO254" s="13"/>
    </row>
    <row r="255">
      <c r="I255" s="24"/>
      <c r="J255" s="25"/>
      <c r="K255" s="13"/>
      <c r="BK255" s="26"/>
      <c r="BL255" s="13"/>
      <c r="BM255" s="20"/>
      <c r="BN255" s="21"/>
      <c r="BO255" s="13"/>
    </row>
    <row r="256">
      <c r="I256" s="24"/>
      <c r="J256" s="25"/>
      <c r="K256" s="13"/>
      <c r="BK256" s="26"/>
      <c r="BL256" s="13"/>
      <c r="BM256" s="20"/>
      <c r="BN256" s="21"/>
      <c r="BO256" s="13"/>
    </row>
    <row r="257">
      <c r="I257" s="24"/>
      <c r="J257" s="25"/>
      <c r="K257" s="13"/>
      <c r="BK257" s="26"/>
      <c r="BL257" s="13"/>
      <c r="BM257" s="20"/>
      <c r="BN257" s="21"/>
      <c r="BO257" s="13"/>
    </row>
    <row r="258">
      <c r="I258" s="24"/>
      <c r="J258" s="25"/>
      <c r="K258" s="13"/>
      <c r="BK258" s="26"/>
      <c r="BL258" s="13"/>
      <c r="BM258" s="20"/>
      <c r="BN258" s="21"/>
      <c r="BO258" s="13"/>
    </row>
    <row r="259">
      <c r="I259" s="24"/>
      <c r="J259" s="25"/>
      <c r="K259" s="13"/>
      <c r="BK259" s="26"/>
      <c r="BL259" s="13"/>
      <c r="BM259" s="20"/>
      <c r="BN259" s="21"/>
      <c r="BO259" s="13"/>
    </row>
    <row r="260">
      <c r="I260" s="24"/>
      <c r="J260" s="25"/>
      <c r="K260" s="13"/>
      <c r="BK260" s="26"/>
      <c r="BL260" s="13"/>
      <c r="BM260" s="20"/>
      <c r="BN260" s="21"/>
      <c r="BO260" s="13"/>
    </row>
    <row r="261">
      <c r="I261" s="24"/>
      <c r="J261" s="25"/>
      <c r="K261" s="13"/>
      <c r="BK261" s="26"/>
      <c r="BL261" s="13"/>
      <c r="BM261" s="20"/>
      <c r="BN261" s="21"/>
      <c r="BO261" s="13"/>
    </row>
    <row r="262">
      <c r="I262" s="24"/>
      <c r="J262" s="25"/>
      <c r="K262" s="13"/>
      <c r="BK262" s="26"/>
      <c r="BL262" s="13"/>
      <c r="BM262" s="20"/>
      <c r="BN262" s="21"/>
      <c r="BO262" s="13"/>
    </row>
    <row r="263">
      <c r="I263" s="24"/>
      <c r="J263" s="25"/>
      <c r="K263" s="13"/>
      <c r="BK263" s="26"/>
      <c r="BL263" s="13"/>
      <c r="BM263" s="20"/>
      <c r="BN263" s="21"/>
      <c r="BO263" s="13"/>
    </row>
    <row r="264">
      <c r="I264" s="24"/>
      <c r="J264" s="25"/>
      <c r="K264" s="13"/>
      <c r="BK264" s="26"/>
      <c r="BL264" s="13"/>
      <c r="BM264" s="20"/>
      <c r="BN264" s="21"/>
      <c r="BO264" s="13"/>
    </row>
    <row r="265">
      <c r="I265" s="24"/>
      <c r="J265" s="25"/>
      <c r="K265" s="13"/>
      <c r="BK265" s="26"/>
      <c r="BL265" s="13"/>
      <c r="BM265" s="20"/>
      <c r="BN265" s="21"/>
      <c r="BO265" s="13"/>
    </row>
    <row r="266">
      <c r="I266" s="24"/>
      <c r="J266" s="25"/>
      <c r="K266" s="13"/>
      <c r="BK266" s="26"/>
      <c r="BL266" s="13"/>
      <c r="BM266" s="20"/>
      <c r="BN266" s="21"/>
      <c r="BO266" s="13"/>
    </row>
    <row r="267">
      <c r="I267" s="24"/>
      <c r="J267" s="25"/>
      <c r="K267" s="13"/>
      <c r="BK267" s="26"/>
      <c r="BL267" s="13"/>
      <c r="BM267" s="20"/>
      <c r="BN267" s="21"/>
      <c r="BO267" s="13"/>
    </row>
    <row r="268">
      <c r="I268" s="24"/>
      <c r="J268" s="25"/>
      <c r="K268" s="13"/>
      <c r="BK268" s="26"/>
      <c r="BL268" s="13"/>
      <c r="BM268" s="20"/>
      <c r="BN268" s="21"/>
      <c r="BO268" s="13"/>
    </row>
    <row r="269">
      <c r="I269" s="24"/>
      <c r="J269" s="25"/>
      <c r="K269" s="13"/>
      <c r="BK269" s="26"/>
      <c r="BL269" s="13"/>
      <c r="BM269" s="20"/>
      <c r="BN269" s="21"/>
      <c r="BO269" s="13"/>
    </row>
    <row r="270">
      <c r="I270" s="24"/>
      <c r="J270" s="25"/>
      <c r="K270" s="13"/>
      <c r="BK270" s="26"/>
      <c r="BL270" s="13"/>
      <c r="BM270" s="20"/>
      <c r="BN270" s="21"/>
      <c r="BO270" s="13"/>
    </row>
    <row r="271">
      <c r="I271" s="24"/>
      <c r="J271" s="25"/>
      <c r="K271" s="13"/>
      <c r="BK271" s="26"/>
      <c r="BL271" s="13"/>
      <c r="BM271" s="20"/>
      <c r="BN271" s="21"/>
      <c r="BO271" s="13"/>
    </row>
    <row r="272">
      <c r="I272" s="24"/>
      <c r="J272" s="25"/>
      <c r="K272" s="13"/>
      <c r="BK272" s="26"/>
      <c r="BL272" s="13"/>
      <c r="BM272" s="20"/>
      <c r="BN272" s="21"/>
      <c r="BO272" s="13"/>
    </row>
    <row r="273">
      <c r="I273" s="24"/>
      <c r="J273" s="25"/>
      <c r="K273" s="13"/>
      <c r="BK273" s="26"/>
      <c r="BL273" s="13"/>
      <c r="BM273" s="20"/>
      <c r="BN273" s="21"/>
      <c r="BO273" s="13"/>
    </row>
    <row r="274">
      <c r="I274" s="24"/>
      <c r="J274" s="25"/>
      <c r="K274" s="13"/>
      <c r="BK274" s="26"/>
      <c r="BL274" s="13"/>
      <c r="BM274" s="20"/>
      <c r="BN274" s="21"/>
      <c r="BO274" s="13"/>
    </row>
    <row r="275">
      <c r="I275" s="24"/>
      <c r="J275" s="25"/>
      <c r="K275" s="13"/>
      <c r="BK275" s="26"/>
      <c r="BL275" s="13"/>
      <c r="BM275" s="20"/>
      <c r="BN275" s="21"/>
      <c r="BO275" s="13"/>
    </row>
    <row r="276">
      <c r="I276" s="24"/>
      <c r="J276" s="25"/>
      <c r="K276" s="13"/>
      <c r="BK276" s="26"/>
      <c r="BL276" s="13"/>
      <c r="BM276" s="20"/>
      <c r="BN276" s="21"/>
      <c r="BO276" s="13"/>
    </row>
    <row r="277">
      <c r="I277" s="24"/>
      <c r="J277" s="25"/>
      <c r="K277" s="13"/>
      <c r="BK277" s="26"/>
      <c r="BL277" s="13"/>
      <c r="BM277" s="20"/>
      <c r="BN277" s="21"/>
      <c r="BO277" s="13"/>
    </row>
    <row r="278">
      <c r="I278" s="24"/>
      <c r="J278" s="25"/>
      <c r="K278" s="13"/>
      <c r="BK278" s="26"/>
      <c r="BL278" s="13"/>
      <c r="BM278" s="20"/>
      <c r="BN278" s="21"/>
      <c r="BO278" s="13"/>
    </row>
    <row r="279">
      <c r="I279" s="24"/>
      <c r="J279" s="25"/>
      <c r="K279" s="13"/>
      <c r="BK279" s="26"/>
      <c r="BL279" s="13"/>
      <c r="BM279" s="20"/>
      <c r="BN279" s="21"/>
      <c r="BO279" s="13"/>
    </row>
    <row r="280">
      <c r="I280" s="24"/>
      <c r="J280" s="25"/>
      <c r="K280" s="13"/>
      <c r="BK280" s="26"/>
      <c r="BL280" s="13"/>
      <c r="BM280" s="20"/>
      <c r="BN280" s="21"/>
      <c r="BO280" s="13"/>
    </row>
    <row r="281">
      <c r="I281" s="24"/>
      <c r="J281" s="25"/>
      <c r="K281" s="13"/>
      <c r="BK281" s="26"/>
      <c r="BL281" s="13"/>
      <c r="BM281" s="20"/>
      <c r="BN281" s="21"/>
      <c r="BO281" s="13"/>
    </row>
    <row r="282">
      <c r="I282" s="24"/>
      <c r="J282" s="25"/>
      <c r="K282" s="13"/>
      <c r="BK282" s="26"/>
      <c r="BL282" s="13"/>
      <c r="BM282" s="20"/>
      <c r="BN282" s="21"/>
      <c r="BO282" s="13"/>
    </row>
    <row r="283">
      <c r="I283" s="24"/>
      <c r="J283" s="25"/>
      <c r="K283" s="13"/>
      <c r="BK283" s="26"/>
      <c r="BL283" s="13"/>
      <c r="BM283" s="20"/>
      <c r="BN283" s="21"/>
      <c r="BO283" s="13"/>
    </row>
    <row r="284">
      <c r="I284" s="24"/>
      <c r="J284" s="25"/>
      <c r="K284" s="13"/>
      <c r="BK284" s="26"/>
      <c r="BL284" s="13"/>
      <c r="BM284" s="20"/>
      <c r="BN284" s="21"/>
      <c r="BO284" s="13"/>
    </row>
    <row r="285">
      <c r="I285" s="24"/>
      <c r="J285" s="25"/>
      <c r="K285" s="13"/>
      <c r="BK285" s="26"/>
      <c r="BL285" s="13"/>
      <c r="BM285" s="20"/>
      <c r="BN285" s="21"/>
      <c r="BO285" s="13"/>
    </row>
    <row r="286">
      <c r="I286" s="24"/>
      <c r="J286" s="25"/>
      <c r="K286" s="13"/>
      <c r="BK286" s="26"/>
      <c r="BL286" s="13"/>
      <c r="BM286" s="20"/>
      <c r="BN286" s="21"/>
      <c r="BO286" s="13"/>
    </row>
    <row r="287">
      <c r="I287" s="24"/>
      <c r="J287" s="25"/>
      <c r="K287" s="13"/>
      <c r="BK287" s="26"/>
      <c r="BL287" s="13"/>
      <c r="BM287" s="20"/>
      <c r="BN287" s="21"/>
      <c r="BO287" s="13"/>
    </row>
    <row r="288">
      <c r="I288" s="24"/>
      <c r="J288" s="25"/>
      <c r="K288" s="13"/>
      <c r="BK288" s="26"/>
      <c r="BL288" s="13"/>
      <c r="BM288" s="20"/>
      <c r="BN288" s="21"/>
      <c r="BO288" s="13"/>
    </row>
    <row r="289">
      <c r="I289" s="24"/>
      <c r="J289" s="25"/>
      <c r="K289" s="13"/>
      <c r="BK289" s="26"/>
      <c r="BL289" s="13"/>
      <c r="BM289" s="20"/>
      <c r="BN289" s="21"/>
      <c r="BO289" s="13"/>
    </row>
    <row r="290">
      <c r="I290" s="24"/>
      <c r="J290" s="25"/>
      <c r="K290" s="13"/>
      <c r="BK290" s="26"/>
      <c r="BL290" s="13"/>
      <c r="BM290" s="20"/>
      <c r="BN290" s="21"/>
      <c r="BO290" s="13"/>
    </row>
    <row r="291">
      <c r="I291" s="24"/>
      <c r="J291" s="25"/>
      <c r="K291" s="13"/>
      <c r="BK291" s="26"/>
      <c r="BL291" s="13"/>
      <c r="BM291" s="20"/>
      <c r="BN291" s="21"/>
      <c r="BO291" s="13"/>
    </row>
    <row r="292">
      <c r="I292" s="24"/>
      <c r="J292" s="25"/>
      <c r="K292" s="13"/>
      <c r="BK292" s="26"/>
      <c r="BL292" s="13"/>
      <c r="BM292" s="20"/>
      <c r="BN292" s="21"/>
      <c r="BO292" s="13"/>
    </row>
    <row r="293">
      <c r="I293" s="24"/>
      <c r="J293" s="25"/>
      <c r="K293" s="13"/>
      <c r="BK293" s="26"/>
      <c r="BL293" s="13"/>
      <c r="BM293" s="20"/>
      <c r="BN293" s="21"/>
      <c r="BO293" s="13"/>
    </row>
    <row r="294">
      <c r="I294" s="24"/>
      <c r="J294" s="25"/>
      <c r="K294" s="13"/>
      <c r="BK294" s="26"/>
      <c r="BL294" s="13"/>
      <c r="BM294" s="20"/>
      <c r="BN294" s="21"/>
      <c r="BO294" s="13"/>
    </row>
    <row r="295">
      <c r="I295" s="24"/>
      <c r="J295" s="25"/>
      <c r="K295" s="13"/>
      <c r="BK295" s="26"/>
      <c r="BL295" s="13"/>
      <c r="BM295" s="20"/>
      <c r="BN295" s="21"/>
      <c r="BO295" s="13"/>
    </row>
    <row r="296">
      <c r="I296" s="24"/>
      <c r="J296" s="25"/>
      <c r="K296" s="13"/>
      <c r="BK296" s="26"/>
      <c r="BL296" s="13"/>
      <c r="BM296" s="20"/>
      <c r="BN296" s="21"/>
      <c r="BO296" s="13"/>
    </row>
    <row r="297">
      <c r="I297" s="24"/>
      <c r="J297" s="25"/>
      <c r="K297" s="13"/>
      <c r="BK297" s="26"/>
      <c r="BL297" s="13"/>
      <c r="BM297" s="20"/>
      <c r="BN297" s="21"/>
      <c r="BO297" s="13"/>
    </row>
    <row r="298">
      <c r="I298" s="24"/>
      <c r="J298" s="25"/>
      <c r="K298" s="13"/>
      <c r="BK298" s="26"/>
      <c r="BL298" s="13"/>
      <c r="BM298" s="20"/>
      <c r="BN298" s="21"/>
      <c r="BO298" s="13"/>
    </row>
    <row r="299">
      <c r="I299" s="24"/>
      <c r="J299" s="25"/>
      <c r="K299" s="13"/>
      <c r="BK299" s="26"/>
      <c r="BL299" s="13"/>
      <c r="BM299" s="20"/>
      <c r="BN299" s="21"/>
      <c r="BO299" s="13"/>
    </row>
    <row r="300">
      <c r="I300" s="24"/>
      <c r="J300" s="25"/>
      <c r="K300" s="13"/>
      <c r="BK300" s="26"/>
      <c r="BL300" s="13"/>
      <c r="BM300" s="20"/>
      <c r="BN300" s="21"/>
      <c r="BO300" s="13"/>
    </row>
    <row r="301">
      <c r="I301" s="24"/>
      <c r="J301" s="25"/>
      <c r="K301" s="13"/>
      <c r="BK301" s="26"/>
      <c r="BL301" s="13"/>
      <c r="BM301" s="20"/>
      <c r="BN301" s="21"/>
      <c r="BO301" s="13"/>
    </row>
    <row r="302">
      <c r="I302" s="24"/>
      <c r="J302" s="25"/>
      <c r="K302" s="13"/>
      <c r="BK302" s="26"/>
      <c r="BL302" s="13"/>
      <c r="BM302" s="20"/>
      <c r="BN302" s="21"/>
      <c r="BO302" s="13"/>
    </row>
    <row r="303">
      <c r="I303" s="24"/>
      <c r="J303" s="25"/>
      <c r="K303" s="13"/>
      <c r="BK303" s="26"/>
      <c r="BL303" s="13"/>
      <c r="BM303" s="20"/>
      <c r="BN303" s="21"/>
      <c r="BO303" s="13"/>
    </row>
    <row r="304">
      <c r="I304" s="24"/>
      <c r="J304" s="25"/>
      <c r="K304" s="13"/>
      <c r="BK304" s="26"/>
      <c r="BL304" s="13"/>
      <c r="BM304" s="20"/>
      <c r="BN304" s="21"/>
      <c r="BO304" s="13"/>
    </row>
    <row r="305">
      <c r="I305" s="24"/>
      <c r="J305" s="25"/>
      <c r="K305" s="13"/>
      <c r="BK305" s="26"/>
      <c r="BL305" s="13"/>
      <c r="BM305" s="20"/>
      <c r="BN305" s="21"/>
      <c r="BO305" s="13"/>
    </row>
    <row r="306">
      <c r="I306" s="24"/>
      <c r="J306" s="25"/>
      <c r="K306" s="13"/>
      <c r="BK306" s="26"/>
      <c r="BL306" s="13"/>
      <c r="BM306" s="20"/>
      <c r="BN306" s="21"/>
      <c r="BO306" s="13"/>
    </row>
    <row r="307">
      <c r="I307" s="24"/>
      <c r="J307" s="25"/>
      <c r="K307" s="13"/>
      <c r="BK307" s="26"/>
      <c r="BL307" s="13"/>
      <c r="BM307" s="20"/>
      <c r="BN307" s="21"/>
      <c r="BO307" s="13"/>
    </row>
    <row r="308">
      <c r="I308" s="24"/>
      <c r="J308" s="25"/>
      <c r="K308" s="13"/>
      <c r="BK308" s="26"/>
      <c r="BL308" s="13"/>
      <c r="BM308" s="20"/>
      <c r="BN308" s="21"/>
      <c r="BO308" s="13"/>
    </row>
    <row r="309">
      <c r="I309" s="24"/>
      <c r="J309" s="25"/>
      <c r="K309" s="13"/>
      <c r="BK309" s="26"/>
      <c r="BL309" s="13"/>
      <c r="BM309" s="20"/>
      <c r="BN309" s="21"/>
      <c r="BO309" s="13"/>
    </row>
    <row r="310">
      <c r="I310" s="24"/>
      <c r="J310" s="25"/>
      <c r="K310" s="13"/>
      <c r="BK310" s="26"/>
      <c r="BL310" s="13"/>
      <c r="BM310" s="20"/>
      <c r="BN310" s="21"/>
      <c r="BO310" s="13"/>
    </row>
    <row r="311">
      <c r="I311" s="24"/>
      <c r="J311" s="25"/>
      <c r="K311" s="13"/>
      <c r="BK311" s="26"/>
      <c r="BL311" s="13"/>
      <c r="BM311" s="20"/>
      <c r="BN311" s="21"/>
      <c r="BO311" s="13"/>
    </row>
    <row r="312">
      <c r="I312" s="24"/>
      <c r="J312" s="25"/>
      <c r="K312" s="13"/>
      <c r="BK312" s="26"/>
      <c r="BL312" s="13"/>
      <c r="BM312" s="20"/>
      <c r="BN312" s="21"/>
      <c r="BO312" s="13"/>
    </row>
    <row r="313">
      <c r="I313" s="24"/>
      <c r="J313" s="25"/>
      <c r="K313" s="13"/>
      <c r="BK313" s="26"/>
      <c r="BL313" s="13"/>
      <c r="BM313" s="20"/>
      <c r="BN313" s="21"/>
      <c r="BO313" s="13"/>
    </row>
    <row r="314">
      <c r="I314" s="24"/>
      <c r="J314" s="25"/>
      <c r="K314" s="13"/>
      <c r="BK314" s="26"/>
      <c r="BL314" s="13"/>
      <c r="BM314" s="20"/>
      <c r="BN314" s="21"/>
      <c r="BO314" s="13"/>
    </row>
    <row r="315">
      <c r="I315" s="24"/>
      <c r="J315" s="25"/>
      <c r="K315" s="13"/>
      <c r="BK315" s="26"/>
      <c r="BL315" s="13"/>
      <c r="BM315" s="20"/>
      <c r="BN315" s="21"/>
      <c r="BO315" s="13"/>
    </row>
    <row r="316">
      <c r="I316" s="24"/>
      <c r="J316" s="25"/>
      <c r="K316" s="13"/>
      <c r="BK316" s="26"/>
      <c r="BL316" s="13"/>
      <c r="BM316" s="20"/>
      <c r="BN316" s="21"/>
      <c r="BO316" s="13"/>
    </row>
    <row r="317">
      <c r="I317" s="24"/>
      <c r="J317" s="25"/>
      <c r="K317" s="13"/>
      <c r="BK317" s="26"/>
      <c r="BL317" s="13"/>
      <c r="BM317" s="20"/>
      <c r="BN317" s="21"/>
      <c r="BO317" s="13"/>
    </row>
    <row r="318">
      <c r="I318" s="24"/>
      <c r="J318" s="25"/>
      <c r="K318" s="13"/>
      <c r="BK318" s="26"/>
      <c r="BL318" s="13"/>
      <c r="BM318" s="20"/>
      <c r="BN318" s="21"/>
      <c r="BO318" s="13"/>
    </row>
    <row r="319">
      <c r="I319" s="24"/>
      <c r="J319" s="25"/>
      <c r="K319" s="13"/>
      <c r="BK319" s="26"/>
      <c r="BL319" s="13"/>
      <c r="BM319" s="20"/>
      <c r="BN319" s="21"/>
      <c r="BO319" s="13"/>
    </row>
    <row r="320">
      <c r="I320" s="24"/>
      <c r="J320" s="25"/>
      <c r="K320" s="13"/>
      <c r="BK320" s="26"/>
      <c r="BL320" s="13"/>
      <c r="BM320" s="20"/>
      <c r="BN320" s="21"/>
      <c r="BO320" s="13"/>
    </row>
    <row r="321">
      <c r="I321" s="24"/>
      <c r="J321" s="25"/>
      <c r="K321" s="13"/>
      <c r="BK321" s="26"/>
      <c r="BL321" s="13"/>
      <c r="BM321" s="20"/>
      <c r="BN321" s="21"/>
      <c r="BO321" s="13"/>
    </row>
    <row r="322">
      <c r="I322" s="24"/>
      <c r="J322" s="25"/>
      <c r="K322" s="13"/>
      <c r="BK322" s="26"/>
      <c r="BL322" s="13"/>
      <c r="BM322" s="20"/>
      <c r="BN322" s="21"/>
      <c r="BO322" s="13"/>
    </row>
    <row r="323">
      <c r="I323" s="24"/>
      <c r="J323" s="25"/>
      <c r="K323" s="13"/>
      <c r="BK323" s="26"/>
      <c r="BL323" s="13"/>
      <c r="BM323" s="20"/>
      <c r="BN323" s="21"/>
      <c r="BO323" s="13"/>
    </row>
    <row r="324">
      <c r="I324" s="24"/>
      <c r="J324" s="25"/>
      <c r="K324" s="13"/>
      <c r="BK324" s="26"/>
      <c r="BL324" s="13"/>
      <c r="BM324" s="20"/>
      <c r="BN324" s="21"/>
      <c r="BO324" s="13"/>
    </row>
    <row r="325">
      <c r="I325" s="24"/>
      <c r="J325" s="25"/>
      <c r="K325" s="13"/>
      <c r="BK325" s="26"/>
      <c r="BL325" s="13"/>
      <c r="BM325" s="20"/>
      <c r="BN325" s="21"/>
      <c r="BO325" s="13"/>
    </row>
    <row r="326">
      <c r="I326" s="24"/>
      <c r="J326" s="25"/>
      <c r="K326" s="13"/>
      <c r="BK326" s="26"/>
      <c r="BL326" s="13"/>
      <c r="BM326" s="20"/>
      <c r="BN326" s="21"/>
      <c r="BO326" s="13"/>
    </row>
    <row r="327">
      <c r="I327" s="24"/>
      <c r="J327" s="25"/>
      <c r="K327" s="13"/>
      <c r="BK327" s="26"/>
      <c r="BL327" s="13"/>
      <c r="BM327" s="20"/>
      <c r="BN327" s="21"/>
      <c r="BO327" s="13"/>
    </row>
    <row r="328">
      <c r="I328" s="24"/>
      <c r="J328" s="25"/>
      <c r="K328" s="13"/>
      <c r="BK328" s="26"/>
      <c r="BL328" s="13"/>
      <c r="BM328" s="20"/>
      <c r="BN328" s="21"/>
      <c r="BO328" s="13"/>
    </row>
    <row r="329">
      <c r="I329" s="24"/>
      <c r="J329" s="25"/>
      <c r="K329" s="13"/>
      <c r="BK329" s="26"/>
      <c r="BL329" s="13"/>
      <c r="BM329" s="20"/>
      <c r="BN329" s="21"/>
      <c r="BO329" s="13"/>
    </row>
    <row r="330">
      <c r="I330" s="24"/>
      <c r="J330" s="25"/>
      <c r="K330" s="13"/>
      <c r="BK330" s="26"/>
      <c r="BL330" s="13"/>
      <c r="BM330" s="20"/>
      <c r="BN330" s="21"/>
      <c r="BO330" s="13"/>
    </row>
    <row r="331">
      <c r="I331" s="24"/>
      <c r="J331" s="25"/>
      <c r="K331" s="13"/>
      <c r="BK331" s="26"/>
      <c r="BL331" s="13"/>
      <c r="BM331" s="20"/>
      <c r="BN331" s="21"/>
      <c r="BO331" s="13"/>
    </row>
    <row r="332">
      <c r="I332" s="24"/>
      <c r="J332" s="25"/>
      <c r="K332" s="13"/>
      <c r="BK332" s="26"/>
      <c r="BL332" s="13"/>
      <c r="BM332" s="20"/>
      <c r="BN332" s="21"/>
      <c r="BO332" s="13"/>
    </row>
    <row r="333">
      <c r="I333" s="24"/>
      <c r="J333" s="25"/>
      <c r="K333" s="13"/>
      <c r="BK333" s="26"/>
      <c r="BL333" s="13"/>
      <c r="BM333" s="20"/>
      <c r="BN333" s="21"/>
      <c r="BO333" s="13"/>
    </row>
    <row r="334">
      <c r="I334" s="24"/>
      <c r="J334" s="25"/>
      <c r="K334" s="13"/>
      <c r="BK334" s="26"/>
      <c r="BL334" s="13"/>
      <c r="BM334" s="20"/>
      <c r="BN334" s="21"/>
      <c r="BO334" s="13"/>
    </row>
    <row r="335">
      <c r="I335" s="24"/>
      <c r="J335" s="25"/>
      <c r="K335" s="13"/>
      <c r="BK335" s="26"/>
      <c r="BL335" s="13"/>
      <c r="BM335" s="20"/>
      <c r="BN335" s="21"/>
      <c r="BO335" s="13"/>
    </row>
    <row r="336">
      <c r="I336" s="24"/>
      <c r="J336" s="25"/>
      <c r="K336" s="13"/>
      <c r="BK336" s="26"/>
      <c r="BL336" s="13"/>
      <c r="BM336" s="20"/>
      <c r="BN336" s="21"/>
      <c r="BO336" s="13"/>
    </row>
    <row r="337">
      <c r="I337" s="24"/>
      <c r="J337" s="25"/>
      <c r="K337" s="13"/>
      <c r="BK337" s="26"/>
      <c r="BL337" s="13"/>
      <c r="BM337" s="20"/>
      <c r="BN337" s="21"/>
      <c r="BO337" s="13"/>
    </row>
    <row r="338">
      <c r="I338" s="24"/>
      <c r="J338" s="25"/>
      <c r="K338" s="13"/>
      <c r="BK338" s="26"/>
      <c r="BL338" s="13"/>
      <c r="BM338" s="20"/>
      <c r="BN338" s="21"/>
      <c r="BO338" s="13"/>
    </row>
    <row r="339">
      <c r="I339" s="24"/>
      <c r="J339" s="25"/>
      <c r="K339" s="13"/>
      <c r="BK339" s="26"/>
      <c r="BL339" s="13"/>
      <c r="BM339" s="20"/>
      <c r="BN339" s="21"/>
      <c r="BO339" s="13"/>
    </row>
    <row r="340">
      <c r="I340" s="24"/>
      <c r="J340" s="25"/>
      <c r="K340" s="13"/>
      <c r="BK340" s="26"/>
      <c r="BL340" s="13"/>
      <c r="BM340" s="20"/>
      <c r="BN340" s="21"/>
      <c r="BO340" s="13"/>
    </row>
    <row r="341">
      <c r="I341" s="24"/>
      <c r="J341" s="25"/>
      <c r="K341" s="13"/>
      <c r="BK341" s="26"/>
      <c r="BL341" s="13"/>
      <c r="BM341" s="20"/>
      <c r="BN341" s="21"/>
      <c r="BO341" s="13"/>
    </row>
    <row r="342">
      <c r="I342" s="24"/>
      <c r="J342" s="25"/>
      <c r="K342" s="13"/>
      <c r="BK342" s="26"/>
      <c r="BL342" s="13"/>
      <c r="BM342" s="20"/>
      <c r="BN342" s="21"/>
      <c r="BO342" s="13"/>
    </row>
    <row r="343">
      <c r="I343" s="24"/>
      <c r="J343" s="25"/>
      <c r="K343" s="13"/>
      <c r="BK343" s="26"/>
      <c r="BL343" s="13"/>
      <c r="BM343" s="20"/>
      <c r="BN343" s="21"/>
      <c r="BO343" s="13"/>
    </row>
    <row r="344">
      <c r="I344" s="24"/>
      <c r="J344" s="25"/>
      <c r="K344" s="13"/>
      <c r="BK344" s="26"/>
      <c r="BL344" s="13"/>
      <c r="BM344" s="20"/>
      <c r="BN344" s="21"/>
      <c r="BO344" s="13"/>
    </row>
    <row r="345">
      <c r="I345" s="24"/>
      <c r="J345" s="25"/>
      <c r="K345" s="13"/>
      <c r="BK345" s="26"/>
      <c r="BL345" s="13"/>
      <c r="BM345" s="20"/>
      <c r="BN345" s="21"/>
      <c r="BO345" s="13"/>
    </row>
    <row r="346">
      <c r="I346" s="24"/>
      <c r="J346" s="25"/>
      <c r="K346" s="13"/>
      <c r="BK346" s="26"/>
      <c r="BL346" s="13"/>
      <c r="BM346" s="20"/>
      <c r="BN346" s="21"/>
      <c r="BO346" s="13"/>
    </row>
    <row r="347">
      <c r="I347" s="24"/>
      <c r="J347" s="25"/>
      <c r="K347" s="13"/>
      <c r="BK347" s="26"/>
      <c r="BL347" s="13"/>
      <c r="BM347" s="20"/>
      <c r="BN347" s="21"/>
      <c r="BO347" s="13"/>
    </row>
    <row r="348">
      <c r="I348" s="24"/>
      <c r="J348" s="25"/>
      <c r="K348" s="13"/>
      <c r="BK348" s="26"/>
      <c r="BL348" s="13"/>
      <c r="BM348" s="20"/>
      <c r="BN348" s="21"/>
      <c r="BO348" s="13"/>
    </row>
    <row r="349">
      <c r="I349" s="24"/>
      <c r="J349" s="25"/>
      <c r="K349" s="13"/>
      <c r="BK349" s="26"/>
      <c r="BL349" s="13"/>
      <c r="BM349" s="20"/>
      <c r="BN349" s="21"/>
      <c r="BO349" s="13"/>
    </row>
    <row r="350">
      <c r="I350" s="24"/>
      <c r="J350" s="25"/>
      <c r="K350" s="13"/>
      <c r="BK350" s="26"/>
      <c r="BL350" s="13"/>
      <c r="BM350" s="20"/>
      <c r="BN350" s="21"/>
      <c r="BO350" s="13"/>
    </row>
    <row r="351">
      <c r="I351" s="24"/>
      <c r="J351" s="25"/>
      <c r="K351" s="13"/>
      <c r="BK351" s="26"/>
      <c r="BL351" s="13"/>
      <c r="BM351" s="20"/>
      <c r="BN351" s="21"/>
      <c r="BO351" s="13"/>
    </row>
    <row r="352">
      <c r="I352" s="24"/>
      <c r="J352" s="25"/>
      <c r="K352" s="13"/>
      <c r="BK352" s="26"/>
      <c r="BL352" s="13"/>
      <c r="BM352" s="20"/>
      <c r="BN352" s="21"/>
      <c r="BO352" s="13"/>
    </row>
    <row r="353">
      <c r="I353" s="24"/>
      <c r="J353" s="25"/>
      <c r="K353" s="13"/>
      <c r="BK353" s="26"/>
      <c r="BL353" s="13"/>
      <c r="BM353" s="20"/>
      <c r="BN353" s="21"/>
      <c r="BO353" s="13"/>
    </row>
    <row r="354">
      <c r="I354" s="24"/>
      <c r="J354" s="25"/>
      <c r="K354" s="13"/>
      <c r="BK354" s="26"/>
      <c r="BL354" s="13"/>
      <c r="BM354" s="20"/>
      <c r="BN354" s="21"/>
      <c r="BO354" s="13"/>
    </row>
    <row r="355">
      <c r="I355" s="24"/>
      <c r="J355" s="25"/>
      <c r="K355" s="13"/>
      <c r="BK355" s="26"/>
      <c r="BL355" s="13"/>
      <c r="BM355" s="20"/>
      <c r="BN355" s="21"/>
      <c r="BO355" s="13"/>
    </row>
    <row r="356">
      <c r="I356" s="24"/>
      <c r="J356" s="25"/>
      <c r="K356" s="13"/>
      <c r="BK356" s="26"/>
      <c r="BL356" s="13"/>
      <c r="BM356" s="20"/>
      <c r="BN356" s="21"/>
      <c r="BO356" s="13"/>
    </row>
    <row r="357">
      <c r="I357" s="24"/>
      <c r="J357" s="25"/>
      <c r="K357" s="13"/>
      <c r="BK357" s="26"/>
      <c r="BL357" s="13"/>
      <c r="BM357" s="20"/>
      <c r="BN357" s="21"/>
      <c r="BO357" s="13"/>
    </row>
    <row r="358">
      <c r="I358" s="24"/>
      <c r="J358" s="25"/>
      <c r="K358" s="13"/>
      <c r="BK358" s="26"/>
      <c r="BL358" s="13"/>
      <c r="BM358" s="20"/>
      <c r="BN358" s="21"/>
      <c r="BO358" s="13"/>
    </row>
    <row r="359">
      <c r="I359" s="24"/>
      <c r="J359" s="25"/>
      <c r="K359" s="13"/>
      <c r="BK359" s="26"/>
      <c r="BL359" s="13"/>
      <c r="BM359" s="20"/>
      <c r="BN359" s="21"/>
      <c r="BO359" s="13"/>
    </row>
    <row r="360">
      <c r="I360" s="24"/>
      <c r="J360" s="25"/>
      <c r="K360" s="13"/>
      <c r="BK360" s="26"/>
      <c r="BL360" s="13"/>
      <c r="BM360" s="20"/>
      <c r="BN360" s="21"/>
      <c r="BO360" s="13"/>
    </row>
    <row r="361">
      <c r="I361" s="24"/>
      <c r="J361" s="25"/>
      <c r="K361" s="13"/>
      <c r="BK361" s="26"/>
      <c r="BL361" s="13"/>
      <c r="BM361" s="20"/>
      <c r="BN361" s="21"/>
      <c r="BO361" s="13"/>
    </row>
    <row r="362">
      <c r="I362" s="24"/>
      <c r="J362" s="25"/>
      <c r="K362" s="13"/>
      <c r="BK362" s="26"/>
      <c r="BL362" s="13"/>
      <c r="BM362" s="20"/>
      <c r="BN362" s="21"/>
      <c r="BO362" s="13"/>
    </row>
    <row r="363">
      <c r="I363" s="24"/>
      <c r="J363" s="25"/>
      <c r="K363" s="13"/>
      <c r="BK363" s="26"/>
      <c r="BL363" s="13"/>
      <c r="BM363" s="20"/>
      <c r="BN363" s="21"/>
      <c r="BO363" s="13"/>
    </row>
    <row r="364">
      <c r="I364" s="24"/>
      <c r="J364" s="25"/>
      <c r="K364" s="13"/>
      <c r="BK364" s="26"/>
      <c r="BL364" s="13"/>
      <c r="BM364" s="20"/>
      <c r="BN364" s="21"/>
      <c r="BO364" s="13"/>
    </row>
    <row r="365">
      <c r="I365" s="24"/>
      <c r="J365" s="25"/>
      <c r="K365" s="13"/>
      <c r="BK365" s="26"/>
      <c r="BL365" s="13"/>
      <c r="BM365" s="20"/>
      <c r="BN365" s="21"/>
      <c r="BO365" s="13"/>
    </row>
    <row r="366">
      <c r="I366" s="24"/>
      <c r="J366" s="25"/>
      <c r="K366" s="13"/>
      <c r="BK366" s="26"/>
      <c r="BL366" s="13"/>
      <c r="BM366" s="20"/>
      <c r="BN366" s="21"/>
      <c r="BO366" s="13"/>
    </row>
    <row r="367">
      <c r="I367" s="24"/>
      <c r="J367" s="25"/>
      <c r="K367" s="13"/>
      <c r="BK367" s="26"/>
      <c r="BL367" s="13"/>
      <c r="BM367" s="20"/>
      <c r="BN367" s="21"/>
      <c r="BO367" s="13"/>
    </row>
    <row r="368">
      <c r="I368" s="24"/>
      <c r="J368" s="25"/>
      <c r="K368" s="13"/>
      <c r="BK368" s="26"/>
      <c r="BL368" s="13"/>
      <c r="BM368" s="20"/>
      <c r="BN368" s="21"/>
      <c r="BO368" s="13"/>
    </row>
    <row r="369">
      <c r="I369" s="24"/>
      <c r="J369" s="25"/>
      <c r="K369" s="13"/>
      <c r="BK369" s="26"/>
      <c r="BL369" s="13"/>
      <c r="BM369" s="20"/>
      <c r="BN369" s="21"/>
      <c r="BO369" s="13"/>
    </row>
    <row r="370">
      <c r="I370" s="24"/>
      <c r="J370" s="25"/>
      <c r="K370" s="13"/>
      <c r="BK370" s="26"/>
      <c r="BL370" s="13"/>
      <c r="BM370" s="20"/>
      <c r="BN370" s="21"/>
      <c r="BO370" s="13"/>
    </row>
    <row r="371">
      <c r="I371" s="24"/>
      <c r="J371" s="25"/>
      <c r="K371" s="13"/>
      <c r="BK371" s="26"/>
      <c r="BL371" s="13"/>
      <c r="BM371" s="20"/>
      <c r="BN371" s="21"/>
      <c r="BO371" s="13"/>
    </row>
    <row r="372">
      <c r="I372" s="24"/>
      <c r="J372" s="25"/>
      <c r="K372" s="13"/>
      <c r="BK372" s="26"/>
      <c r="BL372" s="13"/>
      <c r="BM372" s="20"/>
      <c r="BN372" s="21"/>
      <c r="BO372" s="13"/>
    </row>
    <row r="373">
      <c r="I373" s="24"/>
      <c r="J373" s="25"/>
      <c r="K373" s="13"/>
      <c r="BK373" s="26"/>
      <c r="BL373" s="13"/>
      <c r="BM373" s="20"/>
      <c r="BN373" s="21"/>
      <c r="BO373" s="13"/>
    </row>
    <row r="374">
      <c r="I374" s="24"/>
      <c r="J374" s="25"/>
      <c r="K374" s="13"/>
      <c r="BK374" s="26"/>
      <c r="BL374" s="13"/>
      <c r="BM374" s="20"/>
      <c r="BN374" s="21"/>
      <c r="BO374" s="13"/>
    </row>
    <row r="375">
      <c r="I375" s="24"/>
      <c r="J375" s="25"/>
      <c r="K375" s="13"/>
      <c r="BK375" s="26"/>
      <c r="BL375" s="13"/>
      <c r="BM375" s="20"/>
      <c r="BN375" s="21"/>
      <c r="BO375" s="13"/>
    </row>
    <row r="376">
      <c r="I376" s="24"/>
      <c r="J376" s="25"/>
      <c r="K376" s="13"/>
      <c r="BK376" s="26"/>
      <c r="BL376" s="13"/>
      <c r="BM376" s="20"/>
      <c r="BN376" s="21"/>
      <c r="BO376" s="13"/>
    </row>
    <row r="377">
      <c r="I377" s="24"/>
      <c r="J377" s="25"/>
      <c r="K377" s="13"/>
      <c r="BK377" s="26"/>
      <c r="BL377" s="13"/>
      <c r="BM377" s="20"/>
      <c r="BN377" s="21"/>
      <c r="BO377" s="13"/>
    </row>
    <row r="378">
      <c r="I378" s="24"/>
      <c r="J378" s="25"/>
      <c r="K378" s="13"/>
      <c r="BK378" s="26"/>
      <c r="BL378" s="13"/>
      <c r="BM378" s="20"/>
      <c r="BN378" s="21"/>
      <c r="BO378" s="13"/>
    </row>
    <row r="379">
      <c r="I379" s="24"/>
      <c r="J379" s="25"/>
      <c r="K379" s="13"/>
      <c r="BK379" s="26"/>
      <c r="BL379" s="13"/>
      <c r="BM379" s="20"/>
      <c r="BN379" s="21"/>
      <c r="BO379" s="13"/>
    </row>
    <row r="380">
      <c r="I380" s="24"/>
      <c r="J380" s="25"/>
      <c r="K380" s="13"/>
      <c r="BK380" s="26"/>
      <c r="BL380" s="13"/>
      <c r="BM380" s="20"/>
      <c r="BN380" s="21"/>
      <c r="BO380" s="13"/>
    </row>
    <row r="381">
      <c r="I381" s="24"/>
      <c r="J381" s="25"/>
      <c r="K381" s="13"/>
      <c r="BK381" s="26"/>
      <c r="BL381" s="13"/>
      <c r="BM381" s="20"/>
      <c r="BN381" s="21"/>
      <c r="BO381" s="13"/>
    </row>
    <row r="382">
      <c r="I382" s="24"/>
      <c r="J382" s="25"/>
      <c r="K382" s="13"/>
      <c r="BK382" s="26"/>
      <c r="BL382" s="13"/>
      <c r="BM382" s="20"/>
      <c r="BN382" s="21"/>
      <c r="BO382" s="13"/>
    </row>
    <row r="383">
      <c r="I383" s="24"/>
      <c r="J383" s="25"/>
      <c r="K383" s="13"/>
      <c r="BK383" s="26"/>
      <c r="BL383" s="13"/>
      <c r="BM383" s="20"/>
      <c r="BN383" s="21"/>
      <c r="BO383" s="13"/>
    </row>
    <row r="384">
      <c r="I384" s="24"/>
      <c r="J384" s="25"/>
      <c r="K384" s="13"/>
      <c r="BK384" s="26"/>
      <c r="BL384" s="13"/>
      <c r="BM384" s="20"/>
      <c r="BN384" s="21"/>
      <c r="BO384" s="13"/>
    </row>
    <row r="385">
      <c r="I385" s="24"/>
      <c r="J385" s="25"/>
      <c r="K385" s="13"/>
      <c r="BK385" s="26"/>
      <c r="BL385" s="13"/>
      <c r="BM385" s="20"/>
      <c r="BN385" s="21"/>
      <c r="BO385" s="13"/>
    </row>
    <row r="386">
      <c r="I386" s="24"/>
      <c r="J386" s="25"/>
      <c r="K386" s="13"/>
      <c r="BK386" s="26"/>
      <c r="BL386" s="13"/>
      <c r="BM386" s="20"/>
      <c r="BN386" s="21"/>
      <c r="BO386" s="13"/>
    </row>
    <row r="387">
      <c r="I387" s="24"/>
      <c r="J387" s="25"/>
      <c r="K387" s="13"/>
      <c r="BK387" s="26"/>
      <c r="BL387" s="13"/>
      <c r="BM387" s="20"/>
      <c r="BN387" s="21"/>
      <c r="BO387" s="13"/>
    </row>
    <row r="388">
      <c r="I388" s="24"/>
      <c r="J388" s="25"/>
      <c r="K388" s="13"/>
      <c r="BK388" s="26"/>
      <c r="BL388" s="13"/>
      <c r="BM388" s="20"/>
      <c r="BN388" s="21"/>
      <c r="BO388" s="13"/>
    </row>
    <row r="389">
      <c r="I389" s="24"/>
      <c r="J389" s="25"/>
      <c r="K389" s="13"/>
      <c r="BK389" s="26"/>
      <c r="BL389" s="13"/>
      <c r="BM389" s="20"/>
      <c r="BN389" s="21"/>
      <c r="BO389" s="13"/>
    </row>
    <row r="390">
      <c r="I390" s="24"/>
      <c r="J390" s="25"/>
      <c r="K390" s="13"/>
      <c r="BK390" s="26"/>
      <c r="BL390" s="13"/>
      <c r="BM390" s="20"/>
      <c r="BN390" s="21"/>
      <c r="BO390" s="13"/>
    </row>
    <row r="391">
      <c r="I391" s="24"/>
      <c r="J391" s="25"/>
      <c r="K391" s="13"/>
      <c r="BK391" s="26"/>
      <c r="BL391" s="13"/>
      <c r="BM391" s="20"/>
      <c r="BN391" s="21"/>
      <c r="BO391" s="13"/>
    </row>
    <row r="392">
      <c r="I392" s="24"/>
      <c r="J392" s="25"/>
      <c r="K392" s="13"/>
      <c r="BK392" s="26"/>
      <c r="BL392" s="13"/>
      <c r="BM392" s="20"/>
      <c r="BN392" s="21"/>
      <c r="BO392" s="13"/>
    </row>
    <row r="393">
      <c r="I393" s="24"/>
      <c r="J393" s="25"/>
      <c r="K393" s="13"/>
      <c r="BK393" s="26"/>
      <c r="BL393" s="13"/>
      <c r="BM393" s="20"/>
      <c r="BN393" s="21"/>
      <c r="BO393" s="13"/>
    </row>
    <row r="394">
      <c r="I394" s="24"/>
      <c r="J394" s="25"/>
      <c r="K394" s="13"/>
      <c r="BK394" s="26"/>
      <c r="BL394" s="13"/>
      <c r="BM394" s="20"/>
      <c r="BN394" s="21"/>
      <c r="BO394" s="13"/>
    </row>
    <row r="395">
      <c r="I395" s="24"/>
      <c r="J395" s="25"/>
      <c r="K395" s="13"/>
      <c r="BK395" s="26"/>
      <c r="BL395" s="13"/>
      <c r="BM395" s="20"/>
      <c r="BN395" s="21"/>
      <c r="BO395" s="13"/>
    </row>
    <row r="396">
      <c r="I396" s="24"/>
      <c r="J396" s="25"/>
      <c r="K396" s="13"/>
      <c r="BK396" s="26"/>
      <c r="BL396" s="13"/>
      <c r="BM396" s="20"/>
      <c r="BN396" s="21"/>
      <c r="BO396" s="13"/>
    </row>
    <row r="397">
      <c r="I397" s="24"/>
      <c r="J397" s="25"/>
      <c r="K397" s="13"/>
      <c r="BK397" s="26"/>
      <c r="BL397" s="13"/>
      <c r="BM397" s="20"/>
      <c r="BN397" s="21"/>
      <c r="BO397" s="13"/>
    </row>
    <row r="398">
      <c r="I398" s="24"/>
      <c r="J398" s="25"/>
      <c r="K398" s="13"/>
      <c r="BK398" s="26"/>
      <c r="BL398" s="13"/>
      <c r="BM398" s="20"/>
      <c r="BN398" s="21"/>
      <c r="BO398" s="13"/>
    </row>
    <row r="399">
      <c r="I399" s="24"/>
      <c r="J399" s="25"/>
      <c r="K399" s="13"/>
      <c r="BK399" s="26"/>
      <c r="BL399" s="13"/>
      <c r="BM399" s="20"/>
      <c r="BN399" s="21"/>
      <c r="BO399" s="13"/>
    </row>
    <row r="400">
      <c r="I400" s="24"/>
      <c r="J400" s="25"/>
      <c r="K400" s="13"/>
      <c r="BK400" s="26"/>
      <c r="BL400" s="13"/>
      <c r="BM400" s="20"/>
      <c r="BN400" s="21"/>
      <c r="BO400" s="13"/>
    </row>
    <row r="401">
      <c r="I401" s="24"/>
      <c r="J401" s="25"/>
      <c r="K401" s="13"/>
      <c r="BK401" s="26"/>
      <c r="BL401" s="13"/>
      <c r="BM401" s="20"/>
      <c r="BN401" s="21"/>
      <c r="BO401" s="13"/>
    </row>
    <row r="402">
      <c r="I402" s="24"/>
      <c r="J402" s="25"/>
      <c r="K402" s="13"/>
      <c r="BK402" s="26"/>
      <c r="BL402" s="13"/>
      <c r="BM402" s="20"/>
      <c r="BN402" s="21"/>
      <c r="BO402" s="13"/>
    </row>
    <row r="403">
      <c r="I403" s="24"/>
      <c r="J403" s="25"/>
      <c r="K403" s="13"/>
      <c r="BK403" s="26"/>
      <c r="BL403" s="13"/>
      <c r="BM403" s="20"/>
      <c r="BN403" s="21"/>
      <c r="BO403" s="13"/>
    </row>
    <row r="404">
      <c r="I404" s="24"/>
      <c r="J404" s="25"/>
      <c r="K404" s="13"/>
      <c r="BK404" s="26"/>
      <c r="BL404" s="13"/>
      <c r="BM404" s="20"/>
      <c r="BN404" s="21"/>
      <c r="BO404" s="13"/>
    </row>
    <row r="405">
      <c r="I405" s="24"/>
      <c r="J405" s="25"/>
      <c r="K405" s="13"/>
      <c r="BK405" s="26"/>
      <c r="BL405" s="13"/>
      <c r="BM405" s="20"/>
      <c r="BN405" s="21"/>
      <c r="BO405" s="13"/>
    </row>
    <row r="406">
      <c r="I406" s="24"/>
      <c r="J406" s="25"/>
      <c r="K406" s="13"/>
      <c r="BK406" s="26"/>
      <c r="BL406" s="13"/>
      <c r="BM406" s="20"/>
      <c r="BN406" s="21"/>
      <c r="BO406" s="13"/>
    </row>
    <row r="407">
      <c r="I407" s="24"/>
      <c r="J407" s="25"/>
      <c r="K407" s="13"/>
      <c r="BK407" s="26"/>
      <c r="BL407" s="13"/>
      <c r="BM407" s="20"/>
      <c r="BN407" s="21"/>
      <c r="BO407" s="13"/>
    </row>
    <row r="408">
      <c r="I408" s="24"/>
      <c r="J408" s="25"/>
      <c r="K408" s="13"/>
      <c r="BK408" s="26"/>
      <c r="BL408" s="13"/>
      <c r="BM408" s="20"/>
      <c r="BN408" s="21"/>
      <c r="BO408" s="13"/>
    </row>
    <row r="409">
      <c r="I409" s="24"/>
      <c r="J409" s="25"/>
      <c r="K409" s="13"/>
      <c r="BK409" s="26"/>
      <c r="BL409" s="13"/>
      <c r="BM409" s="20"/>
      <c r="BN409" s="21"/>
      <c r="BO409" s="13"/>
    </row>
    <row r="410">
      <c r="I410" s="24"/>
      <c r="J410" s="25"/>
      <c r="K410" s="13"/>
      <c r="BK410" s="26"/>
      <c r="BL410" s="13"/>
      <c r="BM410" s="20"/>
      <c r="BN410" s="21"/>
      <c r="BO410" s="13"/>
    </row>
    <row r="411">
      <c r="I411" s="24"/>
      <c r="J411" s="25"/>
      <c r="K411" s="13"/>
      <c r="BK411" s="26"/>
      <c r="BL411" s="13"/>
      <c r="BM411" s="20"/>
      <c r="BN411" s="21"/>
      <c r="BO411" s="13"/>
    </row>
    <row r="412">
      <c r="I412" s="24"/>
      <c r="J412" s="25"/>
      <c r="K412" s="13"/>
      <c r="BK412" s="26"/>
      <c r="BL412" s="13"/>
      <c r="BM412" s="20"/>
      <c r="BN412" s="21"/>
      <c r="BO412" s="13"/>
    </row>
    <row r="413">
      <c r="I413" s="24"/>
      <c r="J413" s="25"/>
      <c r="K413" s="13"/>
      <c r="BK413" s="26"/>
      <c r="BL413" s="13"/>
      <c r="BM413" s="20"/>
      <c r="BN413" s="21"/>
      <c r="BO413" s="13"/>
    </row>
    <row r="414">
      <c r="I414" s="24"/>
      <c r="J414" s="25"/>
      <c r="K414" s="13"/>
      <c r="BK414" s="26"/>
      <c r="BL414" s="13"/>
      <c r="BM414" s="20"/>
      <c r="BN414" s="21"/>
      <c r="BO414" s="13"/>
    </row>
    <row r="415">
      <c r="I415" s="24"/>
      <c r="J415" s="25"/>
      <c r="K415" s="13"/>
      <c r="BK415" s="26"/>
      <c r="BL415" s="13"/>
      <c r="BM415" s="20"/>
      <c r="BN415" s="21"/>
      <c r="BO415" s="13"/>
    </row>
    <row r="416">
      <c r="I416" s="24"/>
      <c r="J416" s="25"/>
      <c r="K416" s="13"/>
      <c r="BK416" s="26"/>
      <c r="BL416" s="13"/>
      <c r="BM416" s="20"/>
      <c r="BN416" s="21"/>
      <c r="BO416" s="13"/>
    </row>
    <row r="417">
      <c r="I417" s="24"/>
      <c r="J417" s="25"/>
      <c r="K417" s="13"/>
      <c r="BK417" s="26"/>
      <c r="BL417" s="13"/>
      <c r="BM417" s="20"/>
      <c r="BN417" s="21"/>
      <c r="BO417" s="13"/>
    </row>
    <row r="418">
      <c r="I418" s="24"/>
      <c r="J418" s="25"/>
      <c r="K418" s="13"/>
      <c r="BK418" s="26"/>
      <c r="BL418" s="13"/>
      <c r="BM418" s="20"/>
      <c r="BN418" s="21"/>
      <c r="BO418" s="13"/>
    </row>
    <row r="419">
      <c r="I419" s="24"/>
      <c r="J419" s="25"/>
      <c r="K419" s="13"/>
      <c r="BK419" s="26"/>
      <c r="BL419" s="13"/>
      <c r="BM419" s="20"/>
      <c r="BN419" s="21"/>
      <c r="BO419" s="13"/>
    </row>
    <row r="420">
      <c r="I420" s="24"/>
      <c r="J420" s="25"/>
      <c r="K420" s="13"/>
      <c r="BK420" s="26"/>
      <c r="BL420" s="13"/>
      <c r="BM420" s="20"/>
      <c r="BN420" s="21"/>
      <c r="BO420" s="13"/>
    </row>
    <row r="421">
      <c r="I421" s="24"/>
      <c r="J421" s="25"/>
      <c r="K421" s="13"/>
      <c r="BK421" s="26"/>
      <c r="BL421" s="13"/>
      <c r="BM421" s="20"/>
      <c r="BN421" s="21"/>
      <c r="BO421" s="13"/>
    </row>
    <row r="422">
      <c r="I422" s="24"/>
      <c r="J422" s="25"/>
      <c r="K422" s="13"/>
      <c r="BK422" s="26"/>
      <c r="BL422" s="13"/>
      <c r="BM422" s="20"/>
      <c r="BN422" s="21"/>
      <c r="BO422" s="13"/>
    </row>
    <row r="423">
      <c r="I423" s="24"/>
      <c r="J423" s="25"/>
      <c r="K423" s="13"/>
      <c r="BK423" s="26"/>
      <c r="BL423" s="13"/>
      <c r="BM423" s="20"/>
      <c r="BN423" s="21"/>
      <c r="BO423" s="13"/>
    </row>
    <row r="424">
      <c r="I424" s="24"/>
      <c r="J424" s="25"/>
      <c r="K424" s="13"/>
      <c r="BK424" s="26"/>
      <c r="BL424" s="13"/>
      <c r="BM424" s="20"/>
      <c r="BN424" s="21"/>
      <c r="BO424" s="13"/>
    </row>
    <row r="425">
      <c r="I425" s="24"/>
      <c r="J425" s="25"/>
      <c r="K425" s="13"/>
      <c r="BK425" s="26"/>
      <c r="BL425" s="13"/>
      <c r="BM425" s="20"/>
      <c r="BN425" s="21"/>
      <c r="BO425" s="13"/>
    </row>
    <row r="426">
      <c r="I426" s="24"/>
      <c r="J426" s="25"/>
      <c r="K426" s="13"/>
      <c r="BK426" s="26"/>
      <c r="BL426" s="13"/>
      <c r="BM426" s="20"/>
      <c r="BN426" s="21"/>
      <c r="BO426" s="13"/>
    </row>
    <row r="427">
      <c r="I427" s="24"/>
      <c r="J427" s="25"/>
      <c r="K427" s="13"/>
      <c r="BK427" s="26"/>
      <c r="BL427" s="13"/>
      <c r="BM427" s="20"/>
      <c r="BN427" s="21"/>
      <c r="BO427" s="13"/>
    </row>
    <row r="428">
      <c r="I428" s="24"/>
      <c r="J428" s="25"/>
      <c r="K428" s="13"/>
      <c r="BK428" s="26"/>
      <c r="BL428" s="13"/>
      <c r="BM428" s="20"/>
      <c r="BN428" s="21"/>
      <c r="BO428" s="13"/>
    </row>
    <row r="429">
      <c r="I429" s="24"/>
      <c r="J429" s="25"/>
      <c r="K429" s="13"/>
      <c r="BK429" s="26"/>
      <c r="BL429" s="13"/>
      <c r="BM429" s="20"/>
      <c r="BN429" s="21"/>
      <c r="BO429" s="13"/>
    </row>
    <row r="430">
      <c r="I430" s="24"/>
      <c r="J430" s="25"/>
      <c r="K430" s="13"/>
      <c r="BK430" s="26"/>
      <c r="BL430" s="13"/>
      <c r="BM430" s="20"/>
      <c r="BN430" s="21"/>
      <c r="BO430" s="13"/>
    </row>
    <row r="431">
      <c r="I431" s="24"/>
      <c r="J431" s="25"/>
      <c r="K431" s="13"/>
      <c r="BK431" s="26"/>
      <c r="BL431" s="13"/>
      <c r="BM431" s="20"/>
      <c r="BN431" s="21"/>
      <c r="BO431" s="13"/>
    </row>
    <row r="432">
      <c r="I432" s="24"/>
      <c r="J432" s="25"/>
      <c r="K432" s="13"/>
      <c r="BK432" s="26"/>
      <c r="BL432" s="13"/>
      <c r="BM432" s="20"/>
      <c r="BN432" s="21"/>
      <c r="BO432" s="13"/>
    </row>
    <row r="433">
      <c r="I433" s="24"/>
      <c r="J433" s="25"/>
      <c r="K433" s="13"/>
      <c r="BK433" s="26"/>
      <c r="BL433" s="13"/>
      <c r="BM433" s="20"/>
      <c r="BN433" s="21"/>
      <c r="BO433" s="13"/>
    </row>
    <row r="434">
      <c r="I434" s="24"/>
      <c r="J434" s="25"/>
      <c r="K434" s="13"/>
      <c r="BK434" s="26"/>
      <c r="BL434" s="13"/>
      <c r="BM434" s="20"/>
      <c r="BN434" s="21"/>
      <c r="BO434" s="13"/>
    </row>
    <row r="435">
      <c r="I435" s="24"/>
      <c r="J435" s="25"/>
      <c r="K435" s="13"/>
      <c r="BK435" s="26"/>
      <c r="BL435" s="13"/>
      <c r="BM435" s="20"/>
      <c r="BN435" s="21"/>
      <c r="BO435" s="13"/>
    </row>
    <row r="436">
      <c r="I436" s="24"/>
      <c r="J436" s="25"/>
      <c r="K436" s="13"/>
      <c r="BK436" s="26"/>
      <c r="BL436" s="13"/>
      <c r="BM436" s="20"/>
      <c r="BN436" s="21"/>
      <c r="BO436" s="13"/>
    </row>
    <row r="437">
      <c r="I437" s="24"/>
      <c r="J437" s="25"/>
      <c r="K437" s="13"/>
      <c r="BK437" s="26"/>
      <c r="BL437" s="13"/>
      <c r="BM437" s="20"/>
      <c r="BN437" s="21"/>
      <c r="BO437" s="13"/>
    </row>
    <row r="438">
      <c r="I438" s="24"/>
      <c r="J438" s="25"/>
      <c r="K438" s="13"/>
      <c r="BK438" s="26"/>
      <c r="BL438" s="13"/>
      <c r="BM438" s="20"/>
      <c r="BN438" s="21"/>
      <c r="BO438" s="13"/>
    </row>
    <row r="439">
      <c r="I439" s="24"/>
      <c r="J439" s="25"/>
      <c r="K439" s="13"/>
      <c r="BK439" s="26"/>
      <c r="BL439" s="13"/>
      <c r="BM439" s="20"/>
      <c r="BN439" s="21"/>
      <c r="BO439" s="13"/>
    </row>
    <row r="440">
      <c r="I440" s="24"/>
      <c r="J440" s="25"/>
      <c r="K440" s="13"/>
      <c r="BK440" s="26"/>
      <c r="BL440" s="13"/>
      <c r="BM440" s="20"/>
      <c r="BN440" s="21"/>
      <c r="BO440" s="13"/>
    </row>
    <row r="441">
      <c r="I441" s="24"/>
      <c r="J441" s="25"/>
      <c r="K441" s="13"/>
      <c r="BK441" s="26"/>
      <c r="BL441" s="13"/>
      <c r="BM441" s="20"/>
      <c r="BN441" s="21"/>
      <c r="BO441" s="13"/>
    </row>
    <row r="442">
      <c r="I442" s="24"/>
      <c r="J442" s="25"/>
      <c r="K442" s="13"/>
      <c r="BK442" s="26"/>
      <c r="BL442" s="13"/>
      <c r="BM442" s="20"/>
      <c r="BN442" s="21"/>
      <c r="BO442" s="13"/>
    </row>
    <row r="443">
      <c r="I443" s="24"/>
      <c r="J443" s="25"/>
      <c r="K443" s="13"/>
      <c r="BK443" s="26"/>
      <c r="BL443" s="13"/>
      <c r="BM443" s="20"/>
      <c r="BN443" s="21"/>
      <c r="BO443" s="13"/>
    </row>
    <row r="444">
      <c r="I444" s="24"/>
      <c r="J444" s="25"/>
      <c r="K444" s="13"/>
      <c r="BK444" s="26"/>
      <c r="BL444" s="13"/>
      <c r="BM444" s="20"/>
      <c r="BN444" s="21"/>
      <c r="BO444" s="13"/>
    </row>
    <row r="445">
      <c r="I445" s="24"/>
      <c r="J445" s="25"/>
      <c r="K445" s="13"/>
      <c r="BK445" s="26"/>
      <c r="BL445" s="13"/>
      <c r="BM445" s="20"/>
      <c r="BN445" s="21"/>
      <c r="BO445" s="13"/>
    </row>
    <row r="446">
      <c r="I446" s="24"/>
      <c r="J446" s="25"/>
      <c r="K446" s="13"/>
      <c r="BK446" s="26"/>
      <c r="BL446" s="13"/>
      <c r="BM446" s="20"/>
      <c r="BN446" s="21"/>
      <c r="BO446" s="13"/>
    </row>
    <row r="447">
      <c r="I447" s="24"/>
      <c r="J447" s="25"/>
      <c r="K447" s="13"/>
      <c r="BK447" s="26"/>
      <c r="BL447" s="13"/>
      <c r="BM447" s="20"/>
      <c r="BN447" s="21"/>
      <c r="BO447" s="13"/>
    </row>
    <row r="448">
      <c r="I448" s="24"/>
      <c r="J448" s="25"/>
      <c r="K448" s="13"/>
      <c r="BK448" s="26"/>
      <c r="BL448" s="13"/>
      <c r="BM448" s="20"/>
      <c r="BN448" s="21"/>
      <c r="BO448" s="13"/>
    </row>
    <row r="449">
      <c r="I449" s="24"/>
      <c r="J449" s="25"/>
      <c r="K449" s="13"/>
      <c r="BK449" s="26"/>
      <c r="BL449" s="13"/>
      <c r="BM449" s="20"/>
      <c r="BN449" s="21"/>
      <c r="BO449" s="13"/>
    </row>
    <row r="450">
      <c r="I450" s="24"/>
      <c r="J450" s="25"/>
      <c r="K450" s="13"/>
      <c r="BK450" s="26"/>
      <c r="BL450" s="13"/>
      <c r="BM450" s="20"/>
      <c r="BN450" s="21"/>
      <c r="BO450" s="13"/>
    </row>
    <row r="451">
      <c r="I451" s="24"/>
      <c r="J451" s="25"/>
      <c r="K451" s="13"/>
      <c r="BK451" s="26"/>
      <c r="BL451" s="13"/>
      <c r="BM451" s="20"/>
      <c r="BN451" s="21"/>
      <c r="BO451" s="13"/>
    </row>
    <row r="452">
      <c r="I452" s="24"/>
      <c r="J452" s="25"/>
      <c r="K452" s="13"/>
      <c r="BK452" s="26"/>
      <c r="BL452" s="13"/>
      <c r="BM452" s="20"/>
      <c r="BN452" s="21"/>
      <c r="BO452" s="13"/>
    </row>
    <row r="453">
      <c r="I453" s="24"/>
      <c r="J453" s="25"/>
      <c r="K453" s="13"/>
      <c r="BK453" s="26"/>
      <c r="BL453" s="13"/>
      <c r="BM453" s="20"/>
      <c r="BN453" s="21"/>
      <c r="BO453" s="13"/>
    </row>
    <row r="454">
      <c r="I454" s="24"/>
      <c r="J454" s="25"/>
      <c r="K454" s="13"/>
      <c r="BK454" s="26"/>
      <c r="BL454" s="13"/>
      <c r="BM454" s="20"/>
      <c r="BN454" s="21"/>
      <c r="BO454" s="13"/>
    </row>
    <row r="455">
      <c r="I455" s="24"/>
      <c r="J455" s="25"/>
      <c r="K455" s="13"/>
      <c r="BK455" s="26"/>
      <c r="BL455" s="13"/>
      <c r="BM455" s="20"/>
      <c r="BN455" s="21"/>
      <c r="BO455" s="13"/>
    </row>
    <row r="456">
      <c r="I456" s="24"/>
      <c r="J456" s="25"/>
      <c r="K456" s="13"/>
      <c r="BK456" s="26"/>
      <c r="BL456" s="13"/>
      <c r="BM456" s="20"/>
      <c r="BN456" s="21"/>
      <c r="BO456" s="13"/>
    </row>
    <row r="457">
      <c r="I457" s="24"/>
      <c r="J457" s="25"/>
      <c r="K457" s="13"/>
      <c r="BK457" s="26"/>
      <c r="BL457" s="13"/>
      <c r="BM457" s="20"/>
      <c r="BN457" s="21"/>
      <c r="BO457" s="13"/>
    </row>
    <row r="458">
      <c r="I458" s="24"/>
      <c r="J458" s="25"/>
      <c r="K458" s="13"/>
      <c r="BK458" s="26"/>
      <c r="BL458" s="13"/>
      <c r="BM458" s="20"/>
      <c r="BN458" s="21"/>
      <c r="BO458" s="13"/>
    </row>
    <row r="459">
      <c r="I459" s="24"/>
      <c r="J459" s="25"/>
      <c r="K459" s="13"/>
      <c r="BK459" s="26"/>
      <c r="BL459" s="13"/>
      <c r="BM459" s="20"/>
      <c r="BN459" s="21"/>
      <c r="BO459" s="13"/>
    </row>
    <row r="460">
      <c r="I460" s="24"/>
      <c r="J460" s="25"/>
      <c r="K460" s="13"/>
      <c r="BK460" s="26"/>
      <c r="BL460" s="13"/>
      <c r="BM460" s="20"/>
      <c r="BN460" s="21"/>
      <c r="BO460" s="13"/>
    </row>
    <row r="461">
      <c r="I461" s="24"/>
      <c r="J461" s="25"/>
      <c r="K461" s="13"/>
      <c r="BK461" s="26"/>
      <c r="BL461" s="13"/>
      <c r="BM461" s="20"/>
      <c r="BN461" s="21"/>
      <c r="BO461" s="13"/>
    </row>
    <row r="462">
      <c r="I462" s="24"/>
      <c r="J462" s="25"/>
      <c r="K462" s="13"/>
      <c r="BK462" s="26"/>
      <c r="BL462" s="13"/>
      <c r="BM462" s="20"/>
      <c r="BN462" s="21"/>
      <c r="BO462" s="13"/>
    </row>
    <row r="463">
      <c r="I463" s="24"/>
      <c r="J463" s="25"/>
      <c r="K463" s="13"/>
      <c r="BK463" s="26"/>
      <c r="BL463" s="13"/>
      <c r="BM463" s="20"/>
      <c r="BN463" s="21"/>
      <c r="BO463" s="13"/>
    </row>
    <row r="464">
      <c r="I464" s="24"/>
      <c r="J464" s="25"/>
      <c r="K464" s="13"/>
      <c r="BK464" s="26"/>
      <c r="BL464" s="13"/>
      <c r="BM464" s="20"/>
      <c r="BN464" s="21"/>
      <c r="BO464" s="13"/>
    </row>
    <row r="465">
      <c r="I465" s="24"/>
      <c r="J465" s="25"/>
      <c r="K465" s="13"/>
      <c r="BK465" s="26"/>
      <c r="BL465" s="13"/>
      <c r="BM465" s="20"/>
      <c r="BN465" s="21"/>
      <c r="BO465" s="13"/>
    </row>
    <row r="466">
      <c r="I466" s="24"/>
      <c r="J466" s="25"/>
      <c r="K466" s="13"/>
      <c r="BK466" s="26"/>
      <c r="BL466" s="13"/>
      <c r="BM466" s="20"/>
      <c r="BN466" s="21"/>
      <c r="BO466" s="13"/>
    </row>
    <row r="467">
      <c r="I467" s="24"/>
      <c r="J467" s="25"/>
      <c r="K467" s="13"/>
      <c r="BK467" s="26"/>
      <c r="BL467" s="13"/>
      <c r="BM467" s="20"/>
      <c r="BN467" s="21"/>
      <c r="BO467" s="13"/>
    </row>
    <row r="468">
      <c r="I468" s="24"/>
      <c r="J468" s="25"/>
      <c r="K468" s="13"/>
      <c r="BK468" s="26"/>
      <c r="BL468" s="13"/>
      <c r="BM468" s="20"/>
      <c r="BN468" s="21"/>
      <c r="BO468" s="13"/>
    </row>
    <row r="469">
      <c r="I469" s="24"/>
      <c r="J469" s="25"/>
      <c r="K469" s="13"/>
      <c r="BK469" s="26"/>
      <c r="BL469" s="13"/>
      <c r="BM469" s="20"/>
      <c r="BN469" s="21"/>
      <c r="BO469" s="13"/>
    </row>
    <row r="470">
      <c r="I470" s="24"/>
      <c r="J470" s="25"/>
      <c r="K470" s="13"/>
      <c r="BK470" s="26"/>
      <c r="BL470" s="13"/>
      <c r="BM470" s="20"/>
      <c r="BN470" s="21"/>
      <c r="BO470" s="13"/>
    </row>
    <row r="471">
      <c r="I471" s="24"/>
      <c r="J471" s="25"/>
      <c r="K471" s="13"/>
      <c r="BK471" s="26"/>
      <c r="BL471" s="13"/>
      <c r="BM471" s="20"/>
      <c r="BN471" s="21"/>
      <c r="BO471" s="13"/>
    </row>
    <row r="472">
      <c r="I472" s="24"/>
      <c r="J472" s="25"/>
      <c r="K472" s="13"/>
      <c r="BK472" s="26"/>
      <c r="BL472" s="13"/>
      <c r="BM472" s="20"/>
      <c r="BN472" s="21"/>
      <c r="BO472" s="13"/>
    </row>
    <row r="473">
      <c r="I473" s="24"/>
      <c r="J473" s="25"/>
      <c r="K473" s="13"/>
      <c r="BK473" s="26"/>
      <c r="BL473" s="13"/>
      <c r="BM473" s="20"/>
      <c r="BN473" s="21"/>
      <c r="BO473" s="13"/>
    </row>
    <row r="474">
      <c r="I474" s="24"/>
      <c r="J474" s="25"/>
      <c r="K474" s="13"/>
      <c r="BK474" s="26"/>
      <c r="BL474" s="13"/>
      <c r="BM474" s="20"/>
      <c r="BN474" s="21"/>
      <c r="BO474" s="13"/>
    </row>
    <row r="475">
      <c r="I475" s="24"/>
      <c r="J475" s="25"/>
      <c r="K475" s="13"/>
      <c r="BK475" s="26"/>
      <c r="BL475" s="13"/>
      <c r="BM475" s="20"/>
      <c r="BN475" s="21"/>
      <c r="BO475" s="13"/>
    </row>
    <row r="476">
      <c r="I476" s="24"/>
      <c r="J476" s="25"/>
      <c r="K476" s="13"/>
      <c r="BK476" s="26"/>
      <c r="BL476" s="13"/>
      <c r="BM476" s="20"/>
      <c r="BN476" s="21"/>
      <c r="BO476" s="13"/>
    </row>
    <row r="477">
      <c r="I477" s="24"/>
      <c r="J477" s="25"/>
      <c r="K477" s="13"/>
      <c r="BK477" s="26"/>
      <c r="BL477" s="13"/>
      <c r="BM477" s="20"/>
      <c r="BN477" s="21"/>
      <c r="BO477" s="13"/>
    </row>
    <row r="478">
      <c r="I478" s="24"/>
      <c r="J478" s="25"/>
      <c r="K478" s="13"/>
      <c r="BK478" s="26"/>
      <c r="BL478" s="13"/>
      <c r="BM478" s="20"/>
      <c r="BN478" s="21"/>
      <c r="BO478" s="13"/>
    </row>
    <row r="479">
      <c r="I479" s="24"/>
      <c r="J479" s="25"/>
      <c r="K479" s="13"/>
      <c r="BK479" s="26"/>
      <c r="BL479" s="13"/>
      <c r="BM479" s="20"/>
      <c r="BN479" s="21"/>
      <c r="BO479" s="13"/>
    </row>
    <row r="480">
      <c r="I480" s="24"/>
      <c r="J480" s="25"/>
      <c r="K480" s="13"/>
      <c r="BK480" s="26"/>
      <c r="BL480" s="13"/>
      <c r="BM480" s="20"/>
      <c r="BN480" s="21"/>
      <c r="BO480" s="13"/>
    </row>
    <row r="481">
      <c r="I481" s="24"/>
      <c r="J481" s="25"/>
      <c r="K481" s="13"/>
      <c r="BK481" s="26"/>
      <c r="BL481" s="13"/>
      <c r="BM481" s="20"/>
      <c r="BN481" s="21"/>
      <c r="BO481" s="13"/>
    </row>
    <row r="482">
      <c r="I482" s="24"/>
      <c r="J482" s="25"/>
      <c r="K482" s="13"/>
      <c r="BK482" s="26"/>
      <c r="BL482" s="13"/>
      <c r="BM482" s="20"/>
      <c r="BN482" s="21"/>
      <c r="BO482" s="13"/>
    </row>
    <row r="483">
      <c r="I483" s="24"/>
      <c r="J483" s="25"/>
      <c r="K483" s="13"/>
      <c r="BK483" s="26"/>
      <c r="BL483" s="13"/>
      <c r="BM483" s="20"/>
      <c r="BN483" s="21"/>
      <c r="BO483" s="13"/>
    </row>
    <row r="484">
      <c r="I484" s="24"/>
      <c r="J484" s="25"/>
      <c r="K484" s="13"/>
      <c r="BK484" s="26"/>
      <c r="BL484" s="13"/>
      <c r="BM484" s="20"/>
      <c r="BN484" s="21"/>
      <c r="BO484" s="13"/>
    </row>
    <row r="485">
      <c r="I485" s="24"/>
      <c r="J485" s="25"/>
      <c r="K485" s="13"/>
      <c r="BK485" s="26"/>
      <c r="BL485" s="13"/>
      <c r="BM485" s="20"/>
      <c r="BN485" s="21"/>
      <c r="BO485" s="13"/>
    </row>
    <row r="486">
      <c r="I486" s="24"/>
      <c r="J486" s="25"/>
      <c r="K486" s="13"/>
      <c r="BK486" s="26"/>
      <c r="BL486" s="13"/>
      <c r="BM486" s="20"/>
      <c r="BN486" s="21"/>
      <c r="BO486" s="13"/>
    </row>
    <row r="487">
      <c r="I487" s="24"/>
      <c r="J487" s="25"/>
      <c r="K487" s="13"/>
      <c r="BK487" s="26"/>
      <c r="BL487" s="13"/>
      <c r="BM487" s="20"/>
      <c r="BN487" s="21"/>
      <c r="BO487" s="13"/>
    </row>
    <row r="488">
      <c r="I488" s="24"/>
      <c r="J488" s="25"/>
      <c r="K488" s="13"/>
      <c r="BK488" s="26"/>
      <c r="BL488" s="13"/>
      <c r="BM488" s="20"/>
      <c r="BN488" s="21"/>
      <c r="BO488" s="13"/>
    </row>
    <row r="489">
      <c r="I489" s="24"/>
      <c r="J489" s="25"/>
      <c r="K489" s="13"/>
      <c r="BK489" s="26"/>
      <c r="BL489" s="13"/>
      <c r="BM489" s="20"/>
      <c r="BN489" s="21"/>
      <c r="BO489" s="13"/>
    </row>
    <row r="490">
      <c r="I490" s="24"/>
      <c r="J490" s="25"/>
      <c r="K490" s="13"/>
      <c r="BK490" s="26"/>
      <c r="BL490" s="13"/>
      <c r="BM490" s="20"/>
      <c r="BN490" s="21"/>
      <c r="BO490" s="13"/>
    </row>
    <row r="491">
      <c r="I491" s="24"/>
      <c r="J491" s="25"/>
      <c r="K491" s="13"/>
      <c r="BK491" s="26"/>
      <c r="BL491" s="13"/>
      <c r="BM491" s="20"/>
      <c r="BN491" s="21"/>
      <c r="BO491" s="13"/>
    </row>
    <row r="492">
      <c r="I492" s="24"/>
      <c r="J492" s="25"/>
      <c r="K492" s="13"/>
      <c r="BK492" s="26"/>
      <c r="BL492" s="13"/>
      <c r="BM492" s="20"/>
      <c r="BN492" s="21"/>
      <c r="BO492" s="13"/>
    </row>
    <row r="493">
      <c r="I493" s="24"/>
      <c r="J493" s="25"/>
      <c r="K493" s="13"/>
      <c r="BK493" s="26"/>
      <c r="BL493" s="13"/>
      <c r="BM493" s="20"/>
      <c r="BN493" s="21"/>
      <c r="BO493" s="13"/>
    </row>
    <row r="494">
      <c r="I494" s="24"/>
      <c r="J494" s="25"/>
      <c r="K494" s="13"/>
      <c r="BK494" s="26"/>
      <c r="BL494" s="13"/>
      <c r="BM494" s="20"/>
      <c r="BN494" s="21"/>
      <c r="BO494" s="13"/>
    </row>
    <row r="495">
      <c r="I495" s="24"/>
      <c r="J495" s="25"/>
      <c r="K495" s="13"/>
      <c r="BK495" s="26"/>
      <c r="BL495" s="13"/>
      <c r="BM495" s="20"/>
      <c r="BN495" s="21"/>
      <c r="BO495" s="13"/>
    </row>
    <row r="496">
      <c r="I496" s="24"/>
      <c r="J496" s="25"/>
      <c r="K496" s="13"/>
      <c r="BK496" s="26"/>
      <c r="BL496" s="13"/>
      <c r="BM496" s="20"/>
      <c r="BN496" s="21"/>
      <c r="BO496" s="13"/>
    </row>
    <row r="497">
      <c r="I497" s="24"/>
      <c r="J497" s="25"/>
      <c r="K497" s="13"/>
      <c r="BK497" s="26"/>
      <c r="BL497" s="13"/>
      <c r="BM497" s="20"/>
      <c r="BN497" s="21"/>
      <c r="BO497" s="13"/>
    </row>
    <row r="498">
      <c r="I498" s="24"/>
      <c r="J498" s="25"/>
      <c r="K498" s="13"/>
      <c r="BK498" s="26"/>
      <c r="BL498" s="13"/>
      <c r="BM498" s="20"/>
      <c r="BN498" s="21"/>
      <c r="BO498" s="13"/>
    </row>
    <row r="499">
      <c r="I499" s="24"/>
      <c r="J499" s="25"/>
      <c r="K499" s="13"/>
      <c r="BK499" s="26"/>
      <c r="BL499" s="13"/>
      <c r="BM499" s="20"/>
      <c r="BN499" s="21"/>
      <c r="BO499" s="13"/>
    </row>
    <row r="500">
      <c r="I500" s="24"/>
      <c r="J500" s="25"/>
      <c r="K500" s="13"/>
      <c r="BK500" s="26"/>
      <c r="BL500" s="13"/>
      <c r="BM500" s="20"/>
      <c r="BN500" s="21"/>
      <c r="BO500" s="13"/>
    </row>
    <row r="501">
      <c r="I501" s="24"/>
      <c r="J501" s="25"/>
      <c r="K501" s="13"/>
      <c r="BK501" s="26"/>
      <c r="BL501" s="13"/>
      <c r="BM501" s="20"/>
      <c r="BN501" s="21"/>
      <c r="BO501" s="13"/>
    </row>
    <row r="502">
      <c r="I502" s="24"/>
      <c r="J502" s="25"/>
      <c r="K502" s="13"/>
      <c r="BK502" s="26"/>
      <c r="BL502" s="13"/>
      <c r="BM502" s="20"/>
      <c r="BN502" s="21"/>
      <c r="BO502" s="13"/>
    </row>
    <row r="503">
      <c r="I503" s="24"/>
      <c r="J503" s="25"/>
      <c r="K503" s="13"/>
      <c r="BK503" s="26"/>
      <c r="BL503" s="13"/>
      <c r="BM503" s="20"/>
      <c r="BN503" s="21"/>
      <c r="BO503" s="13"/>
    </row>
    <row r="504">
      <c r="I504" s="24"/>
      <c r="J504" s="25"/>
      <c r="K504" s="13"/>
      <c r="BK504" s="26"/>
      <c r="BL504" s="13"/>
      <c r="BM504" s="20"/>
      <c r="BN504" s="21"/>
      <c r="BO504" s="13"/>
    </row>
    <row r="505">
      <c r="I505" s="24"/>
      <c r="J505" s="25"/>
      <c r="K505" s="13"/>
      <c r="BK505" s="26"/>
      <c r="BL505" s="13"/>
      <c r="BM505" s="20"/>
      <c r="BN505" s="21"/>
      <c r="BO505" s="13"/>
    </row>
    <row r="506">
      <c r="I506" s="24"/>
      <c r="J506" s="25"/>
      <c r="K506" s="13"/>
      <c r="BK506" s="26"/>
      <c r="BL506" s="13"/>
      <c r="BM506" s="20"/>
      <c r="BN506" s="21"/>
      <c r="BO506" s="13"/>
    </row>
    <row r="507">
      <c r="I507" s="24"/>
      <c r="J507" s="25"/>
      <c r="K507" s="13"/>
      <c r="BK507" s="26"/>
      <c r="BL507" s="13"/>
      <c r="BM507" s="20"/>
      <c r="BN507" s="21"/>
      <c r="BO507" s="13"/>
    </row>
    <row r="508">
      <c r="I508" s="24"/>
      <c r="J508" s="25"/>
      <c r="K508" s="13"/>
      <c r="BK508" s="26"/>
      <c r="BL508" s="13"/>
      <c r="BM508" s="20"/>
      <c r="BN508" s="21"/>
      <c r="BO508" s="13"/>
    </row>
    <row r="509">
      <c r="I509" s="24"/>
      <c r="J509" s="25"/>
      <c r="K509" s="13"/>
      <c r="BK509" s="26"/>
      <c r="BL509" s="13"/>
      <c r="BM509" s="20"/>
      <c r="BN509" s="21"/>
      <c r="BO509" s="13"/>
    </row>
    <row r="510">
      <c r="I510" s="24"/>
      <c r="J510" s="25"/>
      <c r="K510" s="13"/>
      <c r="BK510" s="26"/>
      <c r="BL510" s="13"/>
      <c r="BM510" s="20"/>
      <c r="BN510" s="21"/>
      <c r="BO510" s="13"/>
    </row>
    <row r="511">
      <c r="I511" s="24"/>
      <c r="J511" s="25"/>
      <c r="K511" s="13"/>
      <c r="BK511" s="26"/>
      <c r="BL511" s="13"/>
      <c r="BM511" s="20"/>
      <c r="BN511" s="21"/>
      <c r="BO511" s="13"/>
    </row>
    <row r="512">
      <c r="I512" s="24"/>
      <c r="J512" s="25"/>
      <c r="K512" s="13"/>
      <c r="BK512" s="26"/>
      <c r="BL512" s="13"/>
      <c r="BM512" s="20"/>
      <c r="BN512" s="21"/>
      <c r="BO512" s="13"/>
    </row>
    <row r="513">
      <c r="I513" s="24"/>
      <c r="J513" s="25"/>
      <c r="K513" s="13"/>
      <c r="BK513" s="26"/>
      <c r="BL513" s="13"/>
      <c r="BM513" s="20"/>
      <c r="BN513" s="21"/>
      <c r="BO513" s="13"/>
    </row>
    <row r="514">
      <c r="I514" s="24"/>
      <c r="J514" s="25"/>
      <c r="K514" s="13"/>
      <c r="BK514" s="26"/>
      <c r="BL514" s="13"/>
      <c r="BM514" s="20"/>
      <c r="BN514" s="21"/>
      <c r="BO514" s="13"/>
    </row>
    <row r="515">
      <c r="I515" s="24"/>
      <c r="J515" s="25"/>
      <c r="K515" s="13"/>
      <c r="BK515" s="26"/>
      <c r="BL515" s="13"/>
      <c r="BM515" s="20"/>
      <c r="BN515" s="21"/>
      <c r="BO515" s="13"/>
    </row>
    <row r="516">
      <c r="I516" s="24"/>
      <c r="J516" s="25"/>
      <c r="K516" s="13"/>
      <c r="BK516" s="26"/>
      <c r="BL516" s="13"/>
      <c r="BM516" s="20"/>
      <c r="BN516" s="21"/>
      <c r="BO516" s="13"/>
    </row>
    <row r="517">
      <c r="I517" s="24"/>
      <c r="J517" s="25"/>
      <c r="K517" s="13"/>
      <c r="BK517" s="26"/>
      <c r="BL517" s="13"/>
      <c r="BM517" s="20"/>
      <c r="BN517" s="21"/>
      <c r="BO517" s="13"/>
    </row>
    <row r="518">
      <c r="I518" s="24"/>
      <c r="J518" s="25"/>
      <c r="K518" s="13"/>
      <c r="BK518" s="26"/>
      <c r="BL518" s="13"/>
      <c r="BM518" s="20"/>
      <c r="BN518" s="21"/>
      <c r="BO518" s="13"/>
    </row>
    <row r="519">
      <c r="I519" s="24"/>
      <c r="J519" s="25"/>
      <c r="K519" s="13"/>
      <c r="BK519" s="26"/>
      <c r="BL519" s="13"/>
      <c r="BM519" s="20"/>
      <c r="BN519" s="21"/>
      <c r="BO519" s="13"/>
    </row>
    <row r="520">
      <c r="I520" s="24"/>
      <c r="J520" s="25"/>
      <c r="K520" s="13"/>
      <c r="BK520" s="26"/>
      <c r="BL520" s="13"/>
      <c r="BM520" s="20"/>
      <c r="BN520" s="21"/>
      <c r="BO520" s="13"/>
    </row>
    <row r="521">
      <c r="I521" s="24"/>
      <c r="J521" s="25"/>
      <c r="K521" s="13"/>
      <c r="BK521" s="26"/>
      <c r="BL521" s="13"/>
      <c r="BM521" s="20"/>
      <c r="BN521" s="21"/>
      <c r="BO521" s="13"/>
    </row>
    <row r="522">
      <c r="I522" s="24"/>
      <c r="J522" s="25"/>
      <c r="K522" s="13"/>
      <c r="BK522" s="26"/>
      <c r="BL522" s="13"/>
      <c r="BM522" s="20"/>
      <c r="BN522" s="21"/>
      <c r="BO522" s="13"/>
    </row>
    <row r="523">
      <c r="I523" s="24"/>
      <c r="J523" s="25"/>
      <c r="K523" s="13"/>
      <c r="BK523" s="26"/>
      <c r="BL523" s="13"/>
      <c r="BM523" s="20"/>
      <c r="BN523" s="21"/>
      <c r="BO523" s="13"/>
    </row>
    <row r="524">
      <c r="I524" s="24"/>
      <c r="J524" s="25"/>
      <c r="K524" s="13"/>
      <c r="BK524" s="26"/>
      <c r="BL524" s="13"/>
      <c r="BM524" s="20"/>
      <c r="BN524" s="21"/>
      <c r="BO524" s="13"/>
    </row>
    <row r="525">
      <c r="I525" s="24"/>
      <c r="J525" s="25"/>
      <c r="K525" s="13"/>
      <c r="BK525" s="26"/>
      <c r="BL525" s="13"/>
      <c r="BM525" s="20"/>
      <c r="BN525" s="21"/>
      <c r="BO525" s="13"/>
    </row>
    <row r="526">
      <c r="I526" s="24"/>
      <c r="J526" s="25"/>
      <c r="K526" s="13"/>
      <c r="BK526" s="26"/>
      <c r="BL526" s="13"/>
      <c r="BM526" s="20"/>
      <c r="BN526" s="21"/>
      <c r="BO526" s="13"/>
    </row>
    <row r="527">
      <c r="I527" s="24"/>
      <c r="J527" s="25"/>
      <c r="K527" s="13"/>
      <c r="BK527" s="26"/>
      <c r="BL527" s="13"/>
      <c r="BM527" s="20"/>
      <c r="BN527" s="21"/>
      <c r="BO527" s="13"/>
    </row>
    <row r="528">
      <c r="I528" s="24"/>
      <c r="J528" s="25"/>
      <c r="K528" s="13"/>
      <c r="BK528" s="26"/>
      <c r="BL528" s="13"/>
      <c r="BM528" s="20"/>
      <c r="BN528" s="21"/>
      <c r="BO528" s="13"/>
    </row>
    <row r="529">
      <c r="I529" s="24"/>
      <c r="J529" s="25"/>
      <c r="K529" s="13"/>
      <c r="BK529" s="26"/>
      <c r="BL529" s="13"/>
      <c r="BM529" s="20"/>
      <c r="BN529" s="21"/>
      <c r="BO529" s="13"/>
    </row>
    <row r="530">
      <c r="I530" s="24"/>
      <c r="J530" s="25"/>
      <c r="K530" s="13"/>
      <c r="BK530" s="26"/>
      <c r="BL530" s="13"/>
      <c r="BM530" s="20"/>
      <c r="BN530" s="21"/>
      <c r="BO530" s="13"/>
    </row>
    <row r="531">
      <c r="I531" s="24"/>
      <c r="J531" s="25"/>
      <c r="K531" s="13"/>
      <c r="BK531" s="26"/>
      <c r="BL531" s="13"/>
      <c r="BM531" s="20"/>
      <c r="BN531" s="21"/>
      <c r="BO531" s="13"/>
    </row>
    <row r="532">
      <c r="I532" s="24"/>
      <c r="J532" s="25"/>
      <c r="K532" s="13"/>
      <c r="BK532" s="26"/>
      <c r="BL532" s="13"/>
      <c r="BM532" s="20"/>
      <c r="BN532" s="21"/>
      <c r="BO532" s="13"/>
    </row>
    <row r="533">
      <c r="I533" s="24"/>
      <c r="J533" s="25"/>
      <c r="K533" s="13"/>
      <c r="BK533" s="26"/>
      <c r="BL533" s="13"/>
      <c r="BM533" s="20"/>
      <c r="BN533" s="21"/>
      <c r="BO533" s="13"/>
    </row>
    <row r="534">
      <c r="I534" s="24"/>
      <c r="J534" s="25"/>
      <c r="K534" s="13"/>
      <c r="BK534" s="26"/>
      <c r="BL534" s="13"/>
      <c r="BM534" s="20"/>
      <c r="BN534" s="21"/>
      <c r="BO534" s="13"/>
    </row>
    <row r="535">
      <c r="I535" s="24"/>
      <c r="J535" s="25"/>
      <c r="K535" s="13"/>
      <c r="BK535" s="26"/>
      <c r="BL535" s="13"/>
      <c r="BM535" s="20"/>
      <c r="BN535" s="21"/>
      <c r="BO535" s="13"/>
    </row>
    <row r="536">
      <c r="I536" s="24"/>
      <c r="J536" s="25"/>
      <c r="K536" s="13"/>
      <c r="BK536" s="26"/>
      <c r="BL536" s="13"/>
      <c r="BM536" s="20"/>
      <c r="BN536" s="21"/>
      <c r="BO536" s="13"/>
    </row>
    <row r="537">
      <c r="I537" s="24"/>
      <c r="J537" s="25"/>
      <c r="K537" s="13"/>
      <c r="BK537" s="26"/>
      <c r="BL537" s="13"/>
      <c r="BM537" s="20"/>
      <c r="BN537" s="21"/>
      <c r="BO537" s="13"/>
    </row>
    <row r="538">
      <c r="I538" s="24"/>
      <c r="J538" s="25"/>
      <c r="K538" s="13"/>
      <c r="BK538" s="26"/>
      <c r="BL538" s="13"/>
      <c r="BM538" s="20"/>
      <c r="BN538" s="21"/>
      <c r="BO538" s="13"/>
    </row>
    <row r="539">
      <c r="I539" s="24"/>
      <c r="J539" s="25"/>
      <c r="K539" s="13"/>
      <c r="BK539" s="26"/>
      <c r="BL539" s="13"/>
      <c r="BM539" s="20"/>
      <c r="BN539" s="21"/>
      <c r="BO539" s="13"/>
    </row>
    <row r="540">
      <c r="I540" s="24"/>
      <c r="J540" s="25"/>
      <c r="K540" s="13"/>
      <c r="BK540" s="26"/>
      <c r="BL540" s="13"/>
      <c r="BM540" s="20"/>
      <c r="BN540" s="21"/>
      <c r="BO540" s="13"/>
    </row>
    <row r="541">
      <c r="I541" s="24"/>
      <c r="J541" s="25"/>
      <c r="K541" s="13"/>
      <c r="BK541" s="26"/>
      <c r="BL541" s="13"/>
      <c r="BM541" s="20"/>
      <c r="BN541" s="21"/>
      <c r="BO541" s="13"/>
    </row>
    <row r="542">
      <c r="I542" s="24"/>
      <c r="J542" s="25"/>
      <c r="K542" s="13"/>
      <c r="BK542" s="26"/>
      <c r="BL542" s="13"/>
      <c r="BM542" s="20"/>
      <c r="BN542" s="21"/>
      <c r="BO542" s="13"/>
    </row>
    <row r="543">
      <c r="I543" s="24"/>
      <c r="J543" s="25"/>
      <c r="K543" s="13"/>
      <c r="BK543" s="26"/>
      <c r="BL543" s="13"/>
      <c r="BM543" s="20"/>
      <c r="BN543" s="21"/>
      <c r="BO543" s="13"/>
    </row>
    <row r="544">
      <c r="I544" s="24"/>
      <c r="J544" s="25"/>
      <c r="K544" s="13"/>
      <c r="BK544" s="26"/>
      <c r="BL544" s="13"/>
      <c r="BM544" s="20"/>
      <c r="BN544" s="21"/>
      <c r="BO544" s="13"/>
    </row>
    <row r="545">
      <c r="I545" s="24"/>
      <c r="J545" s="25"/>
      <c r="K545" s="13"/>
      <c r="BK545" s="26"/>
      <c r="BL545" s="13"/>
      <c r="BM545" s="20"/>
      <c r="BN545" s="21"/>
      <c r="BO545" s="13"/>
    </row>
    <row r="546">
      <c r="I546" s="24"/>
      <c r="J546" s="25"/>
      <c r="K546" s="13"/>
      <c r="BK546" s="26"/>
      <c r="BL546" s="13"/>
      <c r="BM546" s="20"/>
      <c r="BN546" s="21"/>
      <c r="BO546" s="13"/>
    </row>
    <row r="547">
      <c r="I547" s="24"/>
      <c r="J547" s="25"/>
      <c r="K547" s="13"/>
      <c r="BK547" s="26"/>
      <c r="BL547" s="13"/>
      <c r="BM547" s="20"/>
      <c r="BN547" s="21"/>
      <c r="BO547" s="13"/>
    </row>
    <row r="548">
      <c r="I548" s="24"/>
      <c r="J548" s="25"/>
      <c r="K548" s="13"/>
      <c r="BK548" s="26"/>
      <c r="BL548" s="13"/>
      <c r="BM548" s="20"/>
      <c r="BN548" s="21"/>
      <c r="BO548" s="13"/>
    </row>
    <row r="549">
      <c r="I549" s="24"/>
      <c r="J549" s="25"/>
      <c r="K549" s="13"/>
      <c r="BK549" s="26"/>
      <c r="BL549" s="13"/>
      <c r="BM549" s="20"/>
      <c r="BN549" s="21"/>
      <c r="BO549" s="13"/>
    </row>
    <row r="550">
      <c r="I550" s="24"/>
      <c r="J550" s="25"/>
      <c r="K550" s="13"/>
      <c r="BK550" s="26"/>
      <c r="BL550" s="13"/>
      <c r="BM550" s="20"/>
      <c r="BN550" s="21"/>
      <c r="BO550" s="13"/>
    </row>
    <row r="551">
      <c r="I551" s="24"/>
      <c r="J551" s="25"/>
      <c r="K551" s="13"/>
      <c r="BK551" s="26"/>
      <c r="BL551" s="13"/>
      <c r="BM551" s="20"/>
      <c r="BN551" s="21"/>
      <c r="BO551" s="13"/>
    </row>
    <row r="552">
      <c r="I552" s="24"/>
      <c r="J552" s="25"/>
      <c r="K552" s="13"/>
      <c r="BK552" s="26"/>
      <c r="BL552" s="13"/>
      <c r="BM552" s="20"/>
      <c r="BN552" s="21"/>
      <c r="BO552" s="13"/>
    </row>
    <row r="553">
      <c r="I553" s="24"/>
      <c r="J553" s="25"/>
      <c r="K553" s="13"/>
      <c r="BK553" s="26"/>
      <c r="BL553" s="13"/>
      <c r="BM553" s="20"/>
      <c r="BN553" s="21"/>
      <c r="BO553" s="13"/>
    </row>
    <row r="554">
      <c r="I554" s="24"/>
      <c r="J554" s="25"/>
      <c r="K554" s="13"/>
      <c r="BK554" s="26"/>
      <c r="BL554" s="13"/>
      <c r="BM554" s="20"/>
      <c r="BN554" s="21"/>
      <c r="BO554" s="13"/>
    </row>
    <row r="555">
      <c r="I555" s="24"/>
      <c r="J555" s="25"/>
      <c r="K555" s="13"/>
      <c r="BK555" s="26"/>
      <c r="BL555" s="13"/>
      <c r="BM555" s="20"/>
      <c r="BN555" s="21"/>
      <c r="BO555" s="13"/>
    </row>
    <row r="556">
      <c r="I556" s="24"/>
      <c r="J556" s="25"/>
      <c r="K556" s="13"/>
      <c r="BK556" s="26"/>
      <c r="BL556" s="13"/>
      <c r="BM556" s="20"/>
      <c r="BN556" s="21"/>
      <c r="BO556" s="13"/>
    </row>
    <row r="557">
      <c r="I557" s="24"/>
      <c r="J557" s="25"/>
      <c r="K557" s="13"/>
      <c r="BK557" s="26"/>
      <c r="BL557" s="13"/>
      <c r="BM557" s="20"/>
      <c r="BN557" s="21"/>
      <c r="BO557" s="13"/>
    </row>
    <row r="558">
      <c r="I558" s="24"/>
      <c r="J558" s="25"/>
      <c r="K558" s="13"/>
      <c r="BK558" s="26"/>
      <c r="BL558" s="13"/>
      <c r="BM558" s="20"/>
      <c r="BN558" s="21"/>
      <c r="BO558" s="13"/>
    </row>
    <row r="559">
      <c r="I559" s="24"/>
      <c r="J559" s="25"/>
      <c r="K559" s="13"/>
      <c r="BK559" s="26"/>
      <c r="BL559" s="13"/>
      <c r="BM559" s="20"/>
      <c r="BN559" s="21"/>
      <c r="BO559" s="13"/>
    </row>
    <row r="560">
      <c r="I560" s="24"/>
      <c r="J560" s="25"/>
      <c r="K560" s="13"/>
      <c r="BK560" s="26"/>
      <c r="BL560" s="13"/>
      <c r="BM560" s="20"/>
      <c r="BN560" s="21"/>
      <c r="BO560" s="13"/>
    </row>
    <row r="561">
      <c r="I561" s="24"/>
      <c r="J561" s="25"/>
      <c r="K561" s="13"/>
      <c r="BK561" s="26"/>
      <c r="BL561" s="13"/>
      <c r="BM561" s="20"/>
      <c r="BN561" s="21"/>
      <c r="BO561" s="13"/>
    </row>
    <row r="562">
      <c r="I562" s="24"/>
      <c r="J562" s="25"/>
      <c r="K562" s="13"/>
      <c r="BK562" s="26"/>
      <c r="BL562" s="13"/>
      <c r="BM562" s="20"/>
      <c r="BN562" s="21"/>
      <c r="BO562" s="13"/>
    </row>
    <row r="563">
      <c r="I563" s="24"/>
      <c r="J563" s="25"/>
      <c r="K563" s="13"/>
      <c r="BK563" s="26"/>
      <c r="BL563" s="13"/>
      <c r="BM563" s="20"/>
      <c r="BN563" s="21"/>
      <c r="BO563" s="13"/>
    </row>
    <row r="564">
      <c r="I564" s="24"/>
      <c r="J564" s="25"/>
      <c r="K564" s="13"/>
      <c r="BK564" s="26"/>
      <c r="BL564" s="13"/>
      <c r="BM564" s="20"/>
      <c r="BN564" s="21"/>
      <c r="BO564" s="13"/>
    </row>
    <row r="565">
      <c r="I565" s="24"/>
      <c r="J565" s="25"/>
      <c r="K565" s="13"/>
      <c r="BK565" s="26"/>
      <c r="BL565" s="13"/>
      <c r="BM565" s="20"/>
      <c r="BN565" s="21"/>
      <c r="BO565" s="13"/>
    </row>
    <row r="566">
      <c r="I566" s="24"/>
      <c r="J566" s="25"/>
      <c r="K566" s="13"/>
      <c r="BK566" s="26"/>
      <c r="BL566" s="13"/>
      <c r="BM566" s="20"/>
      <c r="BN566" s="21"/>
      <c r="BO566" s="13"/>
    </row>
    <row r="567">
      <c r="I567" s="24"/>
      <c r="J567" s="25"/>
      <c r="K567" s="13"/>
      <c r="BK567" s="26"/>
      <c r="BL567" s="13"/>
      <c r="BM567" s="20"/>
      <c r="BN567" s="21"/>
      <c r="BO567" s="13"/>
    </row>
    <row r="568">
      <c r="I568" s="24"/>
      <c r="J568" s="25"/>
      <c r="K568" s="13"/>
      <c r="BK568" s="26"/>
      <c r="BL568" s="13"/>
      <c r="BM568" s="20"/>
      <c r="BN568" s="21"/>
      <c r="BO568" s="13"/>
    </row>
    <row r="569">
      <c r="I569" s="24"/>
      <c r="J569" s="25"/>
      <c r="K569" s="13"/>
      <c r="BK569" s="26"/>
      <c r="BL569" s="13"/>
      <c r="BM569" s="20"/>
      <c r="BN569" s="21"/>
      <c r="BO569" s="13"/>
    </row>
    <row r="570">
      <c r="I570" s="24"/>
      <c r="J570" s="25"/>
      <c r="K570" s="13"/>
      <c r="BK570" s="26"/>
      <c r="BL570" s="13"/>
      <c r="BM570" s="20"/>
      <c r="BN570" s="21"/>
      <c r="BO570" s="13"/>
    </row>
    <row r="571">
      <c r="I571" s="24"/>
      <c r="J571" s="25"/>
      <c r="K571" s="13"/>
      <c r="BK571" s="26"/>
      <c r="BL571" s="13"/>
      <c r="BM571" s="20"/>
      <c r="BN571" s="21"/>
      <c r="BO571" s="13"/>
    </row>
    <row r="572">
      <c r="I572" s="24"/>
      <c r="J572" s="25"/>
      <c r="K572" s="13"/>
      <c r="BK572" s="26"/>
      <c r="BL572" s="13"/>
      <c r="BM572" s="20"/>
      <c r="BN572" s="21"/>
      <c r="BO572" s="13"/>
    </row>
    <row r="573">
      <c r="I573" s="24"/>
      <c r="J573" s="25"/>
      <c r="K573" s="13"/>
      <c r="BK573" s="26"/>
      <c r="BL573" s="13"/>
      <c r="BM573" s="20"/>
      <c r="BN573" s="21"/>
      <c r="BO573" s="13"/>
    </row>
    <row r="574">
      <c r="I574" s="24"/>
      <c r="J574" s="25"/>
      <c r="K574" s="13"/>
      <c r="BK574" s="26"/>
      <c r="BL574" s="13"/>
      <c r="BM574" s="20"/>
      <c r="BN574" s="21"/>
      <c r="BO574" s="13"/>
    </row>
    <row r="575">
      <c r="I575" s="24"/>
      <c r="J575" s="25"/>
      <c r="K575" s="13"/>
      <c r="BK575" s="26"/>
      <c r="BL575" s="13"/>
      <c r="BM575" s="20"/>
      <c r="BN575" s="21"/>
      <c r="BO575" s="13"/>
    </row>
    <row r="576">
      <c r="I576" s="24"/>
      <c r="J576" s="25"/>
      <c r="K576" s="13"/>
      <c r="BK576" s="26"/>
      <c r="BL576" s="13"/>
      <c r="BM576" s="20"/>
      <c r="BN576" s="21"/>
      <c r="BO576" s="13"/>
    </row>
    <row r="577">
      <c r="I577" s="24"/>
      <c r="J577" s="25"/>
      <c r="K577" s="13"/>
      <c r="BK577" s="26"/>
      <c r="BL577" s="13"/>
      <c r="BM577" s="20"/>
      <c r="BN577" s="21"/>
      <c r="BO577" s="13"/>
    </row>
    <row r="578">
      <c r="I578" s="24"/>
      <c r="J578" s="25"/>
      <c r="K578" s="13"/>
      <c r="BK578" s="26"/>
      <c r="BL578" s="13"/>
      <c r="BM578" s="20"/>
      <c r="BN578" s="21"/>
      <c r="BO578" s="13"/>
    </row>
    <row r="579">
      <c r="I579" s="24"/>
      <c r="J579" s="25"/>
      <c r="K579" s="13"/>
      <c r="BK579" s="26"/>
      <c r="BL579" s="13"/>
      <c r="BM579" s="20"/>
      <c r="BN579" s="21"/>
      <c r="BO579" s="13"/>
    </row>
    <row r="580">
      <c r="I580" s="24"/>
      <c r="J580" s="25"/>
      <c r="K580" s="13"/>
      <c r="BK580" s="26"/>
      <c r="BL580" s="13"/>
      <c r="BM580" s="20"/>
      <c r="BN580" s="21"/>
      <c r="BO580" s="13"/>
    </row>
    <row r="581">
      <c r="I581" s="24"/>
      <c r="J581" s="25"/>
      <c r="K581" s="13"/>
      <c r="BK581" s="26"/>
      <c r="BL581" s="13"/>
      <c r="BM581" s="20"/>
      <c r="BN581" s="21"/>
      <c r="BO581" s="13"/>
    </row>
    <row r="582">
      <c r="I582" s="24"/>
      <c r="J582" s="25"/>
      <c r="K582" s="13"/>
      <c r="BK582" s="26"/>
      <c r="BL582" s="13"/>
      <c r="BM582" s="20"/>
      <c r="BN582" s="21"/>
      <c r="BO582" s="13"/>
    </row>
    <row r="583">
      <c r="I583" s="24"/>
      <c r="J583" s="25"/>
      <c r="K583" s="13"/>
      <c r="BK583" s="26"/>
      <c r="BL583" s="13"/>
      <c r="BM583" s="20"/>
      <c r="BN583" s="21"/>
      <c r="BO583" s="13"/>
    </row>
    <row r="584">
      <c r="I584" s="24"/>
      <c r="J584" s="25"/>
      <c r="K584" s="13"/>
      <c r="BK584" s="26"/>
      <c r="BL584" s="13"/>
      <c r="BM584" s="20"/>
      <c r="BN584" s="21"/>
      <c r="BO584" s="13"/>
    </row>
    <row r="585">
      <c r="I585" s="24"/>
      <c r="J585" s="25"/>
      <c r="K585" s="13"/>
      <c r="BK585" s="26"/>
      <c r="BL585" s="13"/>
      <c r="BM585" s="20"/>
      <c r="BN585" s="21"/>
      <c r="BO585" s="13"/>
    </row>
    <row r="586">
      <c r="I586" s="24"/>
      <c r="J586" s="25"/>
      <c r="K586" s="13"/>
      <c r="BK586" s="26"/>
      <c r="BL586" s="13"/>
      <c r="BM586" s="20"/>
      <c r="BN586" s="21"/>
      <c r="BO586" s="13"/>
    </row>
    <row r="587">
      <c r="I587" s="24"/>
      <c r="J587" s="25"/>
      <c r="K587" s="13"/>
      <c r="BK587" s="26"/>
      <c r="BL587" s="13"/>
      <c r="BM587" s="20"/>
      <c r="BN587" s="21"/>
      <c r="BO587" s="13"/>
    </row>
    <row r="588">
      <c r="I588" s="24"/>
      <c r="J588" s="25"/>
      <c r="K588" s="13"/>
      <c r="BK588" s="26"/>
      <c r="BL588" s="13"/>
      <c r="BM588" s="20"/>
      <c r="BN588" s="21"/>
      <c r="BO588" s="13"/>
    </row>
    <row r="589">
      <c r="I589" s="24"/>
      <c r="J589" s="25"/>
      <c r="K589" s="13"/>
      <c r="BK589" s="26"/>
      <c r="BL589" s="13"/>
      <c r="BM589" s="20"/>
      <c r="BN589" s="21"/>
      <c r="BO589" s="13"/>
    </row>
    <row r="590">
      <c r="I590" s="24"/>
      <c r="J590" s="25"/>
      <c r="K590" s="13"/>
      <c r="BK590" s="26"/>
      <c r="BL590" s="13"/>
      <c r="BM590" s="20"/>
      <c r="BN590" s="21"/>
      <c r="BO590" s="13"/>
    </row>
    <row r="591">
      <c r="I591" s="24"/>
      <c r="J591" s="25"/>
      <c r="K591" s="13"/>
      <c r="BK591" s="26"/>
      <c r="BL591" s="13"/>
      <c r="BM591" s="20"/>
      <c r="BN591" s="21"/>
      <c r="BO591" s="13"/>
    </row>
    <row r="592">
      <c r="I592" s="24"/>
      <c r="J592" s="25"/>
      <c r="K592" s="13"/>
      <c r="BK592" s="26"/>
      <c r="BL592" s="13"/>
      <c r="BM592" s="20"/>
      <c r="BN592" s="21"/>
      <c r="BO592" s="13"/>
    </row>
    <row r="593">
      <c r="I593" s="24"/>
      <c r="J593" s="25"/>
      <c r="K593" s="13"/>
      <c r="BK593" s="26"/>
      <c r="BL593" s="13"/>
      <c r="BM593" s="20"/>
      <c r="BN593" s="21"/>
      <c r="BO593" s="13"/>
    </row>
    <row r="594">
      <c r="I594" s="24"/>
      <c r="J594" s="25"/>
      <c r="K594" s="13"/>
      <c r="BK594" s="26"/>
      <c r="BL594" s="13"/>
      <c r="BM594" s="20"/>
      <c r="BN594" s="21"/>
      <c r="BO594" s="13"/>
    </row>
    <row r="595">
      <c r="I595" s="24"/>
      <c r="J595" s="25"/>
      <c r="K595" s="13"/>
      <c r="BK595" s="26"/>
      <c r="BL595" s="13"/>
      <c r="BM595" s="20"/>
      <c r="BN595" s="21"/>
      <c r="BO595" s="13"/>
    </row>
    <row r="596">
      <c r="I596" s="24"/>
      <c r="J596" s="25"/>
      <c r="K596" s="13"/>
      <c r="BK596" s="26"/>
      <c r="BL596" s="13"/>
      <c r="BM596" s="20"/>
      <c r="BN596" s="21"/>
      <c r="BO596" s="13"/>
    </row>
    <row r="597">
      <c r="I597" s="24"/>
      <c r="J597" s="25"/>
      <c r="K597" s="13"/>
      <c r="BK597" s="26"/>
      <c r="BL597" s="13"/>
      <c r="BM597" s="20"/>
      <c r="BN597" s="21"/>
      <c r="BO597" s="13"/>
    </row>
    <row r="598">
      <c r="I598" s="24"/>
      <c r="J598" s="25"/>
      <c r="K598" s="13"/>
      <c r="BK598" s="26"/>
      <c r="BL598" s="13"/>
      <c r="BM598" s="20"/>
      <c r="BN598" s="21"/>
      <c r="BO598" s="13"/>
    </row>
    <row r="599">
      <c r="I599" s="24"/>
      <c r="J599" s="25"/>
      <c r="K599" s="13"/>
      <c r="BK599" s="26"/>
      <c r="BL599" s="13"/>
      <c r="BM599" s="20"/>
      <c r="BN599" s="21"/>
      <c r="BO599" s="13"/>
    </row>
    <row r="600">
      <c r="I600" s="24"/>
      <c r="J600" s="25"/>
      <c r="K600" s="13"/>
      <c r="BK600" s="26"/>
      <c r="BL600" s="13"/>
      <c r="BM600" s="20"/>
      <c r="BN600" s="21"/>
      <c r="BO600" s="13"/>
    </row>
    <row r="601">
      <c r="I601" s="24"/>
      <c r="J601" s="25"/>
      <c r="K601" s="13"/>
      <c r="BK601" s="26"/>
      <c r="BL601" s="13"/>
      <c r="BM601" s="20"/>
      <c r="BN601" s="21"/>
      <c r="BO601" s="13"/>
    </row>
    <row r="602">
      <c r="I602" s="24"/>
      <c r="J602" s="25"/>
      <c r="K602" s="13"/>
      <c r="BK602" s="26"/>
      <c r="BL602" s="13"/>
      <c r="BM602" s="20"/>
      <c r="BN602" s="21"/>
      <c r="BO602" s="13"/>
    </row>
    <row r="603">
      <c r="I603" s="24"/>
      <c r="J603" s="25"/>
      <c r="K603" s="13"/>
      <c r="BK603" s="26"/>
      <c r="BL603" s="13"/>
      <c r="BM603" s="20"/>
      <c r="BN603" s="21"/>
      <c r="BO603" s="13"/>
    </row>
    <row r="604">
      <c r="I604" s="24"/>
      <c r="J604" s="25"/>
      <c r="K604" s="13"/>
      <c r="BK604" s="26"/>
      <c r="BL604" s="13"/>
      <c r="BM604" s="20"/>
      <c r="BN604" s="21"/>
      <c r="BO604" s="13"/>
    </row>
    <row r="605">
      <c r="I605" s="24"/>
      <c r="J605" s="25"/>
      <c r="K605" s="13"/>
      <c r="BK605" s="26"/>
      <c r="BL605" s="13"/>
      <c r="BM605" s="20"/>
      <c r="BN605" s="21"/>
      <c r="BO605" s="13"/>
    </row>
    <row r="606">
      <c r="I606" s="24"/>
      <c r="J606" s="25"/>
      <c r="K606" s="13"/>
      <c r="BK606" s="26"/>
      <c r="BL606" s="13"/>
      <c r="BM606" s="20"/>
      <c r="BN606" s="21"/>
      <c r="BO606" s="13"/>
    </row>
    <row r="607">
      <c r="I607" s="24"/>
      <c r="J607" s="25"/>
      <c r="K607" s="13"/>
      <c r="BK607" s="26"/>
      <c r="BL607" s="13"/>
      <c r="BM607" s="20"/>
      <c r="BN607" s="21"/>
      <c r="BO607" s="13"/>
    </row>
    <row r="608">
      <c r="I608" s="24"/>
      <c r="J608" s="25"/>
      <c r="K608" s="13"/>
      <c r="BK608" s="26"/>
      <c r="BL608" s="13"/>
      <c r="BM608" s="20"/>
      <c r="BN608" s="21"/>
      <c r="BO608" s="13"/>
    </row>
    <row r="609">
      <c r="I609" s="24"/>
      <c r="J609" s="25"/>
      <c r="K609" s="13"/>
      <c r="BK609" s="26"/>
      <c r="BL609" s="13"/>
      <c r="BM609" s="20"/>
      <c r="BN609" s="21"/>
      <c r="BO609" s="13"/>
    </row>
    <row r="610">
      <c r="I610" s="24"/>
      <c r="J610" s="25"/>
      <c r="K610" s="13"/>
      <c r="BK610" s="26"/>
      <c r="BL610" s="13"/>
      <c r="BM610" s="20"/>
      <c r="BN610" s="21"/>
      <c r="BO610" s="13"/>
    </row>
    <row r="611">
      <c r="I611" s="24"/>
      <c r="J611" s="25"/>
      <c r="K611" s="13"/>
      <c r="BK611" s="26"/>
      <c r="BL611" s="13"/>
      <c r="BM611" s="20"/>
      <c r="BN611" s="21"/>
      <c r="BO611" s="13"/>
    </row>
    <row r="612">
      <c r="I612" s="24"/>
      <c r="J612" s="25"/>
      <c r="K612" s="13"/>
      <c r="BK612" s="26"/>
      <c r="BL612" s="13"/>
      <c r="BM612" s="20"/>
      <c r="BN612" s="21"/>
      <c r="BO612" s="13"/>
    </row>
    <row r="613">
      <c r="I613" s="24"/>
      <c r="J613" s="25"/>
      <c r="K613" s="13"/>
      <c r="BK613" s="26"/>
      <c r="BL613" s="13"/>
      <c r="BM613" s="20"/>
      <c r="BN613" s="21"/>
      <c r="BO613" s="13"/>
    </row>
    <row r="614">
      <c r="I614" s="24"/>
      <c r="J614" s="25"/>
      <c r="K614" s="13"/>
      <c r="BK614" s="26"/>
      <c r="BL614" s="13"/>
      <c r="BM614" s="20"/>
      <c r="BN614" s="21"/>
      <c r="BO614" s="13"/>
    </row>
    <row r="615">
      <c r="I615" s="24"/>
      <c r="J615" s="25"/>
      <c r="K615" s="13"/>
      <c r="BK615" s="26"/>
      <c r="BL615" s="13"/>
      <c r="BM615" s="20"/>
      <c r="BN615" s="21"/>
      <c r="BO615" s="13"/>
    </row>
    <row r="616">
      <c r="I616" s="24"/>
      <c r="J616" s="25"/>
      <c r="K616" s="13"/>
      <c r="BK616" s="26"/>
      <c r="BL616" s="13"/>
      <c r="BM616" s="20"/>
      <c r="BN616" s="21"/>
      <c r="BO616" s="13"/>
    </row>
    <row r="617">
      <c r="I617" s="24"/>
      <c r="J617" s="25"/>
      <c r="K617" s="13"/>
      <c r="BK617" s="26"/>
      <c r="BL617" s="13"/>
      <c r="BM617" s="20"/>
      <c r="BN617" s="21"/>
      <c r="BO617" s="13"/>
    </row>
    <row r="618">
      <c r="I618" s="24"/>
      <c r="J618" s="25"/>
      <c r="K618" s="13"/>
      <c r="BK618" s="26"/>
      <c r="BL618" s="13"/>
      <c r="BM618" s="20"/>
      <c r="BN618" s="21"/>
      <c r="BO618" s="13"/>
    </row>
    <row r="619">
      <c r="I619" s="24"/>
      <c r="J619" s="25"/>
      <c r="K619" s="13"/>
      <c r="BK619" s="26"/>
      <c r="BL619" s="13"/>
      <c r="BM619" s="20"/>
      <c r="BN619" s="21"/>
      <c r="BO619" s="13"/>
    </row>
    <row r="620">
      <c r="I620" s="24"/>
      <c r="J620" s="25"/>
      <c r="K620" s="13"/>
      <c r="BK620" s="26"/>
      <c r="BL620" s="13"/>
      <c r="BM620" s="20"/>
      <c r="BN620" s="21"/>
      <c r="BO620" s="13"/>
    </row>
    <row r="621">
      <c r="I621" s="24"/>
      <c r="J621" s="25"/>
      <c r="K621" s="13"/>
      <c r="BK621" s="26"/>
      <c r="BL621" s="13"/>
      <c r="BM621" s="20"/>
      <c r="BN621" s="21"/>
      <c r="BO621" s="13"/>
    </row>
    <row r="622">
      <c r="I622" s="24"/>
      <c r="J622" s="25"/>
      <c r="K622" s="13"/>
      <c r="BK622" s="26"/>
      <c r="BL622" s="13"/>
      <c r="BM622" s="20"/>
      <c r="BN622" s="21"/>
      <c r="BO622" s="13"/>
    </row>
    <row r="623">
      <c r="I623" s="24"/>
      <c r="J623" s="25"/>
      <c r="K623" s="13"/>
      <c r="BK623" s="26"/>
      <c r="BL623" s="13"/>
      <c r="BM623" s="20"/>
      <c r="BN623" s="21"/>
      <c r="BO623" s="13"/>
    </row>
    <row r="624">
      <c r="I624" s="24"/>
      <c r="J624" s="25"/>
      <c r="K624" s="13"/>
      <c r="BK624" s="26"/>
      <c r="BL624" s="13"/>
      <c r="BM624" s="20"/>
      <c r="BN624" s="21"/>
      <c r="BO624" s="13"/>
    </row>
    <row r="625">
      <c r="I625" s="24"/>
      <c r="J625" s="25"/>
      <c r="K625" s="13"/>
      <c r="BK625" s="26"/>
      <c r="BL625" s="13"/>
      <c r="BM625" s="20"/>
      <c r="BN625" s="21"/>
      <c r="BO625" s="13"/>
    </row>
    <row r="626">
      <c r="I626" s="24"/>
      <c r="J626" s="25"/>
      <c r="K626" s="13"/>
      <c r="BK626" s="26"/>
      <c r="BL626" s="13"/>
      <c r="BM626" s="20"/>
      <c r="BN626" s="21"/>
      <c r="BO626" s="13"/>
    </row>
    <row r="627">
      <c r="I627" s="24"/>
      <c r="J627" s="25"/>
      <c r="K627" s="13"/>
      <c r="BK627" s="26"/>
      <c r="BL627" s="13"/>
      <c r="BM627" s="20"/>
      <c r="BN627" s="21"/>
      <c r="BO627" s="13"/>
    </row>
    <row r="628">
      <c r="I628" s="24"/>
      <c r="J628" s="25"/>
      <c r="K628" s="13"/>
      <c r="BK628" s="26"/>
      <c r="BL628" s="13"/>
      <c r="BM628" s="20"/>
      <c r="BN628" s="21"/>
      <c r="BO628" s="13"/>
    </row>
    <row r="629">
      <c r="I629" s="24"/>
      <c r="J629" s="25"/>
      <c r="K629" s="13"/>
      <c r="BK629" s="26"/>
      <c r="BL629" s="13"/>
      <c r="BM629" s="20"/>
      <c r="BN629" s="21"/>
      <c r="BO629" s="13"/>
    </row>
    <row r="630">
      <c r="I630" s="24"/>
      <c r="J630" s="25"/>
      <c r="K630" s="13"/>
      <c r="BK630" s="26"/>
      <c r="BL630" s="13"/>
      <c r="BM630" s="20"/>
      <c r="BN630" s="21"/>
      <c r="BO630" s="13"/>
    </row>
    <row r="631">
      <c r="I631" s="24"/>
      <c r="J631" s="25"/>
      <c r="K631" s="13"/>
      <c r="BK631" s="26"/>
      <c r="BL631" s="13"/>
      <c r="BM631" s="20"/>
      <c r="BN631" s="21"/>
      <c r="BO631" s="13"/>
    </row>
    <row r="632">
      <c r="I632" s="24"/>
      <c r="J632" s="25"/>
      <c r="K632" s="13"/>
      <c r="BK632" s="26"/>
      <c r="BL632" s="13"/>
      <c r="BM632" s="20"/>
      <c r="BN632" s="21"/>
      <c r="BO632" s="13"/>
    </row>
    <row r="633">
      <c r="I633" s="24"/>
      <c r="J633" s="25"/>
      <c r="K633" s="13"/>
      <c r="BK633" s="26"/>
      <c r="BL633" s="13"/>
      <c r="BM633" s="20"/>
      <c r="BN633" s="21"/>
      <c r="BO633" s="13"/>
    </row>
    <row r="634">
      <c r="I634" s="24"/>
      <c r="J634" s="25"/>
      <c r="K634" s="13"/>
      <c r="BK634" s="26"/>
      <c r="BL634" s="13"/>
      <c r="BM634" s="20"/>
      <c r="BN634" s="21"/>
      <c r="BO634" s="13"/>
    </row>
    <row r="635">
      <c r="I635" s="24"/>
      <c r="J635" s="25"/>
      <c r="K635" s="13"/>
      <c r="BK635" s="26"/>
      <c r="BL635" s="13"/>
      <c r="BM635" s="20"/>
      <c r="BN635" s="21"/>
      <c r="BO635" s="13"/>
    </row>
    <row r="636">
      <c r="I636" s="24"/>
      <c r="J636" s="25"/>
      <c r="K636" s="13"/>
      <c r="BK636" s="26"/>
      <c r="BL636" s="13"/>
      <c r="BM636" s="20"/>
      <c r="BN636" s="21"/>
      <c r="BO636" s="13"/>
    </row>
    <row r="637">
      <c r="I637" s="24"/>
      <c r="J637" s="25"/>
      <c r="K637" s="13"/>
      <c r="BK637" s="26"/>
      <c r="BL637" s="13"/>
      <c r="BM637" s="20"/>
      <c r="BN637" s="21"/>
      <c r="BO637" s="13"/>
    </row>
    <row r="638">
      <c r="I638" s="24"/>
      <c r="J638" s="25"/>
      <c r="K638" s="13"/>
      <c r="BK638" s="26"/>
      <c r="BL638" s="13"/>
      <c r="BM638" s="20"/>
      <c r="BN638" s="21"/>
      <c r="BO638" s="13"/>
    </row>
    <row r="639">
      <c r="I639" s="24"/>
      <c r="J639" s="25"/>
      <c r="K639" s="13"/>
      <c r="BK639" s="26"/>
      <c r="BL639" s="13"/>
      <c r="BM639" s="20"/>
      <c r="BN639" s="21"/>
      <c r="BO639" s="13"/>
    </row>
    <row r="640">
      <c r="I640" s="24"/>
      <c r="J640" s="25"/>
      <c r="K640" s="13"/>
      <c r="BK640" s="26"/>
      <c r="BL640" s="13"/>
      <c r="BM640" s="20"/>
      <c r="BN640" s="21"/>
      <c r="BO640" s="13"/>
    </row>
    <row r="641">
      <c r="I641" s="24"/>
      <c r="J641" s="25"/>
      <c r="K641" s="13"/>
      <c r="BK641" s="26"/>
      <c r="BL641" s="13"/>
      <c r="BM641" s="20"/>
      <c r="BN641" s="21"/>
      <c r="BO641" s="13"/>
    </row>
    <row r="642">
      <c r="I642" s="24"/>
      <c r="J642" s="25"/>
      <c r="K642" s="13"/>
      <c r="BK642" s="26"/>
      <c r="BL642" s="13"/>
      <c r="BM642" s="20"/>
      <c r="BN642" s="21"/>
      <c r="BO642" s="13"/>
    </row>
    <row r="643">
      <c r="I643" s="24"/>
      <c r="J643" s="25"/>
      <c r="K643" s="13"/>
      <c r="BK643" s="26"/>
      <c r="BL643" s="13"/>
      <c r="BM643" s="20"/>
      <c r="BN643" s="21"/>
      <c r="BO643" s="13"/>
    </row>
    <row r="644">
      <c r="I644" s="24"/>
      <c r="J644" s="25"/>
      <c r="K644" s="13"/>
      <c r="BK644" s="26"/>
      <c r="BL644" s="13"/>
      <c r="BM644" s="20"/>
      <c r="BN644" s="21"/>
      <c r="BO644" s="13"/>
    </row>
    <row r="645">
      <c r="I645" s="24"/>
      <c r="J645" s="25"/>
      <c r="K645" s="13"/>
      <c r="BK645" s="26"/>
      <c r="BL645" s="13"/>
      <c r="BM645" s="20"/>
      <c r="BN645" s="21"/>
      <c r="BO645" s="13"/>
    </row>
    <row r="646">
      <c r="I646" s="24"/>
      <c r="J646" s="25"/>
      <c r="K646" s="13"/>
      <c r="BK646" s="26"/>
      <c r="BL646" s="13"/>
      <c r="BM646" s="20"/>
      <c r="BN646" s="21"/>
      <c r="BO646" s="13"/>
    </row>
    <row r="647">
      <c r="I647" s="24"/>
      <c r="J647" s="25"/>
      <c r="K647" s="13"/>
      <c r="BK647" s="26"/>
      <c r="BL647" s="13"/>
      <c r="BM647" s="20"/>
      <c r="BN647" s="21"/>
      <c r="BO647" s="13"/>
    </row>
    <row r="648">
      <c r="I648" s="24"/>
      <c r="J648" s="25"/>
      <c r="K648" s="13"/>
      <c r="BK648" s="26"/>
      <c r="BL648" s="13"/>
      <c r="BM648" s="20"/>
      <c r="BN648" s="21"/>
      <c r="BO648" s="13"/>
    </row>
    <row r="649">
      <c r="I649" s="24"/>
      <c r="J649" s="25"/>
      <c r="K649" s="13"/>
      <c r="BK649" s="26"/>
      <c r="BL649" s="13"/>
      <c r="BM649" s="20"/>
      <c r="BN649" s="21"/>
      <c r="BO649" s="13"/>
    </row>
    <row r="650">
      <c r="I650" s="24"/>
      <c r="J650" s="25"/>
      <c r="K650" s="13"/>
      <c r="BK650" s="26"/>
      <c r="BL650" s="13"/>
      <c r="BM650" s="20"/>
      <c r="BN650" s="21"/>
      <c r="BO650" s="13"/>
    </row>
    <row r="651">
      <c r="I651" s="24"/>
      <c r="J651" s="25"/>
      <c r="K651" s="13"/>
      <c r="BK651" s="26"/>
      <c r="BL651" s="13"/>
      <c r="BM651" s="20"/>
      <c r="BN651" s="21"/>
      <c r="BO651" s="13"/>
    </row>
    <row r="652">
      <c r="I652" s="24"/>
      <c r="J652" s="25"/>
      <c r="K652" s="13"/>
      <c r="BK652" s="26"/>
      <c r="BL652" s="13"/>
      <c r="BM652" s="20"/>
      <c r="BN652" s="21"/>
      <c r="BO652" s="13"/>
    </row>
    <row r="653">
      <c r="I653" s="24"/>
      <c r="J653" s="25"/>
      <c r="K653" s="13"/>
      <c r="BK653" s="26"/>
      <c r="BL653" s="13"/>
      <c r="BM653" s="20"/>
      <c r="BN653" s="21"/>
      <c r="BO653" s="13"/>
    </row>
    <row r="654">
      <c r="I654" s="24"/>
      <c r="J654" s="25"/>
      <c r="K654" s="13"/>
      <c r="BK654" s="26"/>
      <c r="BL654" s="13"/>
      <c r="BM654" s="20"/>
      <c r="BN654" s="21"/>
      <c r="BO654" s="13"/>
    </row>
    <row r="655">
      <c r="I655" s="24"/>
      <c r="J655" s="25"/>
      <c r="K655" s="13"/>
      <c r="BK655" s="26"/>
      <c r="BL655" s="13"/>
      <c r="BM655" s="20"/>
      <c r="BN655" s="21"/>
      <c r="BO655" s="13"/>
    </row>
    <row r="656">
      <c r="I656" s="24"/>
      <c r="J656" s="25"/>
      <c r="K656" s="13"/>
      <c r="BK656" s="26"/>
      <c r="BL656" s="13"/>
      <c r="BM656" s="20"/>
      <c r="BN656" s="21"/>
      <c r="BO656" s="13"/>
    </row>
    <row r="657">
      <c r="I657" s="24"/>
      <c r="J657" s="25"/>
      <c r="K657" s="13"/>
      <c r="BK657" s="26"/>
      <c r="BL657" s="13"/>
      <c r="BM657" s="20"/>
      <c r="BN657" s="21"/>
      <c r="BO657" s="13"/>
    </row>
    <row r="658">
      <c r="I658" s="24"/>
      <c r="J658" s="25"/>
      <c r="K658" s="13"/>
      <c r="BK658" s="26"/>
      <c r="BL658" s="13"/>
      <c r="BM658" s="20"/>
      <c r="BN658" s="21"/>
      <c r="BO658" s="13"/>
    </row>
    <row r="659">
      <c r="I659" s="24"/>
      <c r="J659" s="25"/>
      <c r="K659" s="13"/>
      <c r="BK659" s="26"/>
      <c r="BL659" s="13"/>
      <c r="BM659" s="20"/>
      <c r="BN659" s="21"/>
      <c r="BO659" s="13"/>
    </row>
    <row r="660">
      <c r="I660" s="24"/>
      <c r="J660" s="25"/>
      <c r="K660" s="13"/>
      <c r="BK660" s="26"/>
      <c r="BL660" s="13"/>
      <c r="BM660" s="20"/>
      <c r="BN660" s="21"/>
      <c r="BO660" s="13"/>
    </row>
    <row r="661">
      <c r="I661" s="24"/>
      <c r="J661" s="25"/>
      <c r="K661" s="13"/>
      <c r="BK661" s="26"/>
      <c r="BL661" s="13"/>
      <c r="BM661" s="20"/>
      <c r="BN661" s="21"/>
      <c r="BO661" s="13"/>
    </row>
    <row r="662">
      <c r="I662" s="24"/>
      <c r="J662" s="25"/>
      <c r="K662" s="13"/>
      <c r="BK662" s="26"/>
      <c r="BL662" s="13"/>
      <c r="BM662" s="20"/>
      <c r="BN662" s="21"/>
      <c r="BO662" s="13"/>
    </row>
    <row r="663">
      <c r="I663" s="24"/>
      <c r="J663" s="25"/>
      <c r="K663" s="13"/>
      <c r="BK663" s="26"/>
      <c r="BL663" s="13"/>
      <c r="BM663" s="20"/>
      <c r="BN663" s="21"/>
      <c r="BO663" s="13"/>
    </row>
    <row r="664">
      <c r="I664" s="24"/>
      <c r="J664" s="25"/>
      <c r="K664" s="13"/>
      <c r="BK664" s="26"/>
      <c r="BL664" s="13"/>
      <c r="BM664" s="20"/>
      <c r="BN664" s="21"/>
      <c r="BO664" s="13"/>
    </row>
    <row r="665">
      <c r="I665" s="24"/>
      <c r="J665" s="25"/>
      <c r="K665" s="13"/>
      <c r="BK665" s="26"/>
      <c r="BL665" s="13"/>
      <c r="BM665" s="20"/>
      <c r="BN665" s="21"/>
      <c r="BO665" s="13"/>
    </row>
    <row r="666">
      <c r="I666" s="24"/>
      <c r="J666" s="25"/>
      <c r="K666" s="13"/>
      <c r="BK666" s="26"/>
      <c r="BL666" s="13"/>
      <c r="BM666" s="20"/>
      <c r="BN666" s="21"/>
      <c r="BO666" s="13"/>
    </row>
    <row r="667">
      <c r="I667" s="24"/>
      <c r="J667" s="25"/>
      <c r="K667" s="13"/>
      <c r="BK667" s="26"/>
      <c r="BL667" s="13"/>
      <c r="BM667" s="20"/>
      <c r="BN667" s="21"/>
      <c r="BO667" s="13"/>
    </row>
    <row r="668">
      <c r="I668" s="24"/>
      <c r="J668" s="25"/>
      <c r="K668" s="13"/>
      <c r="BK668" s="26"/>
      <c r="BL668" s="13"/>
      <c r="BM668" s="20"/>
      <c r="BN668" s="21"/>
      <c r="BO668" s="13"/>
    </row>
    <row r="669">
      <c r="I669" s="24"/>
      <c r="J669" s="25"/>
      <c r="K669" s="13"/>
      <c r="BK669" s="26"/>
      <c r="BL669" s="13"/>
      <c r="BM669" s="20"/>
      <c r="BN669" s="21"/>
      <c r="BO669" s="13"/>
    </row>
    <row r="670">
      <c r="I670" s="24"/>
      <c r="J670" s="25"/>
      <c r="K670" s="13"/>
      <c r="BK670" s="26"/>
      <c r="BL670" s="13"/>
      <c r="BM670" s="20"/>
      <c r="BN670" s="21"/>
      <c r="BO670" s="13"/>
    </row>
    <row r="671">
      <c r="I671" s="24"/>
      <c r="J671" s="25"/>
      <c r="K671" s="13"/>
      <c r="BK671" s="26"/>
      <c r="BL671" s="13"/>
      <c r="BM671" s="20"/>
      <c r="BN671" s="21"/>
      <c r="BO671" s="13"/>
    </row>
    <row r="672">
      <c r="I672" s="24"/>
      <c r="J672" s="25"/>
      <c r="K672" s="13"/>
      <c r="BK672" s="26"/>
      <c r="BL672" s="13"/>
      <c r="BM672" s="20"/>
      <c r="BN672" s="21"/>
      <c r="BO672" s="13"/>
    </row>
    <row r="673">
      <c r="I673" s="24"/>
      <c r="J673" s="25"/>
      <c r="K673" s="13"/>
      <c r="BK673" s="26"/>
      <c r="BL673" s="13"/>
      <c r="BM673" s="20"/>
      <c r="BN673" s="21"/>
      <c r="BO673" s="13"/>
    </row>
    <row r="674">
      <c r="I674" s="24"/>
      <c r="J674" s="25"/>
      <c r="K674" s="13"/>
      <c r="BK674" s="26"/>
      <c r="BL674" s="13"/>
      <c r="BM674" s="20"/>
      <c r="BN674" s="21"/>
      <c r="BO674" s="13"/>
    </row>
    <row r="675">
      <c r="I675" s="24"/>
      <c r="J675" s="25"/>
      <c r="K675" s="13"/>
      <c r="BK675" s="26"/>
      <c r="BL675" s="13"/>
      <c r="BM675" s="20"/>
      <c r="BN675" s="21"/>
      <c r="BO675" s="13"/>
    </row>
    <row r="676">
      <c r="I676" s="24"/>
      <c r="J676" s="25"/>
      <c r="K676" s="13"/>
      <c r="BK676" s="26"/>
      <c r="BL676" s="13"/>
      <c r="BM676" s="20"/>
      <c r="BN676" s="21"/>
      <c r="BO676" s="13"/>
    </row>
    <row r="677">
      <c r="I677" s="24"/>
      <c r="J677" s="25"/>
      <c r="K677" s="13"/>
      <c r="BK677" s="26"/>
      <c r="BL677" s="13"/>
      <c r="BM677" s="20"/>
      <c r="BN677" s="21"/>
      <c r="BO677" s="13"/>
    </row>
    <row r="678">
      <c r="I678" s="24"/>
      <c r="J678" s="25"/>
      <c r="K678" s="13"/>
      <c r="BK678" s="26"/>
      <c r="BL678" s="13"/>
      <c r="BM678" s="20"/>
      <c r="BN678" s="21"/>
      <c r="BO678" s="13"/>
    </row>
    <row r="679">
      <c r="I679" s="24"/>
      <c r="J679" s="25"/>
      <c r="K679" s="13"/>
      <c r="BK679" s="26"/>
      <c r="BL679" s="13"/>
      <c r="BM679" s="20"/>
      <c r="BN679" s="21"/>
      <c r="BO679" s="13"/>
    </row>
    <row r="680">
      <c r="I680" s="24"/>
      <c r="J680" s="25"/>
      <c r="K680" s="13"/>
      <c r="BK680" s="26"/>
      <c r="BL680" s="13"/>
      <c r="BM680" s="20"/>
      <c r="BN680" s="21"/>
      <c r="BO680" s="13"/>
    </row>
    <row r="681">
      <c r="I681" s="24"/>
      <c r="J681" s="25"/>
      <c r="K681" s="13"/>
      <c r="BK681" s="26"/>
      <c r="BL681" s="13"/>
      <c r="BM681" s="20"/>
      <c r="BN681" s="21"/>
      <c r="BO681" s="13"/>
    </row>
    <row r="682">
      <c r="I682" s="24"/>
      <c r="J682" s="25"/>
      <c r="K682" s="13"/>
      <c r="BK682" s="26"/>
      <c r="BL682" s="13"/>
      <c r="BM682" s="20"/>
      <c r="BN682" s="21"/>
      <c r="BO682" s="13"/>
    </row>
    <row r="683">
      <c r="I683" s="24"/>
      <c r="J683" s="25"/>
      <c r="K683" s="13"/>
      <c r="BK683" s="26"/>
      <c r="BL683" s="13"/>
      <c r="BM683" s="20"/>
      <c r="BN683" s="21"/>
      <c r="BO683" s="13"/>
    </row>
    <row r="684">
      <c r="I684" s="24"/>
      <c r="J684" s="25"/>
      <c r="K684" s="13"/>
      <c r="BK684" s="26"/>
      <c r="BL684" s="13"/>
      <c r="BM684" s="20"/>
      <c r="BN684" s="21"/>
      <c r="BO684" s="13"/>
    </row>
    <row r="685">
      <c r="I685" s="24"/>
      <c r="J685" s="25"/>
      <c r="K685" s="13"/>
      <c r="BK685" s="26"/>
      <c r="BL685" s="13"/>
      <c r="BM685" s="20"/>
      <c r="BN685" s="21"/>
      <c r="BO685" s="13"/>
    </row>
    <row r="686">
      <c r="I686" s="24"/>
      <c r="J686" s="25"/>
      <c r="K686" s="13"/>
      <c r="BK686" s="26"/>
      <c r="BL686" s="13"/>
      <c r="BM686" s="20"/>
      <c r="BN686" s="21"/>
      <c r="BO686" s="13"/>
    </row>
    <row r="687">
      <c r="I687" s="24"/>
      <c r="J687" s="25"/>
      <c r="K687" s="13"/>
      <c r="BK687" s="26"/>
      <c r="BL687" s="13"/>
      <c r="BM687" s="20"/>
      <c r="BN687" s="21"/>
      <c r="BO687" s="13"/>
    </row>
    <row r="688">
      <c r="I688" s="24"/>
      <c r="J688" s="25"/>
      <c r="K688" s="13"/>
      <c r="BK688" s="26"/>
      <c r="BL688" s="13"/>
      <c r="BM688" s="20"/>
      <c r="BN688" s="21"/>
      <c r="BO688" s="13"/>
    </row>
    <row r="689">
      <c r="I689" s="24"/>
      <c r="J689" s="25"/>
      <c r="K689" s="13"/>
      <c r="BK689" s="26"/>
      <c r="BL689" s="13"/>
      <c r="BM689" s="20"/>
      <c r="BN689" s="21"/>
      <c r="BO689" s="13"/>
    </row>
    <row r="690">
      <c r="I690" s="24"/>
      <c r="J690" s="25"/>
      <c r="K690" s="13"/>
      <c r="BK690" s="26"/>
      <c r="BL690" s="13"/>
      <c r="BM690" s="20"/>
      <c r="BN690" s="21"/>
      <c r="BO690" s="13"/>
    </row>
    <row r="691">
      <c r="I691" s="24"/>
      <c r="J691" s="25"/>
      <c r="K691" s="13"/>
      <c r="BK691" s="26"/>
      <c r="BL691" s="13"/>
      <c r="BM691" s="20"/>
      <c r="BN691" s="21"/>
      <c r="BO691" s="13"/>
    </row>
    <row r="692">
      <c r="I692" s="24"/>
      <c r="J692" s="25"/>
      <c r="K692" s="13"/>
      <c r="BK692" s="26"/>
      <c r="BL692" s="13"/>
      <c r="BM692" s="20"/>
      <c r="BN692" s="21"/>
      <c r="BO692" s="13"/>
    </row>
    <row r="693">
      <c r="I693" s="24"/>
      <c r="J693" s="25"/>
      <c r="K693" s="13"/>
      <c r="BK693" s="26"/>
      <c r="BL693" s="13"/>
      <c r="BM693" s="20"/>
      <c r="BN693" s="21"/>
      <c r="BO693" s="13"/>
    </row>
    <row r="694">
      <c r="I694" s="24"/>
      <c r="J694" s="25"/>
      <c r="K694" s="13"/>
      <c r="BK694" s="26"/>
      <c r="BL694" s="13"/>
      <c r="BM694" s="20"/>
      <c r="BN694" s="21"/>
      <c r="BO694" s="13"/>
    </row>
    <row r="695">
      <c r="I695" s="24"/>
      <c r="J695" s="25"/>
      <c r="K695" s="13"/>
      <c r="BK695" s="26"/>
      <c r="BL695" s="13"/>
      <c r="BM695" s="20"/>
      <c r="BN695" s="21"/>
      <c r="BO695" s="13"/>
    </row>
    <row r="696">
      <c r="I696" s="24"/>
      <c r="J696" s="25"/>
      <c r="K696" s="13"/>
      <c r="BK696" s="26"/>
      <c r="BL696" s="13"/>
      <c r="BM696" s="20"/>
      <c r="BN696" s="21"/>
      <c r="BO696" s="13"/>
    </row>
    <row r="697">
      <c r="I697" s="24"/>
      <c r="J697" s="25"/>
      <c r="K697" s="13"/>
      <c r="BK697" s="26"/>
      <c r="BL697" s="13"/>
      <c r="BM697" s="20"/>
      <c r="BN697" s="21"/>
      <c r="BO697" s="13"/>
    </row>
    <row r="698">
      <c r="I698" s="24"/>
      <c r="J698" s="25"/>
      <c r="K698" s="13"/>
      <c r="BK698" s="26"/>
      <c r="BL698" s="13"/>
      <c r="BM698" s="20"/>
      <c r="BN698" s="21"/>
      <c r="BO698" s="13"/>
    </row>
    <row r="699">
      <c r="I699" s="24"/>
      <c r="J699" s="25"/>
      <c r="K699" s="13"/>
      <c r="BK699" s="26"/>
      <c r="BL699" s="13"/>
      <c r="BM699" s="20"/>
      <c r="BN699" s="21"/>
      <c r="BO699" s="13"/>
    </row>
    <row r="700">
      <c r="I700" s="24"/>
      <c r="J700" s="25"/>
      <c r="K700" s="13"/>
      <c r="BK700" s="26"/>
      <c r="BL700" s="13"/>
      <c r="BM700" s="20"/>
      <c r="BN700" s="21"/>
      <c r="BO700" s="13"/>
    </row>
    <row r="701">
      <c r="I701" s="24"/>
      <c r="J701" s="25"/>
      <c r="K701" s="13"/>
      <c r="BK701" s="26"/>
      <c r="BL701" s="13"/>
      <c r="BM701" s="20"/>
      <c r="BN701" s="21"/>
      <c r="BO701" s="13"/>
    </row>
    <row r="702">
      <c r="I702" s="24"/>
      <c r="J702" s="25"/>
      <c r="K702" s="13"/>
      <c r="BK702" s="26"/>
      <c r="BL702" s="13"/>
      <c r="BM702" s="20"/>
      <c r="BN702" s="21"/>
      <c r="BO702" s="13"/>
    </row>
    <row r="703">
      <c r="I703" s="24"/>
      <c r="J703" s="25"/>
      <c r="K703" s="13"/>
      <c r="BK703" s="26"/>
      <c r="BL703" s="13"/>
      <c r="BM703" s="20"/>
      <c r="BN703" s="21"/>
      <c r="BO703" s="13"/>
    </row>
    <row r="704">
      <c r="I704" s="24"/>
      <c r="J704" s="25"/>
      <c r="K704" s="13"/>
      <c r="BK704" s="26"/>
      <c r="BL704" s="13"/>
      <c r="BM704" s="20"/>
      <c r="BN704" s="21"/>
      <c r="BO704" s="13"/>
    </row>
    <row r="705">
      <c r="I705" s="24"/>
      <c r="J705" s="25"/>
      <c r="K705" s="13"/>
      <c r="BK705" s="26"/>
      <c r="BL705" s="13"/>
      <c r="BM705" s="20"/>
      <c r="BN705" s="21"/>
      <c r="BO705" s="13"/>
    </row>
    <row r="706">
      <c r="I706" s="24"/>
      <c r="J706" s="25"/>
      <c r="K706" s="13"/>
      <c r="BK706" s="26"/>
      <c r="BL706" s="13"/>
      <c r="BM706" s="20"/>
      <c r="BN706" s="21"/>
      <c r="BO706" s="13"/>
    </row>
    <row r="707">
      <c r="I707" s="24"/>
      <c r="J707" s="25"/>
      <c r="K707" s="13"/>
      <c r="BK707" s="26"/>
      <c r="BL707" s="13"/>
      <c r="BM707" s="20"/>
      <c r="BN707" s="21"/>
      <c r="BO707" s="13"/>
    </row>
    <row r="708">
      <c r="I708" s="24"/>
      <c r="J708" s="25"/>
      <c r="K708" s="13"/>
      <c r="BK708" s="26"/>
      <c r="BL708" s="13"/>
      <c r="BM708" s="20"/>
      <c r="BN708" s="21"/>
      <c r="BO708" s="13"/>
    </row>
    <row r="709">
      <c r="I709" s="24"/>
      <c r="J709" s="25"/>
      <c r="K709" s="13"/>
      <c r="BK709" s="26"/>
      <c r="BL709" s="13"/>
      <c r="BM709" s="20"/>
      <c r="BN709" s="21"/>
      <c r="BO709" s="13"/>
    </row>
    <row r="710">
      <c r="I710" s="24"/>
      <c r="J710" s="25"/>
      <c r="K710" s="13"/>
      <c r="BK710" s="26"/>
      <c r="BL710" s="13"/>
      <c r="BM710" s="20"/>
      <c r="BN710" s="21"/>
      <c r="BO710" s="13"/>
    </row>
    <row r="711">
      <c r="I711" s="24"/>
      <c r="J711" s="25"/>
      <c r="K711" s="13"/>
      <c r="BK711" s="26"/>
      <c r="BL711" s="13"/>
      <c r="BM711" s="20"/>
      <c r="BN711" s="21"/>
      <c r="BO711" s="13"/>
    </row>
    <row r="712">
      <c r="I712" s="24"/>
      <c r="J712" s="25"/>
      <c r="K712" s="13"/>
      <c r="BK712" s="26"/>
      <c r="BL712" s="13"/>
      <c r="BM712" s="20"/>
      <c r="BN712" s="21"/>
      <c r="BO712" s="13"/>
    </row>
    <row r="713">
      <c r="I713" s="24"/>
      <c r="J713" s="25"/>
      <c r="K713" s="13"/>
      <c r="BK713" s="26"/>
      <c r="BL713" s="13"/>
      <c r="BM713" s="20"/>
      <c r="BN713" s="21"/>
      <c r="BO713" s="13"/>
    </row>
    <row r="714">
      <c r="I714" s="24"/>
      <c r="J714" s="25"/>
      <c r="K714" s="13"/>
      <c r="BK714" s="26"/>
      <c r="BL714" s="13"/>
      <c r="BM714" s="20"/>
      <c r="BN714" s="21"/>
      <c r="BO714" s="13"/>
    </row>
    <row r="715">
      <c r="I715" s="24"/>
      <c r="J715" s="25"/>
      <c r="K715" s="13"/>
      <c r="BK715" s="26"/>
      <c r="BL715" s="13"/>
      <c r="BM715" s="20"/>
      <c r="BN715" s="21"/>
      <c r="BO715" s="13"/>
    </row>
    <row r="716">
      <c r="I716" s="24"/>
      <c r="J716" s="25"/>
      <c r="K716" s="13"/>
      <c r="BK716" s="26"/>
      <c r="BL716" s="13"/>
      <c r="BM716" s="20"/>
      <c r="BN716" s="21"/>
      <c r="BO716" s="13"/>
    </row>
    <row r="717">
      <c r="I717" s="24"/>
      <c r="J717" s="25"/>
      <c r="K717" s="13"/>
      <c r="BK717" s="26"/>
      <c r="BL717" s="13"/>
      <c r="BM717" s="20"/>
      <c r="BN717" s="21"/>
      <c r="BO717" s="13"/>
    </row>
    <row r="718">
      <c r="I718" s="24"/>
      <c r="J718" s="25"/>
      <c r="K718" s="13"/>
      <c r="BK718" s="26"/>
      <c r="BL718" s="13"/>
      <c r="BM718" s="20"/>
      <c r="BN718" s="21"/>
      <c r="BO718" s="13"/>
    </row>
    <row r="719">
      <c r="I719" s="24"/>
      <c r="J719" s="25"/>
      <c r="K719" s="13"/>
      <c r="BK719" s="26"/>
      <c r="BL719" s="13"/>
      <c r="BM719" s="20"/>
      <c r="BN719" s="21"/>
      <c r="BO719" s="13"/>
    </row>
    <row r="720">
      <c r="I720" s="24"/>
      <c r="J720" s="25"/>
      <c r="K720" s="13"/>
      <c r="BK720" s="26"/>
      <c r="BL720" s="13"/>
      <c r="BM720" s="20"/>
      <c r="BN720" s="21"/>
      <c r="BO720" s="13"/>
    </row>
    <row r="721">
      <c r="I721" s="24"/>
      <c r="J721" s="25"/>
      <c r="K721" s="13"/>
      <c r="BK721" s="26"/>
      <c r="BL721" s="13"/>
      <c r="BM721" s="20"/>
      <c r="BN721" s="21"/>
      <c r="BO721" s="13"/>
    </row>
    <row r="722">
      <c r="I722" s="24"/>
      <c r="J722" s="25"/>
      <c r="K722" s="13"/>
      <c r="BK722" s="26"/>
      <c r="BL722" s="13"/>
      <c r="BM722" s="20"/>
      <c r="BN722" s="21"/>
      <c r="BO722" s="13"/>
    </row>
    <row r="723">
      <c r="I723" s="24"/>
      <c r="J723" s="25"/>
      <c r="K723" s="13"/>
      <c r="BK723" s="26"/>
      <c r="BL723" s="13"/>
      <c r="BM723" s="20"/>
      <c r="BN723" s="21"/>
      <c r="BO723" s="13"/>
    </row>
    <row r="724">
      <c r="I724" s="24"/>
      <c r="J724" s="25"/>
      <c r="K724" s="13"/>
      <c r="BK724" s="26"/>
      <c r="BL724" s="13"/>
      <c r="BM724" s="20"/>
      <c r="BN724" s="21"/>
      <c r="BO724" s="13"/>
    </row>
    <row r="725">
      <c r="I725" s="24"/>
      <c r="J725" s="25"/>
      <c r="K725" s="13"/>
      <c r="BK725" s="26"/>
      <c r="BL725" s="13"/>
      <c r="BM725" s="20"/>
      <c r="BN725" s="21"/>
      <c r="BO725" s="13"/>
    </row>
    <row r="726">
      <c r="I726" s="24"/>
      <c r="J726" s="25"/>
      <c r="K726" s="13"/>
      <c r="BK726" s="26"/>
      <c r="BL726" s="13"/>
      <c r="BM726" s="20"/>
      <c r="BN726" s="21"/>
      <c r="BO726" s="13"/>
    </row>
    <row r="727">
      <c r="I727" s="24"/>
      <c r="J727" s="25"/>
      <c r="K727" s="13"/>
      <c r="BK727" s="26"/>
      <c r="BL727" s="13"/>
      <c r="BM727" s="20"/>
      <c r="BN727" s="21"/>
      <c r="BO727" s="13"/>
    </row>
    <row r="728">
      <c r="I728" s="24"/>
      <c r="J728" s="25"/>
      <c r="K728" s="13"/>
      <c r="BK728" s="26"/>
      <c r="BL728" s="13"/>
      <c r="BM728" s="20"/>
      <c r="BN728" s="21"/>
      <c r="BO728" s="13"/>
    </row>
    <row r="729">
      <c r="I729" s="24"/>
      <c r="J729" s="25"/>
      <c r="K729" s="13"/>
      <c r="BK729" s="26"/>
      <c r="BL729" s="13"/>
      <c r="BM729" s="20"/>
      <c r="BN729" s="21"/>
      <c r="BO729" s="13"/>
    </row>
    <row r="730">
      <c r="I730" s="24"/>
      <c r="J730" s="25"/>
      <c r="K730" s="13"/>
      <c r="BK730" s="26"/>
      <c r="BL730" s="13"/>
      <c r="BM730" s="20"/>
      <c r="BN730" s="21"/>
      <c r="BO730" s="13"/>
    </row>
    <row r="731">
      <c r="I731" s="24"/>
      <c r="J731" s="25"/>
      <c r="K731" s="13"/>
      <c r="BK731" s="26"/>
      <c r="BL731" s="13"/>
      <c r="BM731" s="20"/>
      <c r="BN731" s="21"/>
      <c r="BO731" s="13"/>
    </row>
    <row r="732">
      <c r="I732" s="24"/>
      <c r="J732" s="25"/>
      <c r="K732" s="13"/>
      <c r="BK732" s="26"/>
      <c r="BL732" s="13"/>
      <c r="BM732" s="20"/>
      <c r="BN732" s="21"/>
      <c r="BO732" s="13"/>
    </row>
    <row r="733">
      <c r="I733" s="24"/>
      <c r="J733" s="25"/>
      <c r="K733" s="13"/>
      <c r="BK733" s="26"/>
      <c r="BL733" s="13"/>
      <c r="BM733" s="20"/>
      <c r="BN733" s="21"/>
      <c r="BO733" s="13"/>
    </row>
    <row r="734">
      <c r="I734" s="24"/>
      <c r="J734" s="25"/>
      <c r="K734" s="13"/>
      <c r="BK734" s="26"/>
      <c r="BL734" s="13"/>
      <c r="BM734" s="20"/>
      <c r="BN734" s="21"/>
      <c r="BO734" s="13"/>
    </row>
    <row r="735">
      <c r="I735" s="24"/>
      <c r="J735" s="25"/>
      <c r="K735" s="13"/>
      <c r="BK735" s="26"/>
      <c r="BL735" s="13"/>
      <c r="BM735" s="20"/>
      <c r="BN735" s="21"/>
      <c r="BO735" s="13"/>
    </row>
    <row r="736">
      <c r="I736" s="24"/>
      <c r="J736" s="25"/>
      <c r="K736" s="13"/>
      <c r="BK736" s="26"/>
      <c r="BL736" s="13"/>
      <c r="BM736" s="20"/>
      <c r="BN736" s="21"/>
      <c r="BO736" s="13"/>
    </row>
    <row r="737">
      <c r="I737" s="24"/>
      <c r="J737" s="25"/>
      <c r="K737" s="13"/>
      <c r="BK737" s="26"/>
      <c r="BL737" s="13"/>
      <c r="BM737" s="20"/>
      <c r="BN737" s="21"/>
      <c r="BO737" s="13"/>
    </row>
    <row r="738">
      <c r="I738" s="24"/>
      <c r="J738" s="25"/>
      <c r="K738" s="13"/>
      <c r="BK738" s="26"/>
      <c r="BL738" s="13"/>
      <c r="BM738" s="20"/>
      <c r="BN738" s="21"/>
      <c r="BO738" s="13"/>
    </row>
    <row r="739">
      <c r="I739" s="24"/>
      <c r="J739" s="25"/>
      <c r="K739" s="13"/>
      <c r="BK739" s="26"/>
      <c r="BL739" s="13"/>
      <c r="BM739" s="20"/>
      <c r="BN739" s="21"/>
      <c r="BO739" s="13"/>
    </row>
    <row r="740">
      <c r="I740" s="24"/>
      <c r="J740" s="25"/>
      <c r="K740" s="13"/>
      <c r="BK740" s="26"/>
      <c r="BL740" s="13"/>
      <c r="BM740" s="20"/>
      <c r="BN740" s="21"/>
      <c r="BO740" s="13"/>
    </row>
    <row r="741">
      <c r="I741" s="24"/>
      <c r="J741" s="25"/>
      <c r="K741" s="13"/>
      <c r="BK741" s="26"/>
      <c r="BL741" s="13"/>
      <c r="BM741" s="20"/>
      <c r="BN741" s="21"/>
      <c r="BO741" s="13"/>
    </row>
    <row r="742">
      <c r="I742" s="24"/>
      <c r="J742" s="25"/>
      <c r="K742" s="13"/>
      <c r="BK742" s="26"/>
      <c r="BL742" s="13"/>
      <c r="BM742" s="20"/>
      <c r="BN742" s="21"/>
      <c r="BO742" s="13"/>
    </row>
    <row r="743">
      <c r="I743" s="24"/>
      <c r="J743" s="25"/>
      <c r="K743" s="13"/>
      <c r="BK743" s="26"/>
      <c r="BL743" s="13"/>
      <c r="BM743" s="20"/>
      <c r="BN743" s="21"/>
      <c r="BO743" s="13"/>
    </row>
    <row r="744">
      <c r="I744" s="24"/>
      <c r="J744" s="25"/>
      <c r="K744" s="13"/>
      <c r="BK744" s="26"/>
      <c r="BL744" s="13"/>
      <c r="BM744" s="20"/>
      <c r="BN744" s="21"/>
      <c r="BO744" s="13"/>
    </row>
    <row r="745">
      <c r="I745" s="24"/>
      <c r="J745" s="25"/>
      <c r="K745" s="13"/>
      <c r="BK745" s="26"/>
      <c r="BL745" s="13"/>
      <c r="BM745" s="20"/>
      <c r="BN745" s="21"/>
      <c r="BO745" s="13"/>
    </row>
    <row r="746">
      <c r="I746" s="24"/>
      <c r="J746" s="25"/>
      <c r="K746" s="13"/>
      <c r="BK746" s="26"/>
      <c r="BL746" s="13"/>
      <c r="BM746" s="20"/>
      <c r="BN746" s="21"/>
      <c r="BO746" s="13"/>
    </row>
    <row r="747">
      <c r="I747" s="24"/>
      <c r="J747" s="25"/>
      <c r="K747" s="13"/>
      <c r="BK747" s="26"/>
      <c r="BL747" s="13"/>
      <c r="BM747" s="20"/>
      <c r="BN747" s="21"/>
      <c r="BO747" s="13"/>
    </row>
    <row r="748">
      <c r="I748" s="24"/>
      <c r="J748" s="25"/>
      <c r="K748" s="13"/>
      <c r="BK748" s="26"/>
      <c r="BL748" s="13"/>
      <c r="BM748" s="20"/>
      <c r="BN748" s="21"/>
      <c r="BO748" s="13"/>
    </row>
    <row r="749">
      <c r="I749" s="24"/>
      <c r="J749" s="25"/>
      <c r="K749" s="13"/>
      <c r="BK749" s="26"/>
      <c r="BL749" s="13"/>
      <c r="BM749" s="20"/>
      <c r="BN749" s="21"/>
      <c r="BO749" s="13"/>
    </row>
    <row r="750">
      <c r="I750" s="24"/>
      <c r="J750" s="25"/>
      <c r="K750" s="13"/>
      <c r="BK750" s="26"/>
      <c r="BL750" s="13"/>
      <c r="BM750" s="20"/>
      <c r="BN750" s="21"/>
      <c r="BO750" s="13"/>
    </row>
    <row r="751">
      <c r="I751" s="24"/>
      <c r="J751" s="25"/>
      <c r="K751" s="13"/>
      <c r="BK751" s="26"/>
      <c r="BL751" s="13"/>
      <c r="BM751" s="20"/>
      <c r="BN751" s="21"/>
      <c r="BO751" s="13"/>
    </row>
    <row r="752">
      <c r="I752" s="24"/>
      <c r="J752" s="25"/>
      <c r="K752" s="13"/>
      <c r="BK752" s="26"/>
      <c r="BL752" s="13"/>
      <c r="BM752" s="20"/>
      <c r="BN752" s="21"/>
      <c r="BO752" s="13"/>
    </row>
    <row r="753">
      <c r="I753" s="24"/>
      <c r="J753" s="25"/>
      <c r="K753" s="13"/>
      <c r="BK753" s="26"/>
      <c r="BL753" s="13"/>
      <c r="BM753" s="20"/>
      <c r="BN753" s="21"/>
      <c r="BO753" s="13"/>
    </row>
    <row r="754">
      <c r="I754" s="24"/>
      <c r="J754" s="25"/>
      <c r="K754" s="13"/>
      <c r="BK754" s="26"/>
      <c r="BL754" s="13"/>
      <c r="BM754" s="20"/>
      <c r="BN754" s="21"/>
      <c r="BO754" s="13"/>
    </row>
    <row r="755">
      <c r="I755" s="24"/>
      <c r="J755" s="25"/>
      <c r="K755" s="13"/>
      <c r="BK755" s="26"/>
      <c r="BL755" s="13"/>
      <c r="BM755" s="20"/>
      <c r="BN755" s="21"/>
      <c r="BO755" s="13"/>
    </row>
    <row r="756">
      <c r="I756" s="24"/>
      <c r="J756" s="25"/>
      <c r="K756" s="13"/>
      <c r="BK756" s="26"/>
      <c r="BL756" s="13"/>
      <c r="BM756" s="20"/>
      <c r="BN756" s="21"/>
      <c r="BO756" s="13"/>
    </row>
    <row r="757">
      <c r="I757" s="24"/>
      <c r="J757" s="25"/>
      <c r="K757" s="13"/>
      <c r="BK757" s="26"/>
      <c r="BL757" s="13"/>
      <c r="BM757" s="20"/>
      <c r="BN757" s="21"/>
      <c r="BO757" s="13"/>
    </row>
    <row r="758">
      <c r="I758" s="24"/>
      <c r="J758" s="25"/>
      <c r="K758" s="13"/>
      <c r="BK758" s="26"/>
      <c r="BL758" s="13"/>
      <c r="BM758" s="20"/>
      <c r="BN758" s="21"/>
      <c r="BO758" s="13"/>
    </row>
    <row r="759">
      <c r="I759" s="24"/>
      <c r="J759" s="25"/>
      <c r="K759" s="13"/>
      <c r="BK759" s="26"/>
      <c r="BL759" s="13"/>
      <c r="BM759" s="20"/>
      <c r="BN759" s="21"/>
      <c r="BO759" s="13"/>
    </row>
    <row r="760">
      <c r="I760" s="24"/>
      <c r="J760" s="25"/>
      <c r="K760" s="13"/>
      <c r="BK760" s="26"/>
      <c r="BL760" s="13"/>
      <c r="BM760" s="20"/>
      <c r="BN760" s="21"/>
      <c r="BO760" s="13"/>
    </row>
    <row r="761">
      <c r="I761" s="24"/>
      <c r="J761" s="25"/>
      <c r="K761" s="13"/>
      <c r="BK761" s="26"/>
      <c r="BL761" s="13"/>
      <c r="BM761" s="20"/>
      <c r="BN761" s="21"/>
      <c r="BO761" s="13"/>
    </row>
    <row r="762">
      <c r="I762" s="24"/>
      <c r="J762" s="25"/>
      <c r="K762" s="13"/>
      <c r="BK762" s="26"/>
      <c r="BL762" s="13"/>
      <c r="BM762" s="20"/>
      <c r="BN762" s="21"/>
      <c r="BO762" s="13"/>
    </row>
    <row r="763">
      <c r="I763" s="24"/>
      <c r="J763" s="25"/>
      <c r="K763" s="13"/>
      <c r="BK763" s="26"/>
      <c r="BL763" s="13"/>
      <c r="BM763" s="20"/>
      <c r="BN763" s="21"/>
      <c r="BO763" s="13"/>
    </row>
    <row r="764">
      <c r="I764" s="24"/>
      <c r="J764" s="25"/>
      <c r="K764" s="13"/>
      <c r="BK764" s="26"/>
      <c r="BL764" s="13"/>
      <c r="BM764" s="20"/>
      <c r="BN764" s="21"/>
      <c r="BO764" s="13"/>
    </row>
    <row r="765">
      <c r="I765" s="24"/>
      <c r="J765" s="25"/>
      <c r="K765" s="13"/>
      <c r="BK765" s="26"/>
      <c r="BL765" s="13"/>
      <c r="BM765" s="20"/>
      <c r="BN765" s="21"/>
      <c r="BO765" s="13"/>
    </row>
    <row r="766">
      <c r="I766" s="24"/>
      <c r="J766" s="25"/>
      <c r="K766" s="13"/>
      <c r="BK766" s="26"/>
      <c r="BL766" s="13"/>
      <c r="BM766" s="20"/>
      <c r="BN766" s="21"/>
      <c r="BO766" s="13"/>
    </row>
    <row r="767">
      <c r="I767" s="24"/>
      <c r="J767" s="25"/>
      <c r="K767" s="13"/>
      <c r="BK767" s="26"/>
      <c r="BL767" s="13"/>
      <c r="BM767" s="20"/>
      <c r="BN767" s="21"/>
      <c r="BO767" s="13"/>
    </row>
    <row r="768">
      <c r="I768" s="24"/>
      <c r="J768" s="25"/>
      <c r="K768" s="13"/>
      <c r="BK768" s="26"/>
      <c r="BL768" s="13"/>
      <c r="BM768" s="20"/>
      <c r="BN768" s="21"/>
      <c r="BO768" s="13"/>
    </row>
    <row r="769">
      <c r="I769" s="24"/>
      <c r="J769" s="25"/>
      <c r="K769" s="13"/>
      <c r="BK769" s="26"/>
      <c r="BL769" s="13"/>
      <c r="BM769" s="20"/>
      <c r="BN769" s="21"/>
      <c r="BO769" s="13"/>
    </row>
    <row r="770">
      <c r="I770" s="24"/>
      <c r="J770" s="25"/>
      <c r="K770" s="13"/>
      <c r="BK770" s="26"/>
      <c r="BL770" s="13"/>
      <c r="BM770" s="20"/>
      <c r="BN770" s="21"/>
      <c r="BO770" s="13"/>
    </row>
    <row r="771">
      <c r="I771" s="24"/>
      <c r="J771" s="25"/>
      <c r="K771" s="13"/>
      <c r="BK771" s="26"/>
      <c r="BL771" s="13"/>
      <c r="BM771" s="20"/>
      <c r="BN771" s="21"/>
      <c r="BO771" s="13"/>
    </row>
    <row r="772">
      <c r="I772" s="24"/>
      <c r="J772" s="25"/>
      <c r="K772" s="13"/>
      <c r="BK772" s="26"/>
      <c r="BL772" s="13"/>
      <c r="BM772" s="20"/>
      <c r="BN772" s="21"/>
      <c r="BO772" s="13"/>
    </row>
    <row r="773">
      <c r="I773" s="24"/>
      <c r="J773" s="25"/>
      <c r="K773" s="13"/>
      <c r="BK773" s="26"/>
      <c r="BL773" s="13"/>
      <c r="BM773" s="20"/>
      <c r="BN773" s="21"/>
      <c r="BO773" s="13"/>
    </row>
    <row r="774">
      <c r="I774" s="24"/>
      <c r="J774" s="25"/>
      <c r="K774" s="13"/>
      <c r="BK774" s="26"/>
      <c r="BL774" s="13"/>
      <c r="BM774" s="20"/>
      <c r="BN774" s="21"/>
      <c r="BO774" s="13"/>
    </row>
    <row r="775">
      <c r="I775" s="24"/>
      <c r="J775" s="25"/>
      <c r="K775" s="13"/>
      <c r="BK775" s="26"/>
      <c r="BL775" s="13"/>
      <c r="BM775" s="20"/>
      <c r="BN775" s="21"/>
      <c r="BO775" s="13"/>
    </row>
    <row r="776">
      <c r="I776" s="24"/>
      <c r="J776" s="25"/>
      <c r="K776" s="13"/>
      <c r="BK776" s="26"/>
      <c r="BL776" s="13"/>
      <c r="BM776" s="20"/>
      <c r="BN776" s="21"/>
      <c r="BO776" s="13"/>
    </row>
    <row r="777">
      <c r="I777" s="24"/>
      <c r="J777" s="25"/>
      <c r="K777" s="13"/>
      <c r="BK777" s="26"/>
      <c r="BL777" s="13"/>
      <c r="BM777" s="20"/>
      <c r="BN777" s="21"/>
      <c r="BO777" s="13"/>
    </row>
    <row r="778">
      <c r="I778" s="24"/>
      <c r="J778" s="25"/>
      <c r="K778" s="13"/>
      <c r="BK778" s="26"/>
      <c r="BL778" s="13"/>
      <c r="BM778" s="20"/>
      <c r="BN778" s="21"/>
      <c r="BO778" s="13"/>
    </row>
    <row r="779">
      <c r="I779" s="24"/>
      <c r="J779" s="25"/>
      <c r="K779" s="13"/>
      <c r="BK779" s="26"/>
      <c r="BL779" s="13"/>
      <c r="BM779" s="20"/>
      <c r="BN779" s="21"/>
      <c r="BO779" s="13"/>
    </row>
    <row r="780">
      <c r="I780" s="24"/>
      <c r="J780" s="25"/>
      <c r="K780" s="13"/>
      <c r="BK780" s="26"/>
      <c r="BL780" s="13"/>
      <c r="BM780" s="20"/>
      <c r="BN780" s="21"/>
      <c r="BO780" s="13"/>
    </row>
    <row r="781">
      <c r="I781" s="24"/>
      <c r="J781" s="25"/>
      <c r="K781" s="13"/>
      <c r="BK781" s="26"/>
      <c r="BL781" s="13"/>
      <c r="BM781" s="20"/>
      <c r="BN781" s="21"/>
      <c r="BO781" s="13"/>
    </row>
    <row r="782">
      <c r="I782" s="24"/>
      <c r="J782" s="25"/>
      <c r="K782" s="13"/>
      <c r="BK782" s="26"/>
      <c r="BL782" s="13"/>
      <c r="BM782" s="20"/>
      <c r="BN782" s="21"/>
      <c r="BO782" s="13"/>
    </row>
    <row r="783">
      <c r="I783" s="24"/>
      <c r="J783" s="25"/>
      <c r="K783" s="13"/>
      <c r="BK783" s="26"/>
      <c r="BL783" s="13"/>
      <c r="BM783" s="20"/>
      <c r="BN783" s="21"/>
      <c r="BO783" s="13"/>
    </row>
    <row r="784">
      <c r="I784" s="24"/>
      <c r="J784" s="25"/>
      <c r="K784" s="13"/>
      <c r="BK784" s="26"/>
      <c r="BL784" s="13"/>
      <c r="BM784" s="20"/>
      <c r="BN784" s="21"/>
      <c r="BO784" s="13"/>
    </row>
    <row r="785">
      <c r="I785" s="24"/>
      <c r="J785" s="25"/>
      <c r="K785" s="13"/>
      <c r="BK785" s="26"/>
      <c r="BL785" s="13"/>
      <c r="BM785" s="20"/>
      <c r="BN785" s="21"/>
      <c r="BO785" s="13"/>
    </row>
    <row r="786">
      <c r="I786" s="24"/>
      <c r="J786" s="25"/>
      <c r="K786" s="13"/>
      <c r="BK786" s="26"/>
      <c r="BL786" s="13"/>
      <c r="BM786" s="20"/>
      <c r="BN786" s="21"/>
      <c r="BO786" s="13"/>
    </row>
    <row r="787">
      <c r="I787" s="24"/>
      <c r="J787" s="25"/>
      <c r="K787" s="13"/>
      <c r="BK787" s="26"/>
      <c r="BL787" s="13"/>
      <c r="BM787" s="20"/>
      <c r="BN787" s="21"/>
      <c r="BO787" s="13"/>
    </row>
    <row r="788">
      <c r="I788" s="24"/>
      <c r="J788" s="25"/>
      <c r="K788" s="13"/>
      <c r="BK788" s="26"/>
      <c r="BL788" s="13"/>
      <c r="BM788" s="20"/>
      <c r="BN788" s="21"/>
      <c r="BO788" s="13"/>
    </row>
    <row r="789">
      <c r="I789" s="24"/>
      <c r="J789" s="25"/>
      <c r="K789" s="13"/>
      <c r="BK789" s="26"/>
      <c r="BL789" s="13"/>
      <c r="BM789" s="20"/>
      <c r="BN789" s="21"/>
      <c r="BO789" s="13"/>
    </row>
    <row r="790">
      <c r="I790" s="24"/>
      <c r="J790" s="25"/>
      <c r="K790" s="13"/>
      <c r="BK790" s="26"/>
      <c r="BL790" s="13"/>
      <c r="BM790" s="20"/>
      <c r="BN790" s="21"/>
      <c r="BO790" s="13"/>
    </row>
    <row r="791">
      <c r="I791" s="24"/>
      <c r="J791" s="25"/>
      <c r="K791" s="13"/>
      <c r="BK791" s="26"/>
      <c r="BL791" s="13"/>
      <c r="BM791" s="20"/>
      <c r="BN791" s="21"/>
      <c r="BO791" s="13"/>
    </row>
    <row r="792">
      <c r="I792" s="24"/>
      <c r="J792" s="25"/>
      <c r="K792" s="13"/>
      <c r="BK792" s="26"/>
      <c r="BL792" s="13"/>
      <c r="BM792" s="20"/>
      <c r="BN792" s="21"/>
      <c r="BO792" s="13"/>
    </row>
    <row r="793">
      <c r="I793" s="24"/>
      <c r="J793" s="25"/>
      <c r="K793" s="13"/>
      <c r="BK793" s="26"/>
      <c r="BL793" s="13"/>
      <c r="BM793" s="20"/>
      <c r="BN793" s="21"/>
      <c r="BO793" s="13"/>
    </row>
    <row r="794">
      <c r="I794" s="24"/>
      <c r="J794" s="25"/>
      <c r="K794" s="13"/>
      <c r="BK794" s="26"/>
      <c r="BL794" s="13"/>
      <c r="BM794" s="20"/>
      <c r="BN794" s="21"/>
      <c r="BO794" s="13"/>
    </row>
    <row r="795">
      <c r="I795" s="24"/>
      <c r="J795" s="25"/>
      <c r="K795" s="13"/>
      <c r="BK795" s="26"/>
      <c r="BL795" s="13"/>
      <c r="BM795" s="20"/>
      <c r="BN795" s="21"/>
      <c r="BO795" s="13"/>
    </row>
    <row r="796">
      <c r="I796" s="24"/>
      <c r="J796" s="25"/>
      <c r="K796" s="13"/>
      <c r="BK796" s="26"/>
      <c r="BL796" s="13"/>
      <c r="BM796" s="20"/>
      <c r="BN796" s="21"/>
      <c r="BO796" s="13"/>
    </row>
    <row r="797">
      <c r="I797" s="24"/>
      <c r="J797" s="25"/>
      <c r="K797" s="13"/>
      <c r="BK797" s="26"/>
      <c r="BL797" s="13"/>
      <c r="BM797" s="20"/>
      <c r="BN797" s="21"/>
      <c r="BO797" s="13"/>
    </row>
    <row r="798">
      <c r="I798" s="24"/>
      <c r="J798" s="25"/>
      <c r="K798" s="13"/>
      <c r="BK798" s="26"/>
      <c r="BL798" s="13"/>
      <c r="BM798" s="20"/>
      <c r="BN798" s="21"/>
      <c r="BO798" s="13"/>
    </row>
    <row r="799">
      <c r="I799" s="24"/>
      <c r="J799" s="25"/>
      <c r="K799" s="13"/>
      <c r="BK799" s="26"/>
      <c r="BL799" s="13"/>
      <c r="BM799" s="20"/>
      <c r="BN799" s="21"/>
      <c r="BO799" s="13"/>
    </row>
    <row r="800">
      <c r="I800" s="24"/>
      <c r="J800" s="25"/>
      <c r="K800" s="13"/>
      <c r="BK800" s="26"/>
      <c r="BL800" s="13"/>
      <c r="BM800" s="20"/>
      <c r="BN800" s="21"/>
      <c r="BO800" s="13"/>
    </row>
    <row r="801">
      <c r="I801" s="24"/>
      <c r="J801" s="25"/>
      <c r="K801" s="13"/>
      <c r="BK801" s="26"/>
      <c r="BL801" s="13"/>
      <c r="BM801" s="20"/>
      <c r="BN801" s="21"/>
      <c r="BO801" s="13"/>
    </row>
    <row r="802">
      <c r="I802" s="24"/>
      <c r="J802" s="25"/>
      <c r="K802" s="13"/>
      <c r="BK802" s="26"/>
      <c r="BL802" s="13"/>
      <c r="BM802" s="20"/>
      <c r="BN802" s="21"/>
      <c r="BO802" s="13"/>
    </row>
    <row r="803">
      <c r="I803" s="24"/>
      <c r="J803" s="25"/>
      <c r="K803" s="13"/>
      <c r="BK803" s="26"/>
      <c r="BL803" s="13"/>
      <c r="BM803" s="20"/>
      <c r="BN803" s="21"/>
      <c r="BO803" s="13"/>
    </row>
    <row r="804">
      <c r="I804" s="24"/>
      <c r="J804" s="25"/>
      <c r="K804" s="13"/>
      <c r="BK804" s="26"/>
      <c r="BL804" s="13"/>
      <c r="BM804" s="20"/>
      <c r="BN804" s="21"/>
      <c r="BO804" s="13"/>
    </row>
    <row r="805">
      <c r="I805" s="24"/>
      <c r="J805" s="25"/>
      <c r="K805" s="13"/>
      <c r="BK805" s="26"/>
      <c r="BL805" s="13"/>
      <c r="BM805" s="20"/>
      <c r="BN805" s="21"/>
      <c r="BO805" s="13"/>
    </row>
    <row r="806">
      <c r="I806" s="24"/>
      <c r="J806" s="25"/>
      <c r="K806" s="13"/>
      <c r="BK806" s="26"/>
      <c r="BL806" s="13"/>
      <c r="BM806" s="20"/>
      <c r="BN806" s="21"/>
      <c r="BO806" s="13"/>
    </row>
    <row r="807">
      <c r="I807" s="24"/>
      <c r="J807" s="25"/>
      <c r="K807" s="13"/>
      <c r="BK807" s="26"/>
      <c r="BL807" s="13"/>
      <c r="BM807" s="20"/>
      <c r="BN807" s="21"/>
      <c r="BO807" s="13"/>
    </row>
    <row r="808">
      <c r="I808" s="24"/>
      <c r="J808" s="25"/>
      <c r="K808" s="13"/>
      <c r="BK808" s="26"/>
      <c r="BL808" s="13"/>
      <c r="BM808" s="20"/>
      <c r="BN808" s="21"/>
      <c r="BO808" s="13"/>
    </row>
    <row r="809">
      <c r="I809" s="24"/>
      <c r="J809" s="25"/>
      <c r="K809" s="13"/>
      <c r="BK809" s="26"/>
      <c r="BL809" s="13"/>
      <c r="BM809" s="20"/>
      <c r="BN809" s="21"/>
      <c r="BO809" s="13"/>
    </row>
    <row r="810">
      <c r="I810" s="24"/>
      <c r="J810" s="25"/>
      <c r="K810" s="13"/>
      <c r="BK810" s="26"/>
      <c r="BL810" s="13"/>
      <c r="BM810" s="20"/>
      <c r="BN810" s="21"/>
      <c r="BO810" s="13"/>
    </row>
    <row r="811">
      <c r="I811" s="24"/>
      <c r="J811" s="25"/>
      <c r="K811" s="13"/>
      <c r="BK811" s="26"/>
      <c r="BL811" s="13"/>
      <c r="BM811" s="20"/>
      <c r="BN811" s="21"/>
      <c r="BO811" s="13"/>
    </row>
    <row r="812">
      <c r="I812" s="24"/>
      <c r="J812" s="25"/>
      <c r="K812" s="13"/>
      <c r="BK812" s="26"/>
      <c r="BL812" s="13"/>
      <c r="BM812" s="20"/>
      <c r="BN812" s="21"/>
      <c r="BO812" s="13"/>
    </row>
    <row r="813">
      <c r="I813" s="24"/>
      <c r="J813" s="25"/>
      <c r="K813" s="13"/>
      <c r="BK813" s="26"/>
      <c r="BL813" s="13"/>
      <c r="BM813" s="20"/>
      <c r="BN813" s="21"/>
      <c r="BO813" s="13"/>
    </row>
    <row r="814">
      <c r="I814" s="24"/>
      <c r="J814" s="25"/>
      <c r="K814" s="13"/>
      <c r="BK814" s="26"/>
      <c r="BL814" s="13"/>
      <c r="BM814" s="20"/>
      <c r="BN814" s="21"/>
      <c r="BO814" s="13"/>
    </row>
    <row r="815">
      <c r="I815" s="24"/>
      <c r="J815" s="25"/>
      <c r="K815" s="13"/>
      <c r="BK815" s="26"/>
      <c r="BL815" s="13"/>
      <c r="BM815" s="20"/>
      <c r="BN815" s="21"/>
      <c r="BO815" s="13"/>
    </row>
    <row r="816">
      <c r="I816" s="24"/>
      <c r="J816" s="25"/>
      <c r="K816" s="13"/>
      <c r="BK816" s="26"/>
      <c r="BL816" s="13"/>
      <c r="BM816" s="20"/>
      <c r="BN816" s="21"/>
      <c r="BO816" s="13"/>
    </row>
    <row r="817">
      <c r="I817" s="24"/>
      <c r="J817" s="25"/>
      <c r="K817" s="13"/>
      <c r="BK817" s="26"/>
      <c r="BL817" s="13"/>
      <c r="BM817" s="20"/>
      <c r="BN817" s="21"/>
      <c r="BO817" s="13"/>
    </row>
    <row r="818">
      <c r="I818" s="24"/>
      <c r="J818" s="25"/>
      <c r="K818" s="13"/>
      <c r="BK818" s="26"/>
      <c r="BL818" s="13"/>
      <c r="BM818" s="20"/>
      <c r="BN818" s="21"/>
      <c r="BO818" s="13"/>
    </row>
    <row r="819">
      <c r="I819" s="24"/>
      <c r="J819" s="25"/>
      <c r="K819" s="13"/>
      <c r="BK819" s="26"/>
      <c r="BL819" s="13"/>
      <c r="BM819" s="20"/>
      <c r="BN819" s="21"/>
      <c r="BO819" s="13"/>
    </row>
    <row r="820">
      <c r="I820" s="24"/>
      <c r="J820" s="25"/>
      <c r="K820" s="13"/>
      <c r="BK820" s="26"/>
      <c r="BL820" s="13"/>
      <c r="BM820" s="20"/>
      <c r="BN820" s="21"/>
      <c r="BO820" s="13"/>
    </row>
    <row r="821">
      <c r="I821" s="24"/>
      <c r="J821" s="25"/>
      <c r="K821" s="13"/>
      <c r="BK821" s="26"/>
      <c r="BL821" s="13"/>
      <c r="BM821" s="20"/>
      <c r="BN821" s="21"/>
      <c r="BO821" s="13"/>
    </row>
    <row r="822">
      <c r="I822" s="24"/>
      <c r="J822" s="25"/>
      <c r="K822" s="13"/>
      <c r="BK822" s="26"/>
      <c r="BL822" s="13"/>
      <c r="BM822" s="20"/>
      <c r="BN822" s="21"/>
      <c r="BO822" s="13"/>
    </row>
    <row r="823">
      <c r="I823" s="24"/>
      <c r="J823" s="25"/>
      <c r="K823" s="13"/>
      <c r="BK823" s="26"/>
      <c r="BL823" s="13"/>
      <c r="BM823" s="20"/>
      <c r="BN823" s="21"/>
      <c r="BO823" s="13"/>
    </row>
    <row r="824">
      <c r="I824" s="24"/>
      <c r="J824" s="25"/>
      <c r="K824" s="13"/>
      <c r="BK824" s="26"/>
      <c r="BL824" s="13"/>
      <c r="BM824" s="20"/>
      <c r="BN824" s="21"/>
      <c r="BO824" s="13"/>
    </row>
    <row r="825">
      <c r="I825" s="24"/>
      <c r="J825" s="25"/>
      <c r="K825" s="13"/>
      <c r="BK825" s="26"/>
      <c r="BL825" s="13"/>
      <c r="BM825" s="20"/>
      <c r="BN825" s="21"/>
      <c r="BO825" s="13"/>
    </row>
    <row r="826">
      <c r="I826" s="24"/>
      <c r="J826" s="25"/>
      <c r="K826" s="13"/>
      <c r="BK826" s="26"/>
      <c r="BL826" s="13"/>
      <c r="BM826" s="20"/>
      <c r="BN826" s="21"/>
      <c r="BO826" s="13"/>
    </row>
    <row r="827">
      <c r="I827" s="24"/>
      <c r="J827" s="25"/>
      <c r="K827" s="13"/>
      <c r="BK827" s="26"/>
      <c r="BL827" s="13"/>
      <c r="BM827" s="20"/>
      <c r="BN827" s="21"/>
      <c r="BO827" s="13"/>
    </row>
    <row r="828">
      <c r="I828" s="24"/>
      <c r="J828" s="25"/>
      <c r="K828" s="13"/>
      <c r="BK828" s="26"/>
      <c r="BL828" s="13"/>
      <c r="BM828" s="20"/>
      <c r="BN828" s="21"/>
      <c r="BO828" s="13"/>
    </row>
    <row r="829">
      <c r="I829" s="24"/>
      <c r="J829" s="25"/>
      <c r="K829" s="13"/>
      <c r="BK829" s="26"/>
      <c r="BL829" s="13"/>
      <c r="BM829" s="20"/>
      <c r="BN829" s="21"/>
      <c r="BO829" s="13"/>
    </row>
    <row r="830">
      <c r="I830" s="24"/>
      <c r="J830" s="25"/>
      <c r="K830" s="13"/>
      <c r="BK830" s="26"/>
      <c r="BL830" s="13"/>
      <c r="BM830" s="20"/>
      <c r="BN830" s="21"/>
      <c r="BO830" s="13"/>
    </row>
    <row r="831">
      <c r="I831" s="24"/>
      <c r="J831" s="25"/>
      <c r="K831" s="13"/>
      <c r="BK831" s="26"/>
      <c r="BL831" s="13"/>
      <c r="BM831" s="20"/>
      <c r="BN831" s="21"/>
      <c r="BO831" s="13"/>
    </row>
    <row r="832">
      <c r="I832" s="24"/>
      <c r="J832" s="25"/>
      <c r="K832" s="13"/>
      <c r="BK832" s="26"/>
      <c r="BL832" s="13"/>
      <c r="BM832" s="20"/>
      <c r="BN832" s="21"/>
      <c r="BO832" s="13"/>
    </row>
    <row r="833">
      <c r="I833" s="24"/>
      <c r="J833" s="25"/>
      <c r="K833" s="13"/>
      <c r="BK833" s="26"/>
      <c r="BL833" s="13"/>
      <c r="BM833" s="20"/>
      <c r="BN833" s="21"/>
      <c r="BO833" s="13"/>
    </row>
    <row r="834">
      <c r="I834" s="24"/>
      <c r="J834" s="25"/>
      <c r="K834" s="13"/>
      <c r="BK834" s="26"/>
      <c r="BL834" s="13"/>
      <c r="BM834" s="20"/>
      <c r="BN834" s="21"/>
      <c r="BO834" s="13"/>
    </row>
    <row r="835">
      <c r="I835" s="24"/>
      <c r="J835" s="25"/>
      <c r="K835" s="13"/>
      <c r="BK835" s="26"/>
      <c r="BL835" s="13"/>
      <c r="BM835" s="20"/>
      <c r="BN835" s="21"/>
      <c r="BO835" s="13"/>
    </row>
    <row r="836">
      <c r="I836" s="24"/>
      <c r="J836" s="25"/>
      <c r="K836" s="13"/>
      <c r="BK836" s="26"/>
      <c r="BL836" s="13"/>
      <c r="BM836" s="20"/>
      <c r="BN836" s="21"/>
      <c r="BO836" s="13"/>
    </row>
    <row r="837">
      <c r="I837" s="24"/>
      <c r="J837" s="25"/>
      <c r="K837" s="13"/>
      <c r="BK837" s="26"/>
      <c r="BL837" s="13"/>
      <c r="BM837" s="20"/>
      <c r="BN837" s="21"/>
      <c r="BO837" s="13"/>
    </row>
    <row r="838">
      <c r="I838" s="24"/>
      <c r="J838" s="25"/>
      <c r="K838" s="13"/>
      <c r="BK838" s="26"/>
      <c r="BL838" s="13"/>
      <c r="BM838" s="20"/>
      <c r="BN838" s="21"/>
      <c r="BO838" s="13"/>
    </row>
    <row r="839">
      <c r="I839" s="24"/>
      <c r="J839" s="25"/>
      <c r="K839" s="13"/>
      <c r="BK839" s="26"/>
      <c r="BL839" s="13"/>
      <c r="BM839" s="20"/>
      <c r="BN839" s="21"/>
      <c r="BO839" s="13"/>
    </row>
    <row r="840">
      <c r="I840" s="24"/>
      <c r="J840" s="25"/>
      <c r="K840" s="13"/>
      <c r="BK840" s="26"/>
      <c r="BL840" s="13"/>
      <c r="BM840" s="20"/>
      <c r="BN840" s="21"/>
      <c r="BO840" s="13"/>
    </row>
    <row r="841">
      <c r="I841" s="24"/>
      <c r="J841" s="25"/>
      <c r="K841" s="13"/>
      <c r="BK841" s="26"/>
      <c r="BL841" s="13"/>
      <c r="BM841" s="20"/>
      <c r="BN841" s="21"/>
      <c r="BO841" s="13"/>
    </row>
    <row r="842">
      <c r="I842" s="24"/>
      <c r="J842" s="25"/>
      <c r="K842" s="13"/>
      <c r="BK842" s="26"/>
      <c r="BL842" s="13"/>
      <c r="BM842" s="20"/>
      <c r="BN842" s="21"/>
      <c r="BO842" s="13"/>
    </row>
    <row r="843">
      <c r="I843" s="24"/>
      <c r="J843" s="25"/>
      <c r="K843" s="13"/>
      <c r="BK843" s="26"/>
      <c r="BL843" s="13"/>
      <c r="BM843" s="20"/>
      <c r="BN843" s="21"/>
      <c r="BO843" s="13"/>
    </row>
    <row r="844">
      <c r="I844" s="24"/>
      <c r="J844" s="25"/>
      <c r="K844" s="13"/>
      <c r="BK844" s="26"/>
      <c r="BL844" s="13"/>
      <c r="BM844" s="20"/>
      <c r="BN844" s="21"/>
      <c r="BO844" s="13"/>
    </row>
    <row r="845">
      <c r="I845" s="24"/>
      <c r="J845" s="25"/>
      <c r="K845" s="13"/>
      <c r="BK845" s="26"/>
      <c r="BL845" s="13"/>
      <c r="BM845" s="20"/>
      <c r="BN845" s="21"/>
      <c r="BO845" s="13"/>
    </row>
    <row r="846">
      <c r="I846" s="24"/>
      <c r="J846" s="25"/>
      <c r="K846" s="13"/>
      <c r="BK846" s="26"/>
      <c r="BL846" s="13"/>
      <c r="BM846" s="20"/>
      <c r="BN846" s="21"/>
      <c r="BO846" s="13"/>
    </row>
    <row r="847">
      <c r="I847" s="24"/>
      <c r="J847" s="25"/>
      <c r="K847" s="13"/>
      <c r="BK847" s="26"/>
      <c r="BL847" s="13"/>
      <c r="BM847" s="20"/>
      <c r="BN847" s="21"/>
      <c r="BO847" s="13"/>
    </row>
    <row r="848">
      <c r="I848" s="24"/>
      <c r="J848" s="25"/>
      <c r="K848" s="13"/>
      <c r="BK848" s="26"/>
      <c r="BL848" s="13"/>
      <c r="BM848" s="20"/>
      <c r="BN848" s="21"/>
      <c r="BO848" s="13"/>
    </row>
    <row r="849">
      <c r="I849" s="24"/>
      <c r="J849" s="25"/>
      <c r="K849" s="13"/>
      <c r="BK849" s="26"/>
      <c r="BL849" s="13"/>
      <c r="BM849" s="20"/>
      <c r="BN849" s="21"/>
      <c r="BO849" s="13"/>
    </row>
    <row r="850">
      <c r="I850" s="24"/>
      <c r="J850" s="25"/>
      <c r="K850" s="13"/>
      <c r="BK850" s="26"/>
      <c r="BL850" s="13"/>
      <c r="BM850" s="20"/>
      <c r="BN850" s="21"/>
      <c r="BO850" s="13"/>
    </row>
    <row r="851">
      <c r="I851" s="24"/>
      <c r="J851" s="25"/>
      <c r="K851" s="13"/>
      <c r="BK851" s="26"/>
      <c r="BL851" s="13"/>
      <c r="BM851" s="20"/>
      <c r="BN851" s="21"/>
      <c r="BO851" s="13"/>
    </row>
    <row r="852">
      <c r="I852" s="24"/>
      <c r="J852" s="25"/>
      <c r="K852" s="13"/>
      <c r="BK852" s="26"/>
      <c r="BL852" s="13"/>
      <c r="BM852" s="20"/>
      <c r="BN852" s="21"/>
      <c r="BO852" s="13"/>
    </row>
    <row r="853">
      <c r="I853" s="24"/>
      <c r="J853" s="25"/>
      <c r="K853" s="13"/>
      <c r="BK853" s="26"/>
      <c r="BL853" s="13"/>
      <c r="BM853" s="20"/>
      <c r="BN853" s="21"/>
      <c r="BO853" s="13"/>
    </row>
    <row r="854">
      <c r="I854" s="24"/>
      <c r="J854" s="25"/>
      <c r="K854" s="13"/>
      <c r="BK854" s="26"/>
      <c r="BL854" s="13"/>
      <c r="BM854" s="20"/>
      <c r="BN854" s="21"/>
      <c r="BO854" s="13"/>
    </row>
    <row r="855">
      <c r="I855" s="24"/>
      <c r="J855" s="25"/>
      <c r="K855" s="13"/>
      <c r="BK855" s="26"/>
      <c r="BL855" s="13"/>
      <c r="BM855" s="20"/>
      <c r="BN855" s="21"/>
      <c r="BO855" s="13"/>
    </row>
    <row r="856">
      <c r="I856" s="24"/>
      <c r="J856" s="25"/>
      <c r="K856" s="13"/>
      <c r="BK856" s="26"/>
      <c r="BL856" s="13"/>
      <c r="BM856" s="20"/>
      <c r="BN856" s="21"/>
      <c r="BO856" s="13"/>
    </row>
    <row r="857">
      <c r="I857" s="24"/>
      <c r="J857" s="25"/>
      <c r="K857" s="13"/>
      <c r="BK857" s="26"/>
      <c r="BL857" s="13"/>
      <c r="BM857" s="20"/>
      <c r="BN857" s="21"/>
      <c r="BO857" s="13"/>
    </row>
    <row r="858">
      <c r="I858" s="24"/>
      <c r="J858" s="25"/>
      <c r="K858" s="13"/>
      <c r="BK858" s="26"/>
      <c r="BL858" s="13"/>
      <c r="BM858" s="20"/>
      <c r="BN858" s="21"/>
      <c r="BO858" s="13"/>
    </row>
    <row r="859">
      <c r="I859" s="24"/>
      <c r="J859" s="25"/>
      <c r="K859" s="13"/>
      <c r="BK859" s="26"/>
      <c r="BL859" s="13"/>
      <c r="BM859" s="20"/>
      <c r="BN859" s="21"/>
      <c r="BO859" s="13"/>
    </row>
    <row r="860">
      <c r="I860" s="24"/>
      <c r="J860" s="25"/>
      <c r="K860" s="13"/>
      <c r="BK860" s="26"/>
      <c r="BL860" s="13"/>
      <c r="BM860" s="20"/>
      <c r="BN860" s="21"/>
      <c r="BO860" s="13"/>
    </row>
    <row r="861">
      <c r="I861" s="24"/>
      <c r="J861" s="25"/>
      <c r="K861" s="13"/>
      <c r="BK861" s="26"/>
      <c r="BL861" s="13"/>
      <c r="BM861" s="20"/>
      <c r="BN861" s="21"/>
      <c r="BO861" s="13"/>
    </row>
    <row r="862">
      <c r="I862" s="24"/>
      <c r="J862" s="25"/>
      <c r="K862" s="13"/>
      <c r="BK862" s="26"/>
      <c r="BL862" s="13"/>
      <c r="BM862" s="20"/>
      <c r="BN862" s="21"/>
      <c r="BO862" s="13"/>
    </row>
    <row r="863">
      <c r="I863" s="24"/>
      <c r="J863" s="25"/>
      <c r="K863" s="13"/>
      <c r="BK863" s="26"/>
      <c r="BL863" s="13"/>
      <c r="BM863" s="20"/>
      <c r="BN863" s="21"/>
      <c r="BO863" s="13"/>
    </row>
    <row r="864">
      <c r="I864" s="24"/>
      <c r="J864" s="25"/>
      <c r="K864" s="13"/>
      <c r="BK864" s="26"/>
      <c r="BL864" s="13"/>
      <c r="BM864" s="20"/>
      <c r="BN864" s="21"/>
      <c r="BO864" s="13"/>
    </row>
    <row r="865">
      <c r="I865" s="24"/>
      <c r="J865" s="25"/>
      <c r="K865" s="13"/>
      <c r="BK865" s="26"/>
      <c r="BL865" s="13"/>
      <c r="BM865" s="20"/>
      <c r="BN865" s="21"/>
      <c r="BO865" s="13"/>
    </row>
    <row r="866">
      <c r="I866" s="24"/>
      <c r="J866" s="25"/>
      <c r="K866" s="13"/>
      <c r="BK866" s="26"/>
      <c r="BL866" s="13"/>
      <c r="BM866" s="20"/>
      <c r="BN866" s="21"/>
      <c r="BO866" s="13"/>
    </row>
    <row r="867">
      <c r="I867" s="24"/>
      <c r="J867" s="25"/>
      <c r="K867" s="13"/>
      <c r="BK867" s="26"/>
      <c r="BL867" s="13"/>
      <c r="BM867" s="20"/>
      <c r="BN867" s="21"/>
      <c r="BO867" s="13"/>
    </row>
    <row r="868">
      <c r="I868" s="24"/>
      <c r="J868" s="25"/>
      <c r="K868" s="13"/>
      <c r="BK868" s="26"/>
      <c r="BL868" s="13"/>
      <c r="BM868" s="20"/>
      <c r="BN868" s="21"/>
      <c r="BO868" s="13"/>
    </row>
    <row r="869">
      <c r="I869" s="24"/>
      <c r="J869" s="25"/>
      <c r="K869" s="13"/>
      <c r="BK869" s="26"/>
      <c r="BL869" s="13"/>
      <c r="BM869" s="20"/>
      <c r="BN869" s="21"/>
      <c r="BO869" s="13"/>
    </row>
    <row r="870">
      <c r="I870" s="24"/>
      <c r="J870" s="25"/>
      <c r="K870" s="13"/>
      <c r="BK870" s="26"/>
      <c r="BL870" s="13"/>
      <c r="BM870" s="20"/>
      <c r="BN870" s="21"/>
      <c r="BO870" s="13"/>
    </row>
    <row r="871">
      <c r="I871" s="24"/>
      <c r="J871" s="25"/>
      <c r="K871" s="13"/>
      <c r="BK871" s="26"/>
      <c r="BL871" s="13"/>
      <c r="BM871" s="20"/>
      <c r="BN871" s="21"/>
      <c r="BO871" s="13"/>
    </row>
    <row r="872">
      <c r="I872" s="24"/>
      <c r="J872" s="25"/>
      <c r="K872" s="13"/>
      <c r="BK872" s="26"/>
      <c r="BL872" s="13"/>
      <c r="BM872" s="20"/>
      <c r="BN872" s="21"/>
      <c r="BO872" s="13"/>
    </row>
    <row r="873">
      <c r="I873" s="24"/>
      <c r="J873" s="25"/>
      <c r="K873" s="13"/>
      <c r="BK873" s="26"/>
      <c r="BL873" s="13"/>
      <c r="BM873" s="20"/>
      <c r="BN873" s="21"/>
      <c r="BO873" s="13"/>
    </row>
    <row r="874">
      <c r="I874" s="24"/>
      <c r="J874" s="25"/>
      <c r="K874" s="13"/>
      <c r="BK874" s="26"/>
      <c r="BL874" s="13"/>
      <c r="BM874" s="20"/>
      <c r="BN874" s="21"/>
      <c r="BO874" s="13"/>
    </row>
    <row r="875">
      <c r="I875" s="24"/>
      <c r="J875" s="25"/>
      <c r="K875" s="13"/>
      <c r="BK875" s="26"/>
      <c r="BL875" s="13"/>
      <c r="BM875" s="20"/>
      <c r="BN875" s="21"/>
      <c r="BO875" s="13"/>
    </row>
    <row r="876">
      <c r="I876" s="24"/>
      <c r="J876" s="25"/>
      <c r="K876" s="13"/>
      <c r="BK876" s="26"/>
      <c r="BL876" s="13"/>
      <c r="BM876" s="20"/>
      <c r="BN876" s="21"/>
      <c r="BO876" s="13"/>
    </row>
    <row r="877">
      <c r="I877" s="24"/>
      <c r="J877" s="25"/>
      <c r="K877" s="13"/>
      <c r="BK877" s="26"/>
      <c r="BL877" s="13"/>
      <c r="BM877" s="20"/>
      <c r="BN877" s="21"/>
      <c r="BO877" s="13"/>
    </row>
    <row r="878">
      <c r="I878" s="24"/>
      <c r="J878" s="25"/>
      <c r="K878" s="13"/>
      <c r="BK878" s="26"/>
      <c r="BL878" s="13"/>
      <c r="BM878" s="20"/>
      <c r="BN878" s="21"/>
      <c r="BO878" s="13"/>
    </row>
    <row r="879">
      <c r="I879" s="24"/>
      <c r="J879" s="25"/>
      <c r="K879" s="13"/>
      <c r="BK879" s="26"/>
      <c r="BL879" s="13"/>
      <c r="BM879" s="20"/>
      <c r="BN879" s="21"/>
      <c r="BO879" s="13"/>
    </row>
    <row r="880">
      <c r="I880" s="24"/>
      <c r="J880" s="25"/>
      <c r="K880" s="13"/>
      <c r="BK880" s="26"/>
      <c r="BL880" s="13"/>
      <c r="BM880" s="20"/>
      <c r="BN880" s="21"/>
      <c r="BO880" s="13"/>
    </row>
    <row r="881">
      <c r="I881" s="24"/>
      <c r="J881" s="25"/>
      <c r="K881" s="13"/>
      <c r="BK881" s="26"/>
      <c r="BL881" s="13"/>
      <c r="BM881" s="20"/>
      <c r="BN881" s="21"/>
      <c r="BO881" s="13"/>
    </row>
    <row r="882">
      <c r="I882" s="24"/>
      <c r="J882" s="25"/>
      <c r="K882" s="13"/>
      <c r="BK882" s="26"/>
      <c r="BL882" s="13"/>
      <c r="BM882" s="20"/>
      <c r="BN882" s="21"/>
      <c r="BO882" s="13"/>
    </row>
    <row r="883">
      <c r="I883" s="24"/>
      <c r="J883" s="25"/>
      <c r="K883" s="13"/>
      <c r="BK883" s="26"/>
      <c r="BL883" s="13"/>
      <c r="BM883" s="20"/>
      <c r="BN883" s="21"/>
      <c r="BO883" s="13"/>
    </row>
    <row r="884">
      <c r="I884" s="24"/>
      <c r="J884" s="25"/>
      <c r="K884" s="13"/>
      <c r="BK884" s="26"/>
      <c r="BL884" s="13"/>
      <c r="BM884" s="20"/>
      <c r="BN884" s="21"/>
      <c r="BO884" s="13"/>
    </row>
    <row r="885">
      <c r="I885" s="24"/>
      <c r="J885" s="25"/>
      <c r="K885" s="13"/>
      <c r="BK885" s="26"/>
      <c r="BL885" s="13"/>
      <c r="BM885" s="20"/>
      <c r="BN885" s="21"/>
      <c r="BO885" s="13"/>
    </row>
    <row r="886">
      <c r="I886" s="24"/>
      <c r="J886" s="25"/>
      <c r="K886" s="13"/>
      <c r="BK886" s="26"/>
      <c r="BL886" s="13"/>
      <c r="BM886" s="20"/>
      <c r="BN886" s="21"/>
      <c r="BO886" s="13"/>
    </row>
    <row r="887">
      <c r="I887" s="24"/>
      <c r="J887" s="25"/>
      <c r="K887" s="13"/>
      <c r="BK887" s="26"/>
      <c r="BL887" s="13"/>
      <c r="BM887" s="20"/>
      <c r="BN887" s="21"/>
      <c r="BO887" s="13"/>
    </row>
    <row r="888">
      <c r="I888" s="24"/>
      <c r="J888" s="25"/>
      <c r="K888" s="13"/>
      <c r="BK888" s="26"/>
      <c r="BL888" s="13"/>
      <c r="BM888" s="20"/>
      <c r="BN888" s="21"/>
      <c r="BO888" s="13"/>
    </row>
    <row r="889">
      <c r="I889" s="24"/>
      <c r="J889" s="25"/>
      <c r="K889" s="13"/>
      <c r="BK889" s="26"/>
      <c r="BL889" s="13"/>
      <c r="BM889" s="20"/>
      <c r="BN889" s="21"/>
      <c r="BO889" s="13"/>
    </row>
    <row r="890">
      <c r="I890" s="24"/>
      <c r="J890" s="25"/>
      <c r="K890" s="13"/>
      <c r="BK890" s="26"/>
      <c r="BL890" s="13"/>
      <c r="BM890" s="20"/>
      <c r="BN890" s="21"/>
      <c r="BO890" s="13"/>
    </row>
    <row r="891">
      <c r="I891" s="24"/>
      <c r="J891" s="25"/>
      <c r="K891" s="13"/>
      <c r="BK891" s="26"/>
      <c r="BL891" s="13"/>
      <c r="BM891" s="20"/>
      <c r="BN891" s="21"/>
      <c r="BO891" s="13"/>
    </row>
    <row r="892">
      <c r="I892" s="24"/>
      <c r="J892" s="25"/>
      <c r="K892" s="13"/>
      <c r="BK892" s="26"/>
      <c r="BL892" s="13"/>
      <c r="BM892" s="20"/>
      <c r="BN892" s="21"/>
      <c r="BO892" s="13"/>
    </row>
    <row r="893">
      <c r="I893" s="24"/>
      <c r="J893" s="25"/>
      <c r="K893" s="13"/>
      <c r="BK893" s="26"/>
      <c r="BL893" s="13"/>
      <c r="BM893" s="20"/>
      <c r="BN893" s="21"/>
      <c r="BO893" s="13"/>
    </row>
    <row r="894">
      <c r="I894" s="24"/>
      <c r="J894" s="25"/>
      <c r="K894" s="13"/>
      <c r="BK894" s="26"/>
      <c r="BL894" s="13"/>
      <c r="BM894" s="20"/>
      <c r="BN894" s="21"/>
      <c r="BO894" s="13"/>
    </row>
    <row r="895">
      <c r="I895" s="24"/>
      <c r="J895" s="25"/>
      <c r="K895" s="13"/>
      <c r="BK895" s="26"/>
      <c r="BL895" s="13"/>
      <c r="BM895" s="20"/>
      <c r="BN895" s="21"/>
      <c r="BO895" s="13"/>
    </row>
    <row r="896">
      <c r="I896" s="24"/>
      <c r="J896" s="25"/>
      <c r="K896" s="13"/>
      <c r="BK896" s="26"/>
      <c r="BL896" s="13"/>
      <c r="BM896" s="20"/>
      <c r="BN896" s="21"/>
      <c r="BO896" s="13"/>
    </row>
    <row r="897">
      <c r="I897" s="24"/>
      <c r="J897" s="25"/>
      <c r="K897" s="13"/>
      <c r="BK897" s="26"/>
      <c r="BL897" s="13"/>
      <c r="BM897" s="20"/>
      <c r="BN897" s="21"/>
      <c r="BO897" s="13"/>
    </row>
    <row r="898">
      <c r="I898" s="24"/>
      <c r="J898" s="25"/>
      <c r="K898" s="13"/>
      <c r="BK898" s="26"/>
      <c r="BL898" s="13"/>
      <c r="BM898" s="20"/>
      <c r="BN898" s="21"/>
      <c r="BO898" s="13"/>
    </row>
    <row r="899">
      <c r="I899" s="24"/>
      <c r="J899" s="25"/>
      <c r="K899" s="13"/>
      <c r="BK899" s="26"/>
      <c r="BL899" s="13"/>
      <c r="BM899" s="20"/>
      <c r="BN899" s="21"/>
      <c r="BO899" s="13"/>
    </row>
    <row r="900">
      <c r="I900" s="24"/>
      <c r="J900" s="25"/>
      <c r="K900" s="13"/>
      <c r="BK900" s="26"/>
      <c r="BL900" s="13"/>
      <c r="BM900" s="20"/>
      <c r="BN900" s="21"/>
      <c r="BO900" s="13"/>
    </row>
    <row r="901">
      <c r="I901" s="24"/>
      <c r="J901" s="25"/>
      <c r="K901" s="13"/>
      <c r="BK901" s="26"/>
      <c r="BL901" s="13"/>
      <c r="BM901" s="20"/>
      <c r="BN901" s="21"/>
      <c r="BO901" s="13"/>
    </row>
    <row r="902">
      <c r="I902" s="24"/>
      <c r="J902" s="25"/>
      <c r="K902" s="13"/>
      <c r="BK902" s="26"/>
      <c r="BL902" s="13"/>
      <c r="BM902" s="20"/>
      <c r="BN902" s="21"/>
      <c r="BO902" s="13"/>
    </row>
    <row r="903">
      <c r="I903" s="24"/>
      <c r="J903" s="25"/>
      <c r="K903" s="13"/>
      <c r="BK903" s="26"/>
      <c r="BL903" s="13"/>
      <c r="BM903" s="20"/>
      <c r="BN903" s="21"/>
      <c r="BO903" s="13"/>
    </row>
    <row r="904">
      <c r="I904" s="24"/>
      <c r="J904" s="25"/>
      <c r="K904" s="13"/>
      <c r="BK904" s="26"/>
      <c r="BL904" s="13"/>
      <c r="BM904" s="20"/>
      <c r="BN904" s="21"/>
      <c r="BO904" s="13"/>
    </row>
    <row r="905">
      <c r="I905" s="24"/>
      <c r="J905" s="25"/>
      <c r="K905" s="13"/>
      <c r="BK905" s="26"/>
      <c r="BL905" s="13"/>
      <c r="BM905" s="20"/>
      <c r="BN905" s="21"/>
      <c r="BO905" s="13"/>
    </row>
    <row r="906">
      <c r="I906" s="24"/>
      <c r="J906" s="25"/>
      <c r="K906" s="13"/>
      <c r="BK906" s="26"/>
      <c r="BL906" s="13"/>
      <c r="BM906" s="20"/>
      <c r="BN906" s="21"/>
      <c r="BO906" s="13"/>
    </row>
    <row r="907">
      <c r="I907" s="24"/>
      <c r="J907" s="25"/>
      <c r="K907" s="13"/>
      <c r="BK907" s="26"/>
      <c r="BL907" s="13"/>
      <c r="BM907" s="20"/>
      <c r="BN907" s="21"/>
      <c r="BO907" s="13"/>
    </row>
    <row r="908">
      <c r="I908" s="24"/>
      <c r="J908" s="25"/>
      <c r="K908" s="13"/>
      <c r="BK908" s="26"/>
      <c r="BL908" s="13"/>
      <c r="BM908" s="20"/>
      <c r="BN908" s="21"/>
      <c r="BO908" s="13"/>
    </row>
    <row r="909">
      <c r="I909" s="24"/>
      <c r="J909" s="25"/>
      <c r="K909" s="13"/>
      <c r="BK909" s="26"/>
      <c r="BL909" s="13"/>
      <c r="BM909" s="20"/>
      <c r="BN909" s="21"/>
      <c r="BO909" s="13"/>
    </row>
    <row r="910">
      <c r="I910" s="24"/>
      <c r="J910" s="25"/>
      <c r="K910" s="13"/>
      <c r="BK910" s="26"/>
      <c r="BL910" s="13"/>
      <c r="BM910" s="20"/>
      <c r="BN910" s="21"/>
      <c r="BO910" s="13"/>
    </row>
    <row r="911">
      <c r="I911" s="24"/>
      <c r="J911" s="25"/>
      <c r="K911" s="13"/>
      <c r="BK911" s="26"/>
      <c r="BL911" s="13"/>
      <c r="BM911" s="20"/>
      <c r="BN911" s="21"/>
      <c r="BO911" s="13"/>
    </row>
    <row r="912">
      <c r="I912" s="24"/>
      <c r="J912" s="25"/>
      <c r="K912" s="13"/>
      <c r="BK912" s="26"/>
      <c r="BL912" s="13"/>
      <c r="BM912" s="20"/>
      <c r="BN912" s="21"/>
      <c r="BO912" s="13"/>
    </row>
    <row r="913">
      <c r="I913" s="24"/>
      <c r="J913" s="25"/>
      <c r="K913" s="13"/>
      <c r="BK913" s="26"/>
      <c r="BL913" s="13"/>
      <c r="BM913" s="20"/>
      <c r="BN913" s="21"/>
      <c r="BO913" s="13"/>
    </row>
    <row r="914">
      <c r="I914" s="24"/>
      <c r="J914" s="25"/>
      <c r="K914" s="13"/>
      <c r="BK914" s="26"/>
      <c r="BL914" s="13"/>
      <c r="BM914" s="20"/>
      <c r="BN914" s="21"/>
      <c r="BO914" s="13"/>
    </row>
    <row r="915">
      <c r="I915" s="24"/>
      <c r="J915" s="25"/>
      <c r="K915" s="13"/>
      <c r="BK915" s="26"/>
      <c r="BL915" s="13"/>
      <c r="BM915" s="20"/>
      <c r="BN915" s="21"/>
      <c r="BO915" s="13"/>
    </row>
    <row r="916">
      <c r="I916" s="24"/>
      <c r="J916" s="25"/>
      <c r="K916" s="13"/>
      <c r="BK916" s="26"/>
      <c r="BL916" s="13"/>
      <c r="BM916" s="20"/>
      <c r="BN916" s="21"/>
      <c r="BO916" s="13"/>
    </row>
    <row r="917">
      <c r="I917" s="24"/>
      <c r="J917" s="25"/>
      <c r="K917" s="13"/>
      <c r="BK917" s="26"/>
      <c r="BL917" s="13"/>
      <c r="BM917" s="20"/>
      <c r="BN917" s="21"/>
      <c r="BO917" s="13"/>
    </row>
    <row r="918">
      <c r="I918" s="24"/>
      <c r="J918" s="25"/>
      <c r="K918" s="13"/>
      <c r="BK918" s="26"/>
      <c r="BL918" s="13"/>
      <c r="BM918" s="20"/>
      <c r="BN918" s="21"/>
      <c r="BO918" s="13"/>
    </row>
    <row r="919">
      <c r="I919" s="24"/>
      <c r="J919" s="25"/>
      <c r="K919" s="13"/>
      <c r="BK919" s="26"/>
      <c r="BL919" s="13"/>
      <c r="BM919" s="20"/>
      <c r="BN919" s="21"/>
      <c r="BO919" s="13"/>
    </row>
    <row r="920">
      <c r="I920" s="24"/>
      <c r="J920" s="25"/>
      <c r="K920" s="13"/>
      <c r="BK920" s="26"/>
      <c r="BL920" s="13"/>
      <c r="BM920" s="20"/>
      <c r="BN920" s="21"/>
      <c r="BO920" s="13"/>
    </row>
    <row r="921">
      <c r="I921" s="24"/>
      <c r="J921" s="25"/>
      <c r="K921" s="13"/>
      <c r="BK921" s="26"/>
      <c r="BL921" s="13"/>
      <c r="BM921" s="20"/>
      <c r="BN921" s="21"/>
      <c r="BO921" s="13"/>
    </row>
    <row r="922">
      <c r="I922" s="24"/>
      <c r="J922" s="25"/>
      <c r="K922" s="13"/>
      <c r="BK922" s="26"/>
      <c r="BL922" s="13"/>
      <c r="BM922" s="20"/>
      <c r="BN922" s="21"/>
      <c r="BO922" s="13"/>
    </row>
    <row r="923">
      <c r="I923" s="24"/>
      <c r="J923" s="25"/>
      <c r="K923" s="13"/>
      <c r="BK923" s="26"/>
      <c r="BL923" s="13"/>
      <c r="BM923" s="20"/>
      <c r="BN923" s="21"/>
      <c r="BO923" s="13"/>
    </row>
    <row r="924">
      <c r="I924" s="24"/>
      <c r="J924" s="25"/>
      <c r="K924" s="13"/>
      <c r="BK924" s="26"/>
      <c r="BL924" s="13"/>
      <c r="BM924" s="20"/>
      <c r="BN924" s="21"/>
      <c r="BO924" s="13"/>
    </row>
    <row r="925">
      <c r="I925" s="24"/>
      <c r="J925" s="25"/>
      <c r="K925" s="13"/>
      <c r="BK925" s="26"/>
      <c r="BL925" s="13"/>
      <c r="BM925" s="20"/>
      <c r="BN925" s="21"/>
      <c r="BO925" s="13"/>
    </row>
    <row r="926">
      <c r="I926" s="24"/>
      <c r="J926" s="25"/>
      <c r="K926" s="13"/>
      <c r="BK926" s="26"/>
      <c r="BL926" s="13"/>
      <c r="BM926" s="20"/>
      <c r="BN926" s="21"/>
      <c r="BO926" s="13"/>
    </row>
    <row r="927">
      <c r="I927" s="24"/>
      <c r="J927" s="25"/>
      <c r="K927" s="13"/>
      <c r="BK927" s="26"/>
      <c r="BL927" s="13"/>
      <c r="BM927" s="20"/>
      <c r="BN927" s="21"/>
      <c r="BO927" s="13"/>
    </row>
    <row r="928">
      <c r="I928" s="24"/>
      <c r="J928" s="25"/>
      <c r="K928" s="13"/>
      <c r="BK928" s="26"/>
      <c r="BL928" s="13"/>
      <c r="BM928" s="20"/>
      <c r="BN928" s="21"/>
      <c r="BO928" s="13"/>
    </row>
    <row r="929">
      <c r="I929" s="24"/>
      <c r="J929" s="25"/>
      <c r="K929" s="13"/>
      <c r="BK929" s="26"/>
      <c r="BL929" s="13"/>
      <c r="BM929" s="20"/>
      <c r="BN929" s="21"/>
      <c r="BO929" s="13"/>
    </row>
    <row r="930">
      <c r="I930" s="24"/>
      <c r="J930" s="25"/>
      <c r="K930" s="13"/>
      <c r="BK930" s="26"/>
      <c r="BL930" s="13"/>
      <c r="BM930" s="20"/>
      <c r="BN930" s="21"/>
      <c r="BO930" s="13"/>
    </row>
    <row r="931">
      <c r="I931" s="24"/>
      <c r="J931" s="25"/>
      <c r="K931" s="13"/>
      <c r="BK931" s="26"/>
      <c r="BL931" s="13"/>
      <c r="BM931" s="20"/>
      <c r="BN931" s="21"/>
      <c r="BO931" s="13"/>
    </row>
    <row r="932">
      <c r="I932" s="24"/>
      <c r="J932" s="25"/>
      <c r="K932" s="13"/>
      <c r="BK932" s="26"/>
      <c r="BL932" s="13"/>
      <c r="BM932" s="20"/>
      <c r="BN932" s="21"/>
      <c r="BO932" s="13"/>
    </row>
    <row r="933">
      <c r="I933" s="24"/>
      <c r="J933" s="25"/>
      <c r="K933" s="13"/>
      <c r="BK933" s="26"/>
      <c r="BL933" s="13"/>
      <c r="BM933" s="20"/>
      <c r="BN933" s="21"/>
      <c r="BO933" s="13"/>
    </row>
    <row r="934">
      <c r="I934" s="24"/>
      <c r="J934" s="25"/>
      <c r="K934" s="13"/>
      <c r="BK934" s="26"/>
      <c r="BL934" s="13"/>
      <c r="BM934" s="20"/>
      <c r="BN934" s="21"/>
      <c r="BO934" s="13"/>
    </row>
    <row r="935">
      <c r="I935" s="24"/>
      <c r="J935" s="25"/>
      <c r="K935" s="13"/>
      <c r="BK935" s="26"/>
      <c r="BL935" s="13"/>
      <c r="BM935" s="20"/>
      <c r="BN935" s="21"/>
      <c r="BO935" s="13"/>
    </row>
    <row r="936">
      <c r="I936" s="24"/>
      <c r="J936" s="25"/>
      <c r="K936" s="13"/>
      <c r="BK936" s="26"/>
      <c r="BL936" s="13"/>
      <c r="BM936" s="20"/>
      <c r="BN936" s="21"/>
      <c r="BO936" s="13"/>
    </row>
    <row r="937">
      <c r="I937" s="24"/>
      <c r="J937" s="25"/>
      <c r="K937" s="13"/>
      <c r="BK937" s="26"/>
      <c r="BL937" s="13"/>
      <c r="BM937" s="20"/>
      <c r="BN937" s="21"/>
      <c r="BO937" s="13"/>
    </row>
    <row r="938">
      <c r="I938" s="24"/>
      <c r="J938" s="25"/>
      <c r="K938" s="13"/>
      <c r="BK938" s="26"/>
      <c r="BL938" s="13"/>
      <c r="BM938" s="20"/>
      <c r="BN938" s="21"/>
      <c r="BO938" s="13"/>
    </row>
    <row r="939">
      <c r="I939" s="24"/>
      <c r="J939" s="25"/>
      <c r="K939" s="13"/>
      <c r="BK939" s="26"/>
      <c r="BL939" s="13"/>
      <c r="BM939" s="20"/>
      <c r="BN939" s="21"/>
      <c r="BO939" s="13"/>
    </row>
    <row r="940">
      <c r="I940" s="24"/>
      <c r="J940" s="25"/>
      <c r="K940" s="13"/>
      <c r="BK940" s="26"/>
      <c r="BL940" s="13"/>
      <c r="BM940" s="20"/>
      <c r="BN940" s="21"/>
      <c r="BO940" s="13"/>
    </row>
    <row r="941">
      <c r="I941" s="24"/>
      <c r="J941" s="25"/>
      <c r="K941" s="13"/>
      <c r="BK941" s="26"/>
      <c r="BL941" s="13"/>
      <c r="BM941" s="20"/>
      <c r="BN941" s="21"/>
      <c r="BO941" s="13"/>
    </row>
    <row r="942">
      <c r="I942" s="24"/>
      <c r="J942" s="25"/>
      <c r="K942" s="13"/>
      <c r="BK942" s="26"/>
      <c r="BL942" s="13"/>
      <c r="BM942" s="20"/>
      <c r="BN942" s="21"/>
      <c r="BO942" s="13"/>
    </row>
    <row r="943">
      <c r="I943" s="24"/>
      <c r="J943" s="25"/>
      <c r="K943" s="13"/>
      <c r="BK943" s="26"/>
      <c r="BL943" s="13"/>
      <c r="BM943" s="20"/>
      <c r="BN943" s="21"/>
      <c r="BO943" s="13"/>
    </row>
    <row r="944">
      <c r="I944" s="24"/>
      <c r="J944" s="25"/>
      <c r="K944" s="13"/>
      <c r="BK944" s="26"/>
      <c r="BL944" s="13"/>
      <c r="BM944" s="20"/>
      <c r="BN944" s="21"/>
      <c r="BO944" s="13"/>
    </row>
    <row r="945">
      <c r="I945" s="24"/>
      <c r="J945" s="25"/>
      <c r="K945" s="13"/>
      <c r="BK945" s="26"/>
      <c r="BL945" s="13"/>
      <c r="BM945" s="20"/>
      <c r="BN945" s="21"/>
      <c r="BO945" s="13"/>
    </row>
    <row r="946">
      <c r="I946" s="24"/>
      <c r="J946" s="25"/>
      <c r="K946" s="13"/>
      <c r="BK946" s="26"/>
      <c r="BL946" s="13"/>
      <c r="BM946" s="20"/>
      <c r="BN946" s="21"/>
      <c r="BO946" s="13"/>
    </row>
    <row r="947">
      <c r="I947" s="24"/>
      <c r="J947" s="25"/>
      <c r="K947" s="13"/>
      <c r="BK947" s="26"/>
      <c r="BL947" s="13"/>
      <c r="BM947" s="20"/>
      <c r="BN947" s="21"/>
      <c r="BO947" s="13"/>
    </row>
    <row r="948">
      <c r="I948" s="24"/>
      <c r="J948" s="25"/>
      <c r="K948" s="13"/>
      <c r="BK948" s="26"/>
      <c r="BL948" s="13"/>
      <c r="BM948" s="20"/>
      <c r="BN948" s="21"/>
      <c r="BO948" s="13"/>
    </row>
    <row r="949">
      <c r="I949" s="24"/>
      <c r="J949" s="25"/>
      <c r="K949" s="13"/>
      <c r="BK949" s="26"/>
      <c r="BL949" s="13"/>
      <c r="BM949" s="20"/>
      <c r="BN949" s="21"/>
      <c r="BO949" s="13"/>
    </row>
    <row r="950">
      <c r="I950" s="24"/>
      <c r="J950" s="25"/>
      <c r="K950" s="13"/>
      <c r="BK950" s="26"/>
      <c r="BL950" s="13"/>
      <c r="BM950" s="20"/>
      <c r="BN950" s="21"/>
      <c r="BO950" s="13"/>
    </row>
    <row r="951">
      <c r="I951" s="24"/>
      <c r="J951" s="25"/>
      <c r="K951" s="13"/>
      <c r="BK951" s="26"/>
      <c r="BL951" s="13"/>
      <c r="BM951" s="20"/>
      <c r="BN951" s="21"/>
      <c r="BO951" s="13"/>
    </row>
    <row r="952">
      <c r="I952" s="24"/>
      <c r="J952" s="25"/>
      <c r="K952" s="13"/>
      <c r="BK952" s="26"/>
      <c r="BL952" s="13"/>
      <c r="BM952" s="20"/>
      <c r="BN952" s="21"/>
      <c r="BO952" s="13"/>
    </row>
    <row r="953">
      <c r="I953" s="24"/>
      <c r="J953" s="25"/>
      <c r="K953" s="13"/>
      <c r="BK953" s="26"/>
      <c r="BL953" s="13"/>
      <c r="BM953" s="20"/>
      <c r="BN953" s="21"/>
      <c r="BO953" s="13"/>
    </row>
    <row r="954">
      <c r="I954" s="24"/>
      <c r="J954" s="25"/>
      <c r="K954" s="13"/>
      <c r="BK954" s="26"/>
      <c r="BL954" s="13"/>
      <c r="BM954" s="20"/>
      <c r="BN954" s="21"/>
      <c r="BO954" s="13"/>
    </row>
    <row r="955">
      <c r="I955" s="24"/>
      <c r="J955" s="25"/>
      <c r="K955" s="13"/>
      <c r="BK955" s="26"/>
      <c r="BL955" s="13"/>
      <c r="BM955" s="20"/>
      <c r="BN955" s="21"/>
      <c r="BO955" s="13"/>
    </row>
    <row r="956">
      <c r="I956" s="24"/>
      <c r="J956" s="25"/>
      <c r="K956" s="13"/>
      <c r="BK956" s="26"/>
      <c r="BL956" s="13"/>
      <c r="BM956" s="20"/>
      <c r="BN956" s="21"/>
      <c r="BO956" s="13"/>
    </row>
    <row r="957">
      <c r="I957" s="24"/>
      <c r="J957" s="25"/>
      <c r="K957" s="13"/>
      <c r="BK957" s="26"/>
      <c r="BL957" s="13"/>
      <c r="BM957" s="20"/>
      <c r="BN957" s="21"/>
      <c r="BO957" s="13"/>
    </row>
    <row r="958">
      <c r="I958" s="24"/>
      <c r="J958" s="25"/>
      <c r="K958" s="13"/>
      <c r="BK958" s="26"/>
      <c r="BL958" s="13"/>
      <c r="BM958" s="20"/>
      <c r="BN958" s="21"/>
      <c r="BO958" s="13"/>
    </row>
    <row r="959">
      <c r="I959" s="24"/>
      <c r="J959" s="25"/>
      <c r="K959" s="13"/>
      <c r="BK959" s="26"/>
      <c r="BL959" s="13"/>
      <c r="BM959" s="20"/>
      <c r="BN959" s="21"/>
      <c r="BO959" s="13"/>
    </row>
    <row r="960">
      <c r="I960" s="24"/>
      <c r="J960" s="25"/>
      <c r="K960" s="13"/>
      <c r="BK960" s="26"/>
      <c r="BL960" s="13"/>
      <c r="BM960" s="20"/>
      <c r="BN960" s="21"/>
      <c r="BO960" s="13"/>
    </row>
    <row r="961">
      <c r="I961" s="24"/>
      <c r="J961" s="25"/>
      <c r="K961" s="13"/>
      <c r="BK961" s="26"/>
      <c r="BL961" s="13"/>
      <c r="BM961" s="20"/>
      <c r="BN961" s="21"/>
      <c r="BO961" s="13"/>
    </row>
    <row r="962">
      <c r="I962" s="24"/>
      <c r="J962" s="25"/>
      <c r="K962" s="13"/>
      <c r="BK962" s="26"/>
      <c r="BL962" s="13"/>
      <c r="BM962" s="20"/>
      <c r="BN962" s="21"/>
      <c r="BO962" s="13"/>
    </row>
    <row r="963">
      <c r="I963" s="24"/>
      <c r="J963" s="25"/>
      <c r="K963" s="13"/>
      <c r="BK963" s="26"/>
      <c r="BL963" s="13"/>
      <c r="BM963" s="20"/>
      <c r="BN963" s="21"/>
      <c r="BO963" s="13"/>
    </row>
    <row r="964">
      <c r="I964" s="24"/>
      <c r="J964" s="25"/>
      <c r="K964" s="13"/>
      <c r="BK964" s="26"/>
      <c r="BL964" s="13"/>
      <c r="BM964" s="20"/>
      <c r="BN964" s="21"/>
      <c r="BO964" s="13"/>
    </row>
    <row r="965">
      <c r="I965" s="24"/>
      <c r="J965" s="25"/>
      <c r="K965" s="13"/>
      <c r="BK965" s="26"/>
      <c r="BL965" s="13"/>
      <c r="BM965" s="20"/>
      <c r="BN965" s="21"/>
      <c r="BO965" s="13"/>
    </row>
    <row r="966">
      <c r="I966" s="24"/>
      <c r="J966" s="25"/>
      <c r="K966" s="13"/>
      <c r="BK966" s="26"/>
      <c r="BL966" s="13"/>
      <c r="BM966" s="20"/>
      <c r="BN966" s="21"/>
      <c r="BO966" s="13"/>
    </row>
    <row r="967">
      <c r="I967" s="24"/>
      <c r="J967" s="25"/>
      <c r="K967" s="13"/>
      <c r="BK967" s="26"/>
      <c r="BL967" s="13"/>
      <c r="BM967" s="20"/>
      <c r="BN967" s="21"/>
      <c r="BO967" s="13"/>
    </row>
    <row r="968">
      <c r="I968" s="24"/>
      <c r="J968" s="25"/>
      <c r="K968" s="13"/>
      <c r="BK968" s="26"/>
      <c r="BL968" s="13"/>
      <c r="BM968" s="20"/>
      <c r="BN968" s="21"/>
      <c r="BO968" s="13"/>
    </row>
    <row r="969">
      <c r="I969" s="24"/>
      <c r="J969" s="25"/>
      <c r="K969" s="13"/>
      <c r="BK969" s="26"/>
      <c r="BL969" s="13"/>
      <c r="BM969" s="20"/>
      <c r="BN969" s="21"/>
      <c r="BO969" s="13"/>
    </row>
    <row r="970">
      <c r="I970" s="24"/>
      <c r="J970" s="25"/>
      <c r="K970" s="13"/>
      <c r="BK970" s="26"/>
      <c r="BL970" s="13"/>
      <c r="BM970" s="20"/>
      <c r="BN970" s="21"/>
      <c r="BO970" s="13"/>
    </row>
    <row r="971">
      <c r="I971" s="24"/>
      <c r="J971" s="25"/>
      <c r="K971" s="13"/>
      <c r="BK971" s="26"/>
      <c r="BL971" s="13"/>
      <c r="BM971" s="20"/>
      <c r="BN971" s="21"/>
      <c r="BO971" s="13"/>
    </row>
    <row r="972">
      <c r="I972" s="24"/>
      <c r="J972" s="25"/>
      <c r="K972" s="13"/>
      <c r="BK972" s="26"/>
      <c r="BL972" s="13"/>
      <c r="BM972" s="20"/>
      <c r="BN972" s="21"/>
      <c r="BO972" s="13"/>
    </row>
    <row r="973">
      <c r="I973" s="24"/>
      <c r="J973" s="25"/>
      <c r="K973" s="13"/>
      <c r="BK973" s="26"/>
      <c r="BL973" s="13"/>
      <c r="BM973" s="20"/>
      <c r="BN973" s="21"/>
      <c r="BO973" s="13"/>
    </row>
    <row r="974">
      <c r="I974" s="24"/>
      <c r="J974" s="25"/>
      <c r="K974" s="13"/>
      <c r="BK974" s="26"/>
      <c r="BL974" s="13"/>
      <c r="BM974" s="20"/>
      <c r="BN974" s="21"/>
      <c r="BO974" s="13"/>
    </row>
    <row r="975">
      <c r="I975" s="24"/>
      <c r="J975" s="25"/>
      <c r="K975" s="13"/>
      <c r="BK975" s="26"/>
      <c r="BL975" s="13"/>
      <c r="BM975" s="20"/>
      <c r="BN975" s="21"/>
      <c r="BO975" s="13"/>
    </row>
    <row r="976">
      <c r="I976" s="24"/>
      <c r="J976" s="25"/>
      <c r="K976" s="13"/>
      <c r="BK976" s="26"/>
      <c r="BL976" s="13"/>
      <c r="BM976" s="20"/>
      <c r="BN976" s="21"/>
      <c r="BO976" s="13"/>
    </row>
    <row r="977">
      <c r="I977" s="24"/>
      <c r="J977" s="25"/>
      <c r="K977" s="13"/>
      <c r="BK977" s="26"/>
      <c r="BL977" s="13"/>
      <c r="BM977" s="20"/>
      <c r="BN977" s="21"/>
      <c r="BO977" s="13"/>
    </row>
    <row r="978">
      <c r="I978" s="24"/>
      <c r="J978" s="25"/>
      <c r="K978" s="13"/>
      <c r="BK978" s="26"/>
      <c r="BL978" s="13"/>
      <c r="BM978" s="20"/>
      <c r="BN978" s="21"/>
      <c r="BO978" s="13"/>
    </row>
    <row r="979">
      <c r="I979" s="24"/>
      <c r="J979" s="25"/>
      <c r="K979" s="13"/>
      <c r="BK979" s="26"/>
      <c r="BL979" s="13"/>
      <c r="BM979" s="20"/>
      <c r="BN979" s="21"/>
      <c r="BO979" s="13"/>
    </row>
    <row r="980">
      <c r="I980" s="24"/>
      <c r="J980" s="25"/>
      <c r="K980" s="13"/>
      <c r="BK980" s="26"/>
      <c r="BL980" s="13"/>
      <c r="BM980" s="20"/>
      <c r="BN980" s="21"/>
      <c r="BO980" s="13"/>
    </row>
    <row r="981">
      <c r="I981" s="24"/>
      <c r="J981" s="25"/>
      <c r="K981" s="13"/>
      <c r="BK981" s="26"/>
      <c r="BL981" s="13"/>
      <c r="BM981" s="20"/>
      <c r="BN981" s="21"/>
      <c r="BO981" s="13"/>
    </row>
    <row r="982">
      <c r="I982" s="24"/>
      <c r="J982" s="25"/>
      <c r="K982" s="13"/>
      <c r="BK982" s="26"/>
      <c r="BL982" s="13"/>
      <c r="BM982" s="20"/>
      <c r="BN982" s="21"/>
      <c r="BO982" s="13"/>
    </row>
    <row r="983">
      <c r="I983" s="24"/>
      <c r="J983" s="25"/>
      <c r="K983" s="13"/>
      <c r="BK983" s="26"/>
      <c r="BL983" s="13"/>
      <c r="BM983" s="20"/>
      <c r="BN983" s="21"/>
      <c r="BO983" s="13"/>
    </row>
    <row r="984">
      <c r="I984" s="24"/>
      <c r="J984" s="25"/>
      <c r="K984" s="13"/>
      <c r="BK984" s="26"/>
      <c r="BL984" s="13"/>
      <c r="BM984" s="20"/>
      <c r="BN984" s="21"/>
      <c r="BO984" s="13"/>
    </row>
    <row r="985">
      <c r="I985" s="24"/>
      <c r="J985" s="25"/>
      <c r="K985" s="13"/>
      <c r="BK985" s="26"/>
      <c r="BL985" s="13"/>
      <c r="BM985" s="20"/>
      <c r="BN985" s="21"/>
      <c r="BO985" s="13"/>
    </row>
    <row r="986">
      <c r="I986" s="24"/>
      <c r="J986" s="25"/>
      <c r="K986" s="13"/>
      <c r="BK986" s="26"/>
      <c r="BL986" s="13"/>
      <c r="BM986" s="20"/>
      <c r="BN986" s="21"/>
      <c r="BO986" s="13"/>
    </row>
    <row r="987">
      <c r="I987" s="24"/>
      <c r="J987" s="25"/>
      <c r="K987" s="13"/>
      <c r="BK987" s="26"/>
      <c r="BL987" s="13"/>
      <c r="BM987" s="20"/>
      <c r="BN987" s="21"/>
      <c r="BO987" s="13"/>
    </row>
    <row r="988">
      <c r="I988" s="24"/>
      <c r="J988" s="25"/>
      <c r="K988" s="13"/>
      <c r="BK988" s="26"/>
      <c r="BL988" s="13"/>
      <c r="BM988" s="20"/>
      <c r="BN988" s="21"/>
      <c r="BO988" s="13"/>
    </row>
    <row r="989">
      <c r="I989" s="24"/>
      <c r="J989" s="25"/>
      <c r="K989" s="13"/>
      <c r="BK989" s="26"/>
      <c r="BL989" s="13"/>
      <c r="BM989" s="20"/>
      <c r="BN989" s="21"/>
      <c r="BO989" s="13"/>
    </row>
    <row r="990">
      <c r="I990" s="24"/>
      <c r="J990" s="25"/>
      <c r="K990" s="13"/>
      <c r="BK990" s="26"/>
      <c r="BL990" s="13"/>
      <c r="BM990" s="20"/>
      <c r="BN990" s="21"/>
      <c r="BO990" s="13"/>
    </row>
    <row r="991">
      <c r="I991" s="24"/>
      <c r="J991" s="25"/>
      <c r="K991" s="13"/>
      <c r="BK991" s="26"/>
      <c r="BL991" s="13"/>
      <c r="BM991" s="20"/>
      <c r="BN991" s="21"/>
      <c r="BO991" s="13"/>
    </row>
    <row r="992">
      <c r="I992" s="24"/>
      <c r="J992" s="25"/>
      <c r="K992" s="13"/>
      <c r="BK992" s="26"/>
      <c r="BL992" s="13"/>
      <c r="BM992" s="20"/>
      <c r="BN992" s="21"/>
      <c r="BO992" s="13"/>
    </row>
    <row r="993">
      <c r="I993" s="24"/>
      <c r="J993" s="25"/>
      <c r="K993" s="13"/>
      <c r="BK993" s="26"/>
      <c r="BL993" s="13"/>
      <c r="BM993" s="20"/>
      <c r="BN993" s="21"/>
      <c r="BO993" s="13"/>
    </row>
    <row r="994">
      <c r="I994" s="24"/>
      <c r="J994" s="25"/>
      <c r="K994" s="13"/>
      <c r="BK994" s="26"/>
      <c r="BL994" s="13"/>
      <c r="BM994" s="20"/>
      <c r="BN994" s="21"/>
      <c r="BO994" s="13"/>
    </row>
    <row r="995">
      <c r="I995" s="24"/>
      <c r="J995" s="25"/>
      <c r="K995" s="13"/>
      <c r="BK995" s="26"/>
      <c r="BL995" s="13"/>
      <c r="BM995" s="20"/>
      <c r="BN995" s="21"/>
      <c r="BO995" s="13"/>
    </row>
    <row r="996">
      <c r="I996" s="24"/>
      <c r="J996" s="25"/>
      <c r="K996" s="13"/>
      <c r="BK996" s="26"/>
      <c r="BL996" s="13"/>
      <c r="BM996" s="20"/>
      <c r="BN996" s="21"/>
      <c r="BO996" s="13"/>
    </row>
    <row r="997">
      <c r="I997" s="24"/>
      <c r="J997" s="25"/>
      <c r="K997" s="13"/>
      <c r="BK997" s="26"/>
      <c r="BL997" s="13"/>
      <c r="BM997" s="20"/>
      <c r="BN997" s="21"/>
      <c r="BO997" s="13"/>
    </row>
    <row r="998">
      <c r="I998" s="24"/>
      <c r="J998" s="25"/>
      <c r="K998" s="13"/>
      <c r="BK998" s="26"/>
      <c r="BL998" s="13"/>
      <c r="BM998" s="20"/>
      <c r="BN998" s="21"/>
      <c r="BO998" s="13"/>
    </row>
    <row r="999">
      <c r="I999" s="24"/>
      <c r="J999" s="25"/>
      <c r="K999" s="13"/>
      <c r="BK999" s="26"/>
      <c r="BL999" s="13"/>
      <c r="BM999" s="20"/>
      <c r="BN999" s="21"/>
      <c r="BO999" s="13"/>
    </row>
  </sheetData>
  <hyperlinks>
    <hyperlink r:id="rId1" ref="AV2"/>
    <hyperlink r:id="rId2" ref="BP2"/>
    <hyperlink r:id="rId3" ref="AV3"/>
    <hyperlink r:id="rId4" ref="AV4"/>
    <hyperlink r:id="rId5" ref="AV5"/>
    <hyperlink r:id="rId6" ref="AV6"/>
    <hyperlink r:id="rId7" ref="AV7"/>
    <hyperlink r:id="rId8" ref="S8"/>
    <hyperlink r:id="rId9" ref="T8"/>
    <hyperlink r:id="rId10" ref="AV8"/>
    <hyperlink r:id="rId11" ref="AV9"/>
    <hyperlink r:id="rId12" ref="AV10"/>
    <hyperlink r:id="rId13" ref="AV11"/>
    <hyperlink r:id="rId14" ref="AV12"/>
    <hyperlink r:id="rId15" ref="AV13"/>
    <hyperlink r:id="rId16" ref="AV14"/>
    <hyperlink r:id="rId17" ref="AV15"/>
    <hyperlink r:id="rId18" ref="AV16"/>
    <hyperlink r:id="rId19" ref="AV17"/>
    <hyperlink r:id="rId20" ref="AV18"/>
    <hyperlink r:id="rId21" ref="AV19"/>
    <hyperlink r:id="rId22" ref="AV20"/>
    <hyperlink r:id="rId23" ref="AV21"/>
    <hyperlink r:id="rId24" ref="Z22"/>
    <hyperlink r:id="rId25" ref="AV22"/>
    <hyperlink r:id="rId26" ref="AV23"/>
    <hyperlink r:id="rId27" ref="AV24"/>
    <hyperlink r:id="rId28" ref="AV25"/>
    <hyperlink r:id="rId29" ref="AV26"/>
    <hyperlink r:id="rId30" ref="AV27"/>
    <hyperlink r:id="rId31" ref="AV28"/>
    <hyperlink r:id="rId32" ref="AV29"/>
    <hyperlink r:id="rId33" ref="AV30"/>
    <hyperlink r:id="rId34" ref="AV31"/>
    <hyperlink r:id="rId35" ref="AV32"/>
    <hyperlink r:id="rId36" ref="AV33"/>
    <hyperlink r:id="rId37" ref="AV34"/>
    <hyperlink r:id="rId38" ref="AV35"/>
    <hyperlink r:id="rId39" ref="AV36"/>
    <hyperlink r:id="rId40" ref="AV37"/>
    <hyperlink r:id="rId41" ref="AV38"/>
    <hyperlink r:id="rId42" ref="AV39"/>
    <hyperlink r:id="rId43" ref="AV40"/>
    <hyperlink r:id="rId44" ref="AV41"/>
    <hyperlink r:id="rId45" ref="AV42"/>
    <hyperlink r:id="rId46" ref="AV43"/>
    <hyperlink r:id="rId47" ref="AV44"/>
    <hyperlink r:id="rId48" ref="AV45"/>
    <hyperlink r:id="rId49" ref="AV46"/>
    <hyperlink r:id="rId50" ref="AV47"/>
    <hyperlink r:id="rId51" ref="AV48"/>
    <hyperlink r:id="rId52" ref="AV49"/>
    <hyperlink r:id="rId53" ref="AV50"/>
    <hyperlink r:id="rId54" ref="AV51"/>
    <hyperlink r:id="rId55" ref="AV52"/>
    <hyperlink r:id="rId56" ref="AV53"/>
    <hyperlink r:id="rId57" ref="AV54"/>
    <hyperlink r:id="rId58" ref="AV55"/>
    <hyperlink r:id="rId59" ref="AV56"/>
    <hyperlink r:id="rId60" ref="AV57"/>
    <hyperlink r:id="rId61" ref="AV58"/>
    <hyperlink r:id="rId62" ref="AV59"/>
    <hyperlink r:id="rId63" ref="AV60"/>
    <hyperlink r:id="rId64" ref="AV61"/>
    <hyperlink r:id="rId65" ref="AV62"/>
    <hyperlink r:id="rId66" ref="AV63"/>
    <hyperlink r:id="rId67" ref="AV64"/>
  </hyperlinks>
  <drawing r:id="rId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tr">
        <f>IFERROR(__xludf.DUMMYFUNCTION("IMPORTRANGE(""1FEjfHPYbXNv3b-Off1-2MUx6us3c4KKmQYyIhyulJF0"",""Sponsor Trackrecord!A:G"")"),"Sponsor")</f>
        <v>Sponsor</v>
      </c>
      <c r="B1" s="17" t="str">
        <f>IFERROR(__xludf.DUMMYFUNCTION("""COMPUTED_VALUE"""),"Investment")</f>
        <v>Investment</v>
      </c>
      <c r="C1" s="17" t="str">
        <f>IFERROR(__xludf.DUMMYFUNCTION("""COMPUTED_VALUE"""),"Location")</f>
        <v>Location</v>
      </c>
      <c r="D1" s="17" t="str">
        <f>IFERROR(__xludf.DUMMYFUNCTION("""COMPUTED_VALUE"""),"Asset Class")</f>
        <v>Asset Class</v>
      </c>
      <c r="E1" s="17" t="str">
        <f>IFERROR(__xludf.DUMMYFUNCTION("""COMPUTED_VALUE"""),"Hold Period")</f>
        <v>Hold Period</v>
      </c>
      <c r="F1" s="27" t="str">
        <f>IFERROR(__xludf.DUMMYFUNCTION("""COMPUTED_VALUE"""),"Equity Multiple")</f>
        <v>Equity Multiple</v>
      </c>
      <c r="G1" s="17" t="str">
        <f>IFERROR(__xludf.DUMMYFUNCTION("""COMPUTED_VALUE"""),"Annual Return")</f>
        <v>Annual Return</v>
      </c>
    </row>
    <row r="2">
      <c r="A2" s="17" t="str">
        <f>IFERROR(__xludf.DUMMYFUNCTION("""COMPUTED_VALUE"""),"Passco")</f>
        <v>Passco</v>
      </c>
      <c r="B2" s="17" t="str">
        <f>IFERROR(__xludf.DUMMYFUNCTION("""COMPUTED_VALUE"""),"1000 West")</f>
        <v>1000 West</v>
      </c>
      <c r="C2" s="17" t="str">
        <f>IFERROR(__xludf.DUMMYFUNCTION("""COMPUTED_VALUE"""),"Charleston, SC")</f>
        <v>Charleston, SC</v>
      </c>
      <c r="D2" s="17" t="str">
        <f>IFERROR(__xludf.DUMMYFUNCTION("""COMPUTED_VALUE"""),"Multifamily")</f>
        <v>Multifamily</v>
      </c>
      <c r="E2" s="17">
        <f>IFERROR(__xludf.DUMMYFUNCTION("""COMPUTED_VALUE"""),5.0)</f>
        <v>5</v>
      </c>
      <c r="F2" s="27">
        <f>IFERROR(__xludf.DUMMYFUNCTION("""COMPUTED_VALUE"""),2.16)</f>
        <v>2.16</v>
      </c>
      <c r="G2" s="13">
        <f>IFERROR(__xludf.DUMMYFUNCTION("""COMPUTED_VALUE"""),0.1664)</f>
        <v>0.1664</v>
      </c>
    </row>
    <row r="3">
      <c r="A3" s="17" t="str">
        <f>IFERROR(__xludf.DUMMYFUNCTION("""COMPUTED_VALUE"""),"Syndicated Equities")</f>
        <v>Syndicated Equities</v>
      </c>
      <c r="B3" s="17" t="str">
        <f>IFERROR(__xludf.DUMMYFUNCTION("""COMPUTED_VALUE"""),"11 Stanwix")</f>
        <v>11 Stanwix</v>
      </c>
      <c r="C3" s="17" t="str">
        <f>IFERROR(__xludf.DUMMYFUNCTION("""COMPUTED_VALUE"""),"Pittsburgh, PA")</f>
        <v>Pittsburgh, PA</v>
      </c>
      <c r="D3" s="17"/>
      <c r="E3" s="17">
        <f>IFERROR(__xludf.DUMMYFUNCTION("""COMPUTED_VALUE"""),7.51)</f>
        <v>7.51</v>
      </c>
      <c r="F3" s="27">
        <f>IFERROR(__xludf.DUMMYFUNCTION("""COMPUTED_VALUE"""),0.28)</f>
        <v>0.28</v>
      </c>
      <c r="G3" s="13">
        <f>IFERROR(__xludf.DUMMYFUNCTION("""COMPUTED_VALUE"""),-0.156)</f>
        <v>-0.156</v>
      </c>
    </row>
    <row r="4">
      <c r="A4" s="17" t="str">
        <f>IFERROR(__xludf.DUMMYFUNCTION("""COMPUTED_VALUE"""),"Time Equities")</f>
        <v>Time Equities</v>
      </c>
      <c r="B4" s="17" t="str">
        <f>IFERROR(__xludf.DUMMYFUNCTION("""COMPUTED_VALUE"""),"124 Hudson Street TIC")</f>
        <v>124 Hudson Street TIC</v>
      </c>
      <c r="C4" s="17" t="str">
        <f>IFERROR(__xludf.DUMMYFUNCTION("""COMPUTED_VALUE"""),"New York, NY")</f>
        <v>New York, NY</v>
      </c>
      <c r="D4" s="17" t="str">
        <f>IFERROR(__xludf.DUMMYFUNCTION("""COMPUTED_VALUE"""),"Retail")</f>
        <v>Retail</v>
      </c>
      <c r="E4" s="17">
        <f>IFERROR(__xludf.DUMMYFUNCTION("""COMPUTED_VALUE"""),12.05)</f>
        <v>12.05</v>
      </c>
      <c r="F4" s="27">
        <f>IFERROR(__xludf.DUMMYFUNCTION("""COMPUTED_VALUE"""),2.42)</f>
        <v>2.42</v>
      </c>
      <c r="G4" s="13">
        <f>IFERROR(__xludf.DUMMYFUNCTION("""COMPUTED_VALUE"""),0.0868)</f>
        <v>0.0868</v>
      </c>
    </row>
    <row r="5">
      <c r="A5" s="17" t="str">
        <f>IFERROR(__xludf.DUMMYFUNCTION("""COMPUTED_VALUE"""),"Syndicated Equities")</f>
        <v>Syndicated Equities</v>
      </c>
      <c r="B5" s="17" t="str">
        <f>IFERROR(__xludf.DUMMYFUNCTION("""COMPUTED_VALUE"""),"1501 Jackson")</f>
        <v>1501 Jackson</v>
      </c>
      <c r="C5" s="17" t="str">
        <f>IFERROR(__xludf.DUMMYFUNCTION("""COMPUTED_VALUE"""),"Omaha, NE")</f>
        <v>Omaha, NE</v>
      </c>
      <c r="D5" s="17"/>
      <c r="E5" s="17">
        <f>IFERROR(__xludf.DUMMYFUNCTION("""COMPUTED_VALUE"""),8.78)</f>
        <v>8.78</v>
      </c>
      <c r="F5" s="27">
        <f>IFERROR(__xludf.DUMMYFUNCTION("""COMPUTED_VALUE"""),0.28)</f>
        <v>0.28</v>
      </c>
      <c r="G5" s="13">
        <f>IFERROR(__xludf.DUMMYFUNCTION("""COMPUTED_VALUE"""),-0.135)</f>
        <v>-0.135</v>
      </c>
    </row>
    <row r="6">
      <c r="A6" s="17" t="str">
        <f>IFERROR(__xludf.DUMMYFUNCTION("""COMPUTED_VALUE"""),"Time Equities")</f>
        <v>Time Equities</v>
      </c>
      <c r="B6" s="17" t="str">
        <f>IFERROR(__xludf.DUMMYFUNCTION("""COMPUTED_VALUE"""),"185 Oregon Equities LLC")</f>
        <v>185 Oregon Equities LLC</v>
      </c>
      <c r="C6" s="17" t="str">
        <f>IFERROR(__xludf.DUMMYFUNCTION("""COMPUTED_VALUE"""),"Hillsboro, OR")</f>
        <v>Hillsboro, OR</v>
      </c>
      <c r="D6" s="17" t="str">
        <f>IFERROR(__xludf.DUMMYFUNCTION("""COMPUTED_VALUE"""),"Office")</f>
        <v>Office</v>
      </c>
      <c r="E6" s="17">
        <f>IFERROR(__xludf.DUMMYFUNCTION("""COMPUTED_VALUE"""),11.65)</f>
        <v>11.65</v>
      </c>
      <c r="F6" s="27">
        <f>IFERROR(__xludf.DUMMYFUNCTION("""COMPUTED_VALUE"""),4.65)</f>
        <v>4.65</v>
      </c>
      <c r="G6" s="13">
        <f>IFERROR(__xludf.DUMMYFUNCTION("""COMPUTED_VALUE"""),0.2515)</f>
        <v>0.2515</v>
      </c>
    </row>
    <row r="7">
      <c r="A7" s="17" t="str">
        <f>IFERROR(__xludf.DUMMYFUNCTION("""COMPUTED_VALUE"""),"Syndicated Equities")</f>
        <v>Syndicated Equities</v>
      </c>
      <c r="B7" s="17" t="str">
        <f>IFERROR(__xludf.DUMMYFUNCTION("""COMPUTED_VALUE"""),"2215 Sanders Road")</f>
        <v>2215 Sanders Road</v>
      </c>
      <c r="C7" s="17" t="str">
        <f>IFERROR(__xludf.DUMMYFUNCTION("""COMPUTED_VALUE"""),"Northbrook, IL")</f>
        <v>Northbrook, IL</v>
      </c>
      <c r="D7" s="17"/>
      <c r="E7" s="17">
        <f>IFERROR(__xludf.DUMMYFUNCTION("""COMPUTED_VALUE"""),10.21)</f>
        <v>10.21</v>
      </c>
      <c r="F7" s="27">
        <f>IFERROR(__xludf.DUMMYFUNCTION("""COMPUTED_VALUE"""),0.18)</f>
        <v>0.18</v>
      </c>
      <c r="G7" s="13">
        <f>IFERROR(__xludf.DUMMYFUNCTION("""COMPUTED_VALUE"""),-0.1546)</f>
        <v>-0.1546</v>
      </c>
    </row>
    <row r="8">
      <c r="A8" s="17" t="str">
        <f>IFERROR(__xludf.DUMMYFUNCTION("""COMPUTED_VALUE"""),"Bluerock")</f>
        <v>Bluerock</v>
      </c>
      <c r="B8" s="17" t="str">
        <f>IFERROR(__xludf.DUMMYFUNCTION("""COMPUTED_VALUE"""),"23Hundred Berry Hill")</f>
        <v>23Hundred Berry Hill</v>
      </c>
      <c r="C8" s="17" t="str">
        <f>IFERROR(__xludf.DUMMYFUNCTION("""COMPUTED_VALUE"""),"Nashville, TN")</f>
        <v>Nashville, TN</v>
      </c>
      <c r="D8" s="17" t="str">
        <f>IFERROR(__xludf.DUMMYFUNCTION("""COMPUTED_VALUE"""),"Multifamily")</f>
        <v>Multifamily</v>
      </c>
      <c r="E8" s="17">
        <f>IFERROR(__xludf.DUMMYFUNCTION("""COMPUTED_VALUE"""),2.25)</f>
        <v>2.25</v>
      </c>
      <c r="F8" s="27">
        <f>IFERROR(__xludf.DUMMYFUNCTION("""COMPUTED_VALUE"""),1.88)</f>
        <v>1.88</v>
      </c>
      <c r="G8" s="13">
        <f>IFERROR(__xludf.DUMMYFUNCTION("""COMPUTED_VALUE"""),0.437)</f>
        <v>0.437</v>
      </c>
    </row>
    <row r="9">
      <c r="A9" s="17" t="str">
        <f>IFERROR(__xludf.DUMMYFUNCTION("""COMPUTED_VALUE"""),"Syndicated Equities")</f>
        <v>Syndicated Equities</v>
      </c>
      <c r="B9" s="17" t="str">
        <f>IFERROR(__xludf.DUMMYFUNCTION("""COMPUTED_VALUE"""),"309 Green Street")</f>
        <v>309 Green Street</v>
      </c>
      <c r="C9" s="17" t="str">
        <f>IFERROR(__xludf.DUMMYFUNCTION("""COMPUTED_VALUE"""),"Champaign, IL")</f>
        <v>Champaign, IL</v>
      </c>
      <c r="D9" s="17"/>
      <c r="E9" s="17">
        <f>IFERROR(__xludf.DUMMYFUNCTION("""COMPUTED_VALUE"""),1.87)</f>
        <v>1.87</v>
      </c>
      <c r="F9" s="27">
        <f>IFERROR(__xludf.DUMMYFUNCTION("""COMPUTED_VALUE"""),1.3)</f>
        <v>1.3</v>
      </c>
      <c r="G9" s="13">
        <f>IFERROR(__xludf.DUMMYFUNCTION("""COMPUTED_VALUE"""),0.1504)</f>
        <v>0.1504</v>
      </c>
    </row>
    <row r="10">
      <c r="A10" s="17" t="str">
        <f>IFERROR(__xludf.DUMMYFUNCTION("""COMPUTED_VALUE"""),"Denholtz")</f>
        <v>Denholtz</v>
      </c>
      <c r="B10" s="17" t="str">
        <f>IFERROR(__xludf.DUMMYFUNCTION("""COMPUTED_VALUE"""),"3AAA")</f>
        <v>3AAA</v>
      </c>
      <c r="C10" s="17" t="str">
        <f>IFERROR(__xludf.DUMMYFUNCTION("""COMPUTED_VALUE"""),"Hamilton, NJ")</f>
        <v>Hamilton, NJ</v>
      </c>
      <c r="D10" s="17" t="str">
        <f>IFERROR(__xludf.DUMMYFUNCTION("""COMPUTED_VALUE"""),"Industrial")</f>
        <v>Industrial</v>
      </c>
      <c r="E10" s="17">
        <f>IFERROR(__xludf.DUMMYFUNCTION("""COMPUTED_VALUE"""),4.0)</f>
        <v>4</v>
      </c>
      <c r="F10" s="27" t="str">
        <f>IFERROR(__xludf.DUMMYFUNCTION("""COMPUTED_VALUE"""),"1.44x")</f>
        <v>1.44x</v>
      </c>
      <c r="G10" s="13">
        <f>IFERROR(__xludf.DUMMYFUNCTION("""COMPUTED_VALUE"""),0.0941)</f>
        <v>0.0941</v>
      </c>
    </row>
    <row r="11">
      <c r="A11" s="17" t="str">
        <f>IFERROR(__xludf.DUMMYFUNCTION("""COMPUTED_VALUE"""),"Syndicated Equities")</f>
        <v>Syndicated Equities</v>
      </c>
      <c r="B11" s="17" t="str">
        <f>IFERROR(__xludf.DUMMYFUNCTION("""COMPUTED_VALUE"""),"400 Skokie Blvd.")</f>
        <v>400 Skokie Blvd.</v>
      </c>
      <c r="C11" s="17" t="str">
        <f>IFERROR(__xludf.DUMMYFUNCTION("""COMPUTED_VALUE"""),"Northbrook, IL")</f>
        <v>Northbrook, IL</v>
      </c>
      <c r="D11" s="17"/>
      <c r="E11" s="17">
        <f>IFERROR(__xludf.DUMMYFUNCTION("""COMPUTED_VALUE"""),7.36)</f>
        <v>7.36</v>
      </c>
      <c r="F11" s="27">
        <f>IFERROR(__xludf.DUMMYFUNCTION("""COMPUTED_VALUE"""),0.15)</f>
        <v>0.15</v>
      </c>
      <c r="G11" s="13">
        <f>IFERROR(__xludf.DUMMYFUNCTION("""COMPUTED_VALUE"""),-0.2272)</f>
        <v>-0.2272</v>
      </c>
    </row>
    <row r="12">
      <c r="A12" s="17" t="str">
        <f>IFERROR(__xludf.DUMMYFUNCTION("""COMPUTED_VALUE"""),"Denholtz")</f>
        <v>Denholtz</v>
      </c>
      <c r="B12" s="17" t="str">
        <f>IFERROR(__xludf.DUMMYFUNCTION("""COMPUTED_VALUE"""),"490 First Ave")</f>
        <v>490 First Ave</v>
      </c>
      <c r="C12" s="17" t="str">
        <f>IFERROR(__xludf.DUMMYFUNCTION("""COMPUTED_VALUE"""),"St. Petersburg, FL")</f>
        <v>St. Petersburg, FL</v>
      </c>
      <c r="D12" s="17" t="str">
        <f>IFERROR(__xludf.DUMMYFUNCTION("""COMPUTED_VALUE"""),"Office")</f>
        <v>Office</v>
      </c>
      <c r="E12" s="17">
        <f>IFERROR(__xludf.DUMMYFUNCTION("""COMPUTED_VALUE"""),2.67)</f>
        <v>2.67</v>
      </c>
      <c r="F12" s="27" t="str">
        <f>IFERROR(__xludf.DUMMYFUNCTION("""COMPUTED_VALUE"""),"1.87x")</f>
        <v>1.87x</v>
      </c>
      <c r="G12" s="13">
        <f>IFERROR(__xludf.DUMMYFUNCTION("""COMPUTED_VALUE"""),0.2666)</f>
        <v>0.2666</v>
      </c>
    </row>
    <row r="13">
      <c r="A13" s="17" t="str">
        <f>IFERROR(__xludf.DUMMYFUNCTION("""COMPUTED_VALUE"""),"Syndicated Equities")</f>
        <v>Syndicated Equities</v>
      </c>
      <c r="B13" s="17" t="str">
        <f>IFERROR(__xludf.DUMMYFUNCTION("""COMPUTED_VALUE"""),"840 1st Street")</f>
        <v>840 1st Street</v>
      </c>
      <c r="C13" s="17" t="str">
        <f>IFERROR(__xludf.DUMMYFUNCTION("""COMPUTED_VALUE"""),"Washington, DC")</f>
        <v>Washington, DC</v>
      </c>
      <c r="D13" s="17"/>
      <c r="E13" s="17">
        <f>IFERROR(__xludf.DUMMYFUNCTION("""COMPUTED_VALUE"""),1.56)</f>
        <v>1.56</v>
      </c>
      <c r="F13" s="27">
        <f>IFERROR(__xludf.DUMMYFUNCTION("""COMPUTED_VALUE"""),1.41)</f>
        <v>1.41</v>
      </c>
      <c r="G13" s="13">
        <f>IFERROR(__xludf.DUMMYFUNCTION("""COMPUTED_VALUE"""),0.2473)</f>
        <v>0.2473</v>
      </c>
    </row>
    <row r="14">
      <c r="A14" s="17" t="str">
        <f>IFERROR(__xludf.DUMMYFUNCTION("""COMPUTED_VALUE"""),"AEI Capital Corporation")</f>
        <v>AEI Capital Corporation</v>
      </c>
      <c r="B14" s="17" t="str">
        <f>IFERROR(__xludf.DUMMYFUNCTION("""COMPUTED_VALUE"""),"Aaron's")</f>
        <v>Aaron's</v>
      </c>
      <c r="C14" s="17" t="str">
        <f>IFERROR(__xludf.DUMMYFUNCTION("""COMPUTED_VALUE"""),"Muscle Shoals, AL")</f>
        <v>Muscle Shoals, AL</v>
      </c>
      <c r="D14" s="17" t="str">
        <f>IFERROR(__xludf.DUMMYFUNCTION("""COMPUTED_VALUE"""),"Net Lease")</f>
        <v>Net Lease</v>
      </c>
      <c r="E14" s="17">
        <f>IFERROR(__xludf.DUMMYFUNCTION("""COMPUTED_VALUE"""),17.56)</f>
        <v>17.56</v>
      </c>
      <c r="F14" s="27">
        <f>IFERROR(__xludf.DUMMYFUNCTION("""COMPUTED_VALUE"""),0.79)</f>
        <v>0.79</v>
      </c>
      <c r="G14" s="13">
        <f>IFERROR(__xludf.DUMMYFUNCTION("""COMPUTED_VALUE"""),0.0296)</f>
        <v>0.0296</v>
      </c>
    </row>
    <row r="15">
      <c r="A15" s="17" t="str">
        <f>IFERROR(__xludf.DUMMYFUNCTION("""COMPUTED_VALUE"""),"Four Springs Capital")</f>
        <v>Four Springs Capital</v>
      </c>
      <c r="B15" s="17" t="str">
        <f>IFERROR(__xludf.DUMMYFUNCTION("""COMPUTED_VALUE"""),"Aaron's Inc. – Anderson, SC")</f>
        <v>Aaron's Inc. – Anderson, SC</v>
      </c>
      <c r="C15" s="17" t="str">
        <f>IFERROR(__xludf.DUMMYFUNCTION("""COMPUTED_VALUE"""),"Anderson, SC")</f>
        <v>Anderson, SC</v>
      </c>
      <c r="D15" s="17" t="str">
        <f>IFERROR(__xludf.DUMMYFUNCTION("""COMPUTED_VALUE"""),"Retail")</f>
        <v>Retail</v>
      </c>
      <c r="E15" s="17">
        <f>IFERROR(__xludf.DUMMYFUNCTION("""COMPUTED_VALUE"""),2.41)</f>
        <v>2.41</v>
      </c>
      <c r="F15" s="27">
        <f>IFERROR(__xludf.DUMMYFUNCTION("""COMPUTED_VALUE"""),1.17)</f>
        <v>1.17</v>
      </c>
      <c r="G15" s="13">
        <f>IFERROR(__xludf.DUMMYFUNCTION("""COMPUTED_VALUE"""),0.072)</f>
        <v>0.072</v>
      </c>
    </row>
    <row r="16">
      <c r="A16" s="17" t="str">
        <f>IFERROR(__xludf.DUMMYFUNCTION("""COMPUTED_VALUE"""),"Four Springs Capital")</f>
        <v>Four Springs Capital</v>
      </c>
      <c r="B16" s="17" t="str">
        <f>IFERROR(__xludf.DUMMYFUNCTION("""COMPUTED_VALUE"""),"Aaron's Inc. – Artesia, NM")</f>
        <v>Aaron's Inc. – Artesia, NM</v>
      </c>
      <c r="C16" s="17" t="str">
        <f>IFERROR(__xludf.DUMMYFUNCTION("""COMPUTED_VALUE"""),"Artesia, NM")</f>
        <v>Artesia, NM</v>
      </c>
      <c r="D16" s="17" t="str">
        <f>IFERROR(__xludf.DUMMYFUNCTION("""COMPUTED_VALUE"""),"Retail")</f>
        <v>Retail</v>
      </c>
      <c r="E16" s="17">
        <f>IFERROR(__xludf.DUMMYFUNCTION("""COMPUTED_VALUE"""),2.79)</f>
        <v>2.79</v>
      </c>
      <c r="F16" s="27">
        <f>IFERROR(__xludf.DUMMYFUNCTION("""COMPUTED_VALUE"""),1.2)</f>
        <v>1.2</v>
      </c>
      <c r="G16" s="13">
        <f>IFERROR(__xludf.DUMMYFUNCTION("""COMPUTED_VALUE"""),0.072)</f>
        <v>0.072</v>
      </c>
    </row>
    <row r="17">
      <c r="A17" s="17" t="str">
        <f>IFERROR(__xludf.DUMMYFUNCTION("""COMPUTED_VALUE"""),"Four Springs Capital")</f>
        <v>Four Springs Capital</v>
      </c>
      <c r="B17" s="17" t="str">
        <f>IFERROR(__xludf.DUMMYFUNCTION("""COMPUTED_VALUE"""),"Aaron's Inc. – Charleston, SC")</f>
        <v>Aaron's Inc. – Charleston, SC</v>
      </c>
      <c r="C17" s="17" t="str">
        <f>IFERROR(__xludf.DUMMYFUNCTION("""COMPUTED_VALUE"""),"Charleston, SC")</f>
        <v>Charleston, SC</v>
      </c>
      <c r="D17" s="17" t="str">
        <f>IFERROR(__xludf.DUMMYFUNCTION("""COMPUTED_VALUE"""),"Retail")</f>
        <v>Retail</v>
      </c>
      <c r="E17" s="17">
        <f>IFERROR(__xludf.DUMMYFUNCTION("""COMPUTED_VALUE"""),2.56)</f>
        <v>2.56</v>
      </c>
      <c r="F17" s="27">
        <f>IFERROR(__xludf.DUMMYFUNCTION("""COMPUTED_VALUE"""),1.18)</f>
        <v>1.18</v>
      </c>
      <c r="G17" s="13">
        <f>IFERROR(__xludf.DUMMYFUNCTION("""COMPUTED_VALUE"""),0.0701)</f>
        <v>0.0701</v>
      </c>
    </row>
    <row r="18">
      <c r="A18" s="17" t="str">
        <f>IFERROR(__xludf.DUMMYFUNCTION("""COMPUTED_VALUE"""),"Four Springs Capital")</f>
        <v>Four Springs Capital</v>
      </c>
      <c r="B18" s="17" t="str">
        <f>IFERROR(__xludf.DUMMYFUNCTION("""COMPUTED_VALUE"""),"Aaron's Inc. – Huntsville, AL")</f>
        <v>Aaron's Inc. – Huntsville, AL</v>
      </c>
      <c r="C18" s="17" t="str">
        <f>IFERROR(__xludf.DUMMYFUNCTION("""COMPUTED_VALUE"""),"Huntsville, AL")</f>
        <v>Huntsville, AL</v>
      </c>
      <c r="D18" s="17" t="str">
        <f>IFERROR(__xludf.DUMMYFUNCTION("""COMPUTED_VALUE"""),"Retail")</f>
        <v>Retail</v>
      </c>
      <c r="E18" s="17">
        <f>IFERROR(__xludf.DUMMYFUNCTION("""COMPUTED_VALUE"""),2.59)</f>
        <v>2.59</v>
      </c>
      <c r="F18" s="27">
        <f>IFERROR(__xludf.DUMMYFUNCTION("""COMPUTED_VALUE"""),1.19)</f>
        <v>1.19</v>
      </c>
      <c r="G18" s="13">
        <f>IFERROR(__xludf.DUMMYFUNCTION("""COMPUTED_VALUE"""),0.072)</f>
        <v>0.072</v>
      </c>
    </row>
    <row r="19">
      <c r="A19" s="17" t="str">
        <f>IFERROR(__xludf.DUMMYFUNCTION("""COMPUTED_VALUE"""),"Four Springs Capital")</f>
        <v>Four Springs Capital</v>
      </c>
      <c r="B19" s="17" t="str">
        <f>IFERROR(__xludf.DUMMYFUNCTION("""COMPUTED_VALUE"""),"Aaron's Inc. – Newport News, VA")</f>
        <v>Aaron's Inc. – Newport News, VA</v>
      </c>
      <c r="C19" s="17" t="str">
        <f>IFERROR(__xludf.DUMMYFUNCTION("""COMPUTED_VALUE"""),"Newport News, VA")</f>
        <v>Newport News, VA</v>
      </c>
      <c r="D19" s="17" t="str">
        <f>IFERROR(__xludf.DUMMYFUNCTION("""COMPUTED_VALUE"""),"Retail")</f>
        <v>Retail</v>
      </c>
      <c r="E19" s="17">
        <f>IFERROR(__xludf.DUMMYFUNCTION("""COMPUTED_VALUE"""),3.01)</f>
        <v>3.01</v>
      </c>
      <c r="F19" s="27">
        <f>IFERROR(__xludf.DUMMYFUNCTION("""COMPUTED_VALUE"""),1.22)</f>
        <v>1.22</v>
      </c>
      <c r="G19" s="13">
        <f>IFERROR(__xludf.DUMMYFUNCTION("""COMPUTED_VALUE"""),0.072)</f>
        <v>0.072</v>
      </c>
    </row>
    <row r="20">
      <c r="A20" s="17" t="str">
        <f>IFERROR(__xludf.DUMMYFUNCTION("""COMPUTED_VALUE"""),"Time Equities")</f>
        <v>Time Equities</v>
      </c>
      <c r="B20" s="17" t="str">
        <f>IFERROR(__xludf.DUMMYFUNCTION("""COMPUTED_VALUE"""),"Abbeville")</f>
        <v>Abbeville</v>
      </c>
      <c r="C20" s="17" t="str">
        <f>IFERROR(__xludf.DUMMYFUNCTION("""COMPUTED_VALUE"""),"Abbeville, SC")</f>
        <v>Abbeville, SC</v>
      </c>
      <c r="D20" s="17" t="str">
        <f>IFERROR(__xludf.DUMMYFUNCTION("""COMPUTED_VALUE"""),"Retail")</f>
        <v>Retail</v>
      </c>
      <c r="E20" s="17">
        <f>IFERROR(__xludf.DUMMYFUNCTION("""COMPUTED_VALUE"""),4.68)</f>
        <v>4.68</v>
      </c>
      <c r="F20" s="27">
        <f>IFERROR(__xludf.DUMMYFUNCTION("""COMPUTED_VALUE"""),1.43)</f>
        <v>1.43</v>
      </c>
      <c r="G20" s="13">
        <f>IFERROR(__xludf.DUMMYFUNCTION("""COMPUTED_VALUE"""),0.1041)</f>
        <v>0.1041</v>
      </c>
    </row>
    <row r="21">
      <c r="A21" s="17" t="str">
        <f>IFERROR(__xludf.DUMMYFUNCTION("""COMPUTED_VALUE"""),"Syndicated Equities")</f>
        <v>Syndicated Equities</v>
      </c>
      <c r="B21" s="17" t="str">
        <f>IFERROR(__xludf.DUMMYFUNCTION("""COMPUTED_VALUE"""),"Abbott Labs Bio-Medical Portfolio")</f>
        <v>Abbott Labs Bio-Medical Portfolio</v>
      </c>
      <c r="C21" s="17" t="str">
        <f>IFERROR(__xludf.DUMMYFUNCTION("""COMPUTED_VALUE"""),"Minnetonka, MN")</f>
        <v>Minnetonka, MN</v>
      </c>
      <c r="D21" s="17"/>
      <c r="E21" s="17">
        <f>IFERROR(__xludf.DUMMYFUNCTION("""COMPUTED_VALUE"""),5.06)</f>
        <v>5.06</v>
      </c>
      <c r="F21" s="27">
        <f>IFERROR(__xludf.DUMMYFUNCTION("""COMPUTED_VALUE"""),2.35)</f>
        <v>2.35</v>
      </c>
      <c r="G21" s="13">
        <f>IFERROR(__xludf.DUMMYFUNCTION("""COMPUTED_VALUE"""),0.184)</f>
        <v>0.184</v>
      </c>
    </row>
    <row r="22">
      <c r="A22" s="17" t="str">
        <f>IFERROR(__xludf.DUMMYFUNCTION("""COMPUTED_VALUE"""),"Four Springs Capital")</f>
        <v>Four Springs Capital</v>
      </c>
      <c r="B22" s="17" t="str">
        <f>IFERROR(__xludf.DUMMYFUNCTION("""COMPUTED_VALUE"""),"Advance Auto Parts – Garner, NC")</f>
        <v>Advance Auto Parts – Garner, NC</v>
      </c>
      <c r="C22" s="17" t="str">
        <f>IFERROR(__xludf.DUMMYFUNCTION("""COMPUTED_VALUE"""),"Garner, NC")</f>
        <v>Garner, NC</v>
      </c>
      <c r="D22" s="17" t="str">
        <f>IFERROR(__xludf.DUMMYFUNCTION("""COMPUTED_VALUE"""),"Retail")</f>
        <v>Retail</v>
      </c>
      <c r="E22" s="17">
        <f>IFERROR(__xludf.DUMMYFUNCTION("""COMPUTED_VALUE"""),1.53)</f>
        <v>1.53</v>
      </c>
      <c r="F22" s="27">
        <f>IFERROR(__xludf.DUMMYFUNCTION("""COMPUTED_VALUE"""),1.12)</f>
        <v>1.12</v>
      </c>
      <c r="G22" s="13">
        <f>IFERROR(__xludf.DUMMYFUNCTION("""COMPUTED_VALUE"""),0.075)</f>
        <v>0.075</v>
      </c>
    </row>
    <row r="23">
      <c r="A23" s="17" t="str">
        <f>IFERROR(__xludf.DUMMYFUNCTION("""COMPUTED_VALUE"""),"Walton Global Holdings")</f>
        <v>Walton Global Holdings</v>
      </c>
      <c r="B23" s="17" t="str">
        <f>IFERROR(__xludf.DUMMYFUNCTION("""COMPUTED_VALUE"""),"Agate Warbonnet")</f>
        <v>Agate Warbonnet</v>
      </c>
      <c r="C23" s="17" t="str">
        <f>IFERROR(__xludf.DUMMYFUNCTION("""COMPUTED_VALUE"""),"Las Vegas, NV")</f>
        <v>Las Vegas, NV</v>
      </c>
      <c r="D23" s="17" t="str">
        <f>IFERROR(__xludf.DUMMYFUNCTION("""COMPUTED_VALUE"""),"Land")</f>
        <v>Land</v>
      </c>
      <c r="E23" s="17">
        <f>IFERROR(__xludf.DUMMYFUNCTION("""COMPUTED_VALUE"""),2.71)</f>
        <v>2.71</v>
      </c>
      <c r="F23" s="27" t="str">
        <f>IFERROR(__xludf.DUMMYFUNCTION("""COMPUTED_VALUE"""),"1.26x")</f>
        <v>1.26x</v>
      </c>
      <c r="G23" s="13">
        <f>IFERROR(__xludf.DUMMYFUNCTION("""COMPUTED_VALUE"""),0.1023)</f>
        <v>0.1023</v>
      </c>
    </row>
    <row r="24">
      <c r="A24" s="17" t="str">
        <f>IFERROR(__xludf.DUMMYFUNCTION("""COMPUTED_VALUE"""),"Bluerock")</f>
        <v>Bluerock</v>
      </c>
      <c r="B24" s="17" t="str">
        <f>IFERROR(__xludf.DUMMYFUNCTION("""COMPUTED_VALUE"""),"Alamance Reserve")</f>
        <v>Alamance Reserve</v>
      </c>
      <c r="C24" s="17" t="str">
        <f>IFERROR(__xludf.DUMMYFUNCTION("""COMPUTED_VALUE"""),"Burlington, NC")</f>
        <v>Burlington, NC</v>
      </c>
      <c r="D24" s="17" t="str">
        <f>IFERROR(__xludf.DUMMYFUNCTION("""COMPUTED_VALUE"""),"Multifamily")</f>
        <v>Multifamily</v>
      </c>
      <c r="E24" s="17">
        <f>IFERROR(__xludf.DUMMYFUNCTION("""COMPUTED_VALUE"""),4.17)</f>
        <v>4.17</v>
      </c>
      <c r="F24" s="27">
        <f>IFERROR(__xludf.DUMMYFUNCTION("""COMPUTED_VALUE"""),1.03)</f>
        <v>1.03</v>
      </c>
      <c r="G24" s="13">
        <f>IFERROR(__xludf.DUMMYFUNCTION("""COMPUTED_VALUE"""),0.069)</f>
        <v>0.069</v>
      </c>
    </row>
    <row r="25">
      <c r="A25" s="17" t="str">
        <f>IFERROR(__xludf.DUMMYFUNCTION("""COMPUTED_VALUE"""),"Bluerock")</f>
        <v>Bluerock</v>
      </c>
      <c r="B25" s="17" t="str">
        <f>IFERROR(__xludf.DUMMYFUNCTION("""COMPUTED_VALUE"""),"Alexan City Centre")</f>
        <v>Alexan City Centre</v>
      </c>
      <c r="C25" s="17" t="str">
        <f>IFERROR(__xludf.DUMMYFUNCTION("""COMPUTED_VALUE"""),"Houston, TX")</f>
        <v>Houston, TX</v>
      </c>
      <c r="D25" s="17" t="str">
        <f>IFERROR(__xludf.DUMMYFUNCTION("""COMPUTED_VALUE"""),"Multifamily")</f>
        <v>Multifamily</v>
      </c>
      <c r="E25" s="17">
        <f>IFERROR(__xludf.DUMMYFUNCTION("""COMPUTED_VALUE"""),7.58)</f>
        <v>7.58</v>
      </c>
      <c r="F25" s="27">
        <f>IFERROR(__xludf.DUMMYFUNCTION("""COMPUTED_VALUE"""),0.78)</f>
        <v>0.78</v>
      </c>
      <c r="G25" s="13">
        <f>IFERROR(__xludf.DUMMYFUNCTION("""COMPUTED_VALUE"""),-0.0647)</f>
        <v>-0.0647</v>
      </c>
    </row>
    <row r="26">
      <c r="A26" s="17" t="str">
        <f>IFERROR(__xludf.DUMMYFUNCTION("""COMPUTED_VALUE"""),"Bluerock")</f>
        <v>Bluerock</v>
      </c>
      <c r="B26" s="17" t="str">
        <f>IFERROR(__xludf.DUMMYFUNCTION("""COMPUTED_VALUE"""),"Alexan Southside Place")</f>
        <v>Alexan Southside Place</v>
      </c>
      <c r="C26" s="17" t="str">
        <f>IFERROR(__xludf.DUMMYFUNCTION("""COMPUTED_VALUE"""),"Houston, TX")</f>
        <v>Houston, TX</v>
      </c>
      <c r="D26" s="17" t="str">
        <f>IFERROR(__xludf.DUMMYFUNCTION("""COMPUTED_VALUE"""),"Multifamily")</f>
        <v>Multifamily</v>
      </c>
      <c r="E26" s="17">
        <f>IFERROR(__xludf.DUMMYFUNCTION("""COMPUTED_VALUE"""),6.17)</f>
        <v>6.17</v>
      </c>
      <c r="F26" s="27">
        <f>IFERROR(__xludf.DUMMYFUNCTION("""COMPUTED_VALUE"""),0.55)</f>
        <v>0.55</v>
      </c>
      <c r="G26" s="13">
        <f>IFERROR(__xludf.DUMMYFUNCTION("""COMPUTED_VALUE"""),-0.168)</f>
        <v>-0.168</v>
      </c>
    </row>
    <row r="27">
      <c r="A27" s="17" t="str">
        <f>IFERROR(__xludf.DUMMYFUNCTION("""COMPUTED_VALUE"""),"Walton Global Holdings")</f>
        <v>Walton Global Holdings</v>
      </c>
      <c r="B27" s="17" t="str">
        <f>IFERROR(__xludf.DUMMYFUNCTION("""COMPUTED_VALUE"""),"Alexander's Crossing - Crest")</f>
        <v>Alexander's Crossing - Crest</v>
      </c>
      <c r="C27" s="17" t="str">
        <f>IFERROR(__xludf.DUMMYFUNCTION("""COMPUTED_VALUE"""),"Washington, DC")</f>
        <v>Washington, DC</v>
      </c>
      <c r="D27" s="17" t="str">
        <f>IFERROR(__xludf.DUMMYFUNCTION("""COMPUTED_VALUE"""),"Land")</f>
        <v>Land</v>
      </c>
      <c r="E27" s="17">
        <f>IFERROR(__xludf.DUMMYFUNCTION("""COMPUTED_VALUE"""),10.83)</f>
        <v>10.83</v>
      </c>
      <c r="F27" s="27" t="str">
        <f>IFERROR(__xludf.DUMMYFUNCTION("""COMPUTED_VALUE"""),"1.66x")</f>
        <v>1.66x</v>
      </c>
      <c r="G27" s="13">
        <f>IFERROR(__xludf.DUMMYFUNCTION("""COMPUTED_VALUE"""),0.0479)</f>
        <v>0.0479</v>
      </c>
    </row>
    <row r="28">
      <c r="A28" s="17" t="str">
        <f>IFERROR(__xludf.DUMMYFUNCTION("""COMPUTED_VALUE"""),"Walton Global Holdings")</f>
        <v>Walton Global Holdings</v>
      </c>
      <c r="B28" s="17" t="str">
        <f>IFERROR(__xludf.DUMMYFUNCTION("""COMPUTED_VALUE"""),"Alexander's Crossing - Estates")</f>
        <v>Alexander's Crossing - Estates</v>
      </c>
      <c r="C28" s="17" t="str">
        <f>IFERROR(__xludf.DUMMYFUNCTION("""COMPUTED_VALUE"""),"Washington, DC")</f>
        <v>Washington, DC</v>
      </c>
      <c r="D28" s="17" t="str">
        <f>IFERROR(__xludf.DUMMYFUNCTION("""COMPUTED_VALUE"""),"Land")</f>
        <v>Land</v>
      </c>
      <c r="E28" s="17">
        <f>IFERROR(__xludf.DUMMYFUNCTION("""COMPUTED_VALUE"""),10.83)</f>
        <v>10.83</v>
      </c>
      <c r="F28" s="27" t="str">
        <f>IFERROR(__xludf.DUMMYFUNCTION("""COMPUTED_VALUE"""),"1.56x")</f>
        <v>1.56x</v>
      </c>
      <c r="G28" s="13">
        <f>IFERROR(__xludf.DUMMYFUNCTION("""COMPUTED_VALUE"""),0.0422)</f>
        <v>0.0422</v>
      </c>
    </row>
    <row r="29">
      <c r="A29" s="17" t="str">
        <f>IFERROR(__xludf.DUMMYFUNCTION("""COMPUTED_VALUE"""),"Walton Global Holdings")</f>
        <v>Walton Global Holdings</v>
      </c>
      <c r="B29" s="17" t="str">
        <f>IFERROR(__xludf.DUMMYFUNCTION("""COMPUTED_VALUE"""),"Alexander's Crossing - Park")</f>
        <v>Alexander's Crossing - Park</v>
      </c>
      <c r="C29" s="17" t="str">
        <f>IFERROR(__xludf.DUMMYFUNCTION("""COMPUTED_VALUE"""),"Washington, DC")</f>
        <v>Washington, DC</v>
      </c>
      <c r="D29" s="17" t="str">
        <f>IFERROR(__xludf.DUMMYFUNCTION("""COMPUTED_VALUE"""),"Land")</f>
        <v>Land</v>
      </c>
      <c r="E29" s="17">
        <f>IFERROR(__xludf.DUMMYFUNCTION("""COMPUTED_VALUE"""),10.58)</f>
        <v>10.58</v>
      </c>
      <c r="F29" s="27" t="str">
        <f>IFERROR(__xludf.DUMMYFUNCTION("""COMPUTED_VALUE"""),"1.47x")</f>
        <v>1.47x</v>
      </c>
      <c r="G29" s="13">
        <f>IFERROR(__xludf.DUMMYFUNCTION("""COMPUTED_VALUE"""),0.0374)</f>
        <v>0.0374</v>
      </c>
    </row>
    <row r="30">
      <c r="A30" s="17" t="str">
        <f>IFERROR(__xludf.DUMMYFUNCTION("""COMPUTED_VALUE"""),"Walton Global Holdings")</f>
        <v>Walton Global Holdings</v>
      </c>
      <c r="B30" s="17" t="str">
        <f>IFERROR(__xludf.DUMMYFUNCTION("""COMPUTED_VALUE"""),"Alexander's Crossing - Place")</f>
        <v>Alexander's Crossing - Place</v>
      </c>
      <c r="C30" s="17" t="str">
        <f>IFERROR(__xludf.DUMMYFUNCTION("""COMPUTED_VALUE"""),"Washington, DC")</f>
        <v>Washington, DC</v>
      </c>
      <c r="D30" s="17" t="str">
        <f>IFERROR(__xludf.DUMMYFUNCTION("""COMPUTED_VALUE"""),"Land")</f>
        <v>Land</v>
      </c>
      <c r="E30" s="17">
        <f>IFERROR(__xludf.DUMMYFUNCTION("""COMPUTED_VALUE"""),10.25)</f>
        <v>10.25</v>
      </c>
      <c r="F30" s="27" t="str">
        <f>IFERROR(__xludf.DUMMYFUNCTION("""COMPUTED_VALUE"""),"1.90x")</f>
        <v>1.90x</v>
      </c>
      <c r="G30" s="13">
        <f>IFERROR(__xludf.DUMMYFUNCTION("""COMPUTED_VALUE"""),0.0645)</f>
        <v>0.0645</v>
      </c>
    </row>
    <row r="31">
      <c r="A31" s="17" t="str">
        <f>IFERROR(__xludf.DUMMYFUNCTION("""COMPUTED_VALUE"""),"Walton Global Holdings")</f>
        <v>Walton Global Holdings</v>
      </c>
      <c r="B31" s="17" t="str">
        <f>IFERROR(__xludf.DUMMYFUNCTION("""COMPUTED_VALUE"""),"Alexander's Crossing - Point")</f>
        <v>Alexander's Crossing - Point</v>
      </c>
      <c r="C31" s="17" t="str">
        <f>IFERROR(__xludf.DUMMYFUNCTION("""COMPUTED_VALUE"""),"Washington, DC")</f>
        <v>Washington, DC</v>
      </c>
      <c r="D31" s="17" t="str">
        <f>IFERROR(__xludf.DUMMYFUNCTION("""COMPUTED_VALUE"""),"Land")</f>
        <v>Land</v>
      </c>
      <c r="E31" s="17">
        <f>IFERROR(__xludf.DUMMYFUNCTION("""COMPUTED_VALUE"""),10.25)</f>
        <v>10.25</v>
      </c>
      <c r="F31" s="27" t="str">
        <f>IFERROR(__xludf.DUMMYFUNCTION("""COMPUTED_VALUE"""),"1.48x")</f>
        <v>1.48x</v>
      </c>
      <c r="G31" s="13">
        <f>IFERROR(__xludf.DUMMYFUNCTION("""COMPUTED_VALUE"""),0.0389)</f>
        <v>0.0389</v>
      </c>
    </row>
    <row r="32">
      <c r="A32" s="17" t="str">
        <f>IFERROR(__xludf.DUMMYFUNCTION("""COMPUTED_VALUE"""),"Walton Global Holdings")</f>
        <v>Walton Global Holdings</v>
      </c>
      <c r="B32" s="17" t="str">
        <f>IFERROR(__xludf.DUMMYFUNCTION("""COMPUTED_VALUE"""),"Alexander's Crossing - Run")</f>
        <v>Alexander's Crossing - Run</v>
      </c>
      <c r="C32" s="17" t="str">
        <f>IFERROR(__xludf.DUMMYFUNCTION("""COMPUTED_VALUE"""),"Washington, DC")</f>
        <v>Washington, DC</v>
      </c>
      <c r="D32" s="17" t="str">
        <f>IFERROR(__xludf.DUMMYFUNCTION("""COMPUTED_VALUE"""),"Land")</f>
        <v>Land</v>
      </c>
      <c r="E32" s="17">
        <f>IFERROR(__xludf.DUMMYFUNCTION("""COMPUTED_VALUE"""),5.09)</f>
        <v>5.09</v>
      </c>
      <c r="F32" s="27" t="str">
        <f>IFERROR(__xludf.DUMMYFUNCTION("""COMPUTED_VALUE"""),"2.10x")</f>
        <v>2.10x</v>
      </c>
      <c r="G32" s="13">
        <f>IFERROR(__xludf.DUMMYFUNCTION("""COMPUTED_VALUE"""),0.1566)</f>
        <v>0.1566</v>
      </c>
    </row>
    <row r="33">
      <c r="A33" s="17" t="str">
        <f>IFERROR(__xludf.DUMMYFUNCTION("""COMPUTED_VALUE"""),"Walton Global Holdings")</f>
        <v>Walton Global Holdings</v>
      </c>
      <c r="B33" s="17" t="str">
        <f>IFERROR(__xludf.DUMMYFUNCTION("""COMPUTED_VALUE"""),"Alexander's Crossing - Way")</f>
        <v>Alexander's Crossing - Way</v>
      </c>
      <c r="C33" s="17" t="str">
        <f>IFERROR(__xludf.DUMMYFUNCTION("""COMPUTED_VALUE"""),"Washington, DC")</f>
        <v>Washington, DC</v>
      </c>
      <c r="D33" s="17" t="str">
        <f>IFERROR(__xludf.DUMMYFUNCTION("""COMPUTED_VALUE"""),"Land")</f>
        <v>Land</v>
      </c>
      <c r="E33" s="17">
        <f>IFERROR(__xludf.DUMMYFUNCTION("""COMPUTED_VALUE"""),9.5)</f>
        <v>9.5</v>
      </c>
      <c r="F33" s="27" t="str">
        <f>IFERROR(__xludf.DUMMYFUNCTION("""COMPUTED_VALUE"""),"1.28x")</f>
        <v>1.28x</v>
      </c>
      <c r="G33" s="13">
        <f>IFERROR(__xludf.DUMMYFUNCTION("""COMPUTED_VALUE"""),0.0258)</f>
        <v>0.0258</v>
      </c>
    </row>
    <row r="34">
      <c r="A34" s="17" t="str">
        <f>IFERROR(__xludf.DUMMYFUNCTION("""COMPUTED_VALUE"""),"Passco")</f>
        <v>Passco</v>
      </c>
      <c r="B34" s="17" t="str">
        <f>IFERROR(__xludf.DUMMYFUNCTION("""COMPUTED_VALUE"""),"Almeria at Ocotillo")</f>
        <v>Almeria at Ocotillo</v>
      </c>
      <c r="C34" s="17" t="str">
        <f>IFERROR(__xludf.DUMMYFUNCTION("""COMPUTED_VALUE"""),"Chandler, AZ")</f>
        <v>Chandler, AZ</v>
      </c>
      <c r="D34" s="17" t="str">
        <f>IFERROR(__xludf.DUMMYFUNCTION("""COMPUTED_VALUE"""),"Multifamily")</f>
        <v>Multifamily</v>
      </c>
      <c r="E34" s="17">
        <f>IFERROR(__xludf.DUMMYFUNCTION("""COMPUTED_VALUE"""),5.0)</f>
        <v>5</v>
      </c>
      <c r="F34" s="27">
        <f>IFERROR(__xludf.DUMMYFUNCTION("""COMPUTED_VALUE"""),2.51)</f>
        <v>2.51</v>
      </c>
      <c r="G34" s="13">
        <f>IFERROR(__xludf.DUMMYFUNCTION("""COMPUTED_VALUE"""),0.202)</f>
        <v>0.202</v>
      </c>
    </row>
    <row r="35">
      <c r="A35" s="17" t="str">
        <f>IFERROR(__xludf.DUMMYFUNCTION("""COMPUTED_VALUE"""),"Inland")</f>
        <v>Inland</v>
      </c>
      <c r="B35" s="17" t="str">
        <f>IFERROR(__xludf.DUMMYFUNCTION("""COMPUTED_VALUE"""),"Amarillo Self-Storage Portfolio DST")</f>
        <v>Amarillo Self-Storage Portfolio DST</v>
      </c>
      <c r="C35" s="17"/>
      <c r="D35" s="17" t="str">
        <f>IFERROR(__xludf.DUMMYFUNCTION("""COMPUTED_VALUE"""),"Self-Storage")</f>
        <v>Self-Storage</v>
      </c>
      <c r="E35" s="17">
        <f>IFERROR(__xludf.DUMMYFUNCTION("""COMPUTED_VALUE"""),3.16)</f>
        <v>3.16</v>
      </c>
      <c r="F35" s="27">
        <f>IFERROR(__xludf.DUMMYFUNCTION("""COMPUTED_VALUE"""),1.59)</f>
        <v>1.59</v>
      </c>
      <c r="G35" s="13">
        <f>IFERROR(__xludf.DUMMYFUNCTION("""COMPUTED_VALUE"""),0.1676)</f>
        <v>0.1676</v>
      </c>
    </row>
    <row r="36">
      <c r="A36" s="17" t="str">
        <f>IFERROR(__xludf.DUMMYFUNCTION("""COMPUTED_VALUE"""),"Bluerock")</f>
        <v>Bluerock</v>
      </c>
      <c r="B36" s="17" t="str">
        <f>IFERROR(__xludf.DUMMYFUNCTION("""COMPUTED_VALUE"""),"Ansley Village")</f>
        <v>Ansley Village</v>
      </c>
      <c r="C36" s="17" t="str">
        <f>IFERROR(__xludf.DUMMYFUNCTION("""COMPUTED_VALUE"""),"Macon, GA")</f>
        <v>Macon, GA</v>
      </c>
      <c r="D36" s="17" t="str">
        <f>IFERROR(__xludf.DUMMYFUNCTION("""COMPUTED_VALUE"""),"Multifamily")</f>
        <v>Multifamily</v>
      </c>
      <c r="E36" s="17">
        <f>IFERROR(__xludf.DUMMYFUNCTION("""COMPUTED_VALUE"""),5.58)</f>
        <v>5.58</v>
      </c>
      <c r="F36" s="27">
        <f>IFERROR(__xludf.DUMMYFUNCTION("""COMPUTED_VALUE"""),1.37)</f>
        <v>1.37</v>
      </c>
      <c r="G36" s="13">
        <f>IFERROR(__xludf.DUMMYFUNCTION("""COMPUTED_VALUE"""),0.084)</f>
        <v>0.084</v>
      </c>
    </row>
    <row r="37">
      <c r="A37" s="17" t="str">
        <f>IFERROR(__xludf.DUMMYFUNCTION("""COMPUTED_VALUE"""),"AEI Capital Corporation")</f>
        <v>AEI Capital Corporation</v>
      </c>
      <c r="B37" s="17" t="str">
        <f>IFERROR(__xludf.DUMMYFUNCTION("""COMPUTED_VALUE"""),"Applebee's")</f>
        <v>Applebee's</v>
      </c>
      <c r="C37" s="17" t="str">
        <f>IFERROR(__xludf.DUMMYFUNCTION("""COMPUTED_VALUE"""),"Virginia Beach, VA")</f>
        <v>Virginia Beach, VA</v>
      </c>
      <c r="D37" s="17" t="str">
        <f>IFERROR(__xludf.DUMMYFUNCTION("""COMPUTED_VALUE"""),"Net Lease")</f>
        <v>Net Lease</v>
      </c>
      <c r="E37" s="17">
        <f>IFERROR(__xludf.DUMMYFUNCTION("""COMPUTED_VALUE"""),2.55)</f>
        <v>2.55</v>
      </c>
      <c r="F37" s="27">
        <f>IFERROR(__xludf.DUMMYFUNCTION("""COMPUTED_VALUE"""),1.19)</f>
        <v>1.19</v>
      </c>
      <c r="G37" s="13">
        <f>IFERROR(__xludf.DUMMYFUNCTION("""COMPUTED_VALUE"""),0.1122)</f>
        <v>0.1122</v>
      </c>
    </row>
    <row r="38">
      <c r="A38" s="17" t="str">
        <f>IFERROR(__xludf.DUMMYFUNCTION("""COMPUTED_VALUE"""),"AEI Capital Corporation")</f>
        <v>AEI Capital Corporation</v>
      </c>
      <c r="B38" s="17" t="str">
        <f>IFERROR(__xludf.DUMMYFUNCTION("""COMPUTED_VALUE"""),"Applebee's")</f>
        <v>Applebee's</v>
      </c>
      <c r="C38" s="17" t="str">
        <f>IFERROR(__xludf.DUMMYFUNCTION("""COMPUTED_VALUE"""),"Crestview Hills, KY")</f>
        <v>Crestview Hills, KY</v>
      </c>
      <c r="D38" s="17" t="str">
        <f>IFERROR(__xludf.DUMMYFUNCTION("""COMPUTED_VALUE"""),"Net Lease")</f>
        <v>Net Lease</v>
      </c>
      <c r="E38" s="17">
        <f>IFERROR(__xludf.DUMMYFUNCTION("""COMPUTED_VALUE"""),9.39)</f>
        <v>9.39</v>
      </c>
      <c r="F38" s="27">
        <f>IFERROR(__xludf.DUMMYFUNCTION("""COMPUTED_VALUE"""),1.87)</f>
        <v>1.87</v>
      </c>
      <c r="G38" s="13">
        <f>IFERROR(__xludf.DUMMYFUNCTION("""COMPUTED_VALUE"""),0.0935)</f>
        <v>0.0935</v>
      </c>
    </row>
    <row r="39">
      <c r="A39" s="17" t="str">
        <f>IFERROR(__xludf.DUMMYFUNCTION("""COMPUTED_VALUE"""),"AEI Capital Corporation")</f>
        <v>AEI Capital Corporation</v>
      </c>
      <c r="B39" s="17" t="str">
        <f>IFERROR(__xludf.DUMMYFUNCTION("""COMPUTED_VALUE"""),"Applebee's")</f>
        <v>Applebee's</v>
      </c>
      <c r="C39" s="17" t="str">
        <f>IFERROR(__xludf.DUMMYFUNCTION("""COMPUTED_VALUE"""),"Aurora, CO")</f>
        <v>Aurora, CO</v>
      </c>
      <c r="D39" s="17" t="str">
        <f>IFERROR(__xludf.DUMMYFUNCTION("""COMPUTED_VALUE"""),"Net Lease")</f>
        <v>Net Lease</v>
      </c>
      <c r="E39" s="17">
        <f>IFERROR(__xludf.DUMMYFUNCTION("""COMPUTED_VALUE"""),11.89)</f>
        <v>11.89</v>
      </c>
      <c r="F39" s="27">
        <f>IFERROR(__xludf.DUMMYFUNCTION("""COMPUTED_VALUE"""),2.2)</f>
        <v>2.2</v>
      </c>
      <c r="G39" s="13">
        <f>IFERROR(__xludf.DUMMYFUNCTION("""COMPUTED_VALUE"""),0.0998)</f>
        <v>0.0998</v>
      </c>
    </row>
    <row r="40">
      <c r="A40" s="17" t="str">
        <f>IFERROR(__xludf.DUMMYFUNCTION("""COMPUTED_VALUE"""),"AEI Capital Corporation")</f>
        <v>AEI Capital Corporation</v>
      </c>
      <c r="B40" s="17" t="str">
        <f>IFERROR(__xludf.DUMMYFUNCTION("""COMPUTED_VALUE"""),"Applebee's")</f>
        <v>Applebee's</v>
      </c>
      <c r="C40" s="17" t="str">
        <f>IFERROR(__xludf.DUMMYFUNCTION("""COMPUTED_VALUE"""),"Destin, FL")</f>
        <v>Destin, FL</v>
      </c>
      <c r="D40" s="17" t="str">
        <f>IFERROR(__xludf.DUMMYFUNCTION("""COMPUTED_VALUE"""),"Net Lease")</f>
        <v>Net Lease</v>
      </c>
      <c r="E40" s="17">
        <f>IFERROR(__xludf.DUMMYFUNCTION("""COMPUTED_VALUE"""),10.95)</f>
        <v>10.95</v>
      </c>
      <c r="F40" s="27">
        <f>IFERROR(__xludf.DUMMYFUNCTION("""COMPUTED_VALUE"""),1.88)</f>
        <v>1.88</v>
      </c>
      <c r="G40" s="13">
        <f>IFERROR(__xludf.DUMMYFUNCTION("""COMPUTED_VALUE"""),0.0924)</f>
        <v>0.0924</v>
      </c>
    </row>
    <row r="41">
      <c r="A41" s="17" t="str">
        <f>IFERROR(__xludf.DUMMYFUNCTION("""COMPUTED_VALUE"""),"AEI Capital Corporation")</f>
        <v>AEI Capital Corporation</v>
      </c>
      <c r="B41" s="17" t="str">
        <f>IFERROR(__xludf.DUMMYFUNCTION("""COMPUTED_VALUE"""),"Applebee's")</f>
        <v>Applebee's</v>
      </c>
      <c r="C41" s="17" t="str">
        <f>IFERROR(__xludf.DUMMYFUNCTION("""COMPUTED_VALUE"""),"Temple Terrace, FL")</f>
        <v>Temple Terrace, FL</v>
      </c>
      <c r="D41" s="17" t="str">
        <f>IFERROR(__xludf.DUMMYFUNCTION("""COMPUTED_VALUE"""),"Net Lease")</f>
        <v>Net Lease</v>
      </c>
      <c r="E41" s="17">
        <f>IFERROR(__xludf.DUMMYFUNCTION("""COMPUTED_VALUE"""),14.19)</f>
        <v>14.19</v>
      </c>
      <c r="F41" s="27">
        <f>IFERROR(__xludf.DUMMYFUNCTION("""COMPUTED_VALUE"""),2.58)</f>
        <v>2.58</v>
      </c>
      <c r="G41" s="13">
        <f>IFERROR(__xludf.DUMMYFUNCTION("""COMPUTED_VALUE"""),0.1024)</f>
        <v>0.1024</v>
      </c>
    </row>
    <row r="42">
      <c r="A42" s="17" t="str">
        <f>IFERROR(__xludf.DUMMYFUNCTION("""COMPUTED_VALUE"""),"AEI Capital Corporation")</f>
        <v>AEI Capital Corporation</v>
      </c>
      <c r="B42" s="17" t="str">
        <f>IFERROR(__xludf.DUMMYFUNCTION("""COMPUTED_VALUE"""),"Applebee's")</f>
        <v>Applebee's</v>
      </c>
      <c r="C42" s="17" t="str">
        <f>IFERROR(__xludf.DUMMYFUNCTION("""COMPUTED_VALUE"""),"Middletown, OH")</f>
        <v>Middletown, OH</v>
      </c>
      <c r="D42" s="17" t="str">
        <f>IFERROR(__xludf.DUMMYFUNCTION("""COMPUTED_VALUE"""),"Net Lease")</f>
        <v>Net Lease</v>
      </c>
      <c r="E42" s="17">
        <f>IFERROR(__xludf.DUMMYFUNCTION("""COMPUTED_VALUE"""),14.13)</f>
        <v>14.13</v>
      </c>
      <c r="F42" s="27">
        <f>IFERROR(__xludf.DUMMYFUNCTION("""COMPUTED_VALUE"""),2.39)</f>
        <v>2.39</v>
      </c>
      <c r="G42" s="13">
        <f>IFERROR(__xludf.DUMMYFUNCTION("""COMPUTED_VALUE"""),0.0955)</f>
        <v>0.0955</v>
      </c>
    </row>
    <row r="43">
      <c r="A43" s="17" t="str">
        <f>IFERROR(__xludf.DUMMYFUNCTION("""COMPUTED_VALUE"""),"Bluerock")</f>
        <v>Bluerock</v>
      </c>
      <c r="B43" s="17" t="str">
        <f>IFERROR(__xludf.DUMMYFUNCTION("""COMPUTED_VALUE"""),"Arbor Terrace")</f>
        <v>Arbor Terrace</v>
      </c>
      <c r="C43" s="17" t="str">
        <f>IFERROR(__xludf.DUMMYFUNCTION("""COMPUTED_VALUE"""),"Marietta, GA")</f>
        <v>Marietta, GA</v>
      </c>
      <c r="D43" s="17" t="str">
        <f>IFERROR(__xludf.DUMMYFUNCTION("""COMPUTED_VALUE"""),"Multifamily")</f>
        <v>Multifamily</v>
      </c>
      <c r="E43" s="17">
        <f>IFERROR(__xludf.DUMMYFUNCTION("""COMPUTED_VALUE"""),2.83)</f>
        <v>2.83</v>
      </c>
      <c r="F43" s="27">
        <f>IFERROR(__xludf.DUMMYFUNCTION("""COMPUTED_VALUE"""),1.27)</f>
        <v>1.27</v>
      </c>
      <c r="G43" s="13">
        <f>IFERROR(__xludf.DUMMYFUNCTION("""COMPUTED_VALUE"""),0.078)</f>
        <v>0.078</v>
      </c>
    </row>
    <row r="44">
      <c r="A44" s="17" t="str">
        <f>IFERROR(__xludf.DUMMYFUNCTION("""COMPUTED_VALUE"""),"AEI Capital Corporation")</f>
        <v>AEI Capital Corporation</v>
      </c>
      <c r="B44" s="17" t="str">
        <f>IFERROR(__xludf.DUMMYFUNCTION("""COMPUTED_VALUE"""),"Arby's")</f>
        <v>Arby's</v>
      </c>
      <c r="C44" s="17" t="str">
        <f>IFERROR(__xludf.DUMMYFUNCTION("""COMPUTED_VALUE"""),"Homewood, AL")</f>
        <v>Homewood, AL</v>
      </c>
      <c r="D44" s="17" t="str">
        <f>IFERROR(__xludf.DUMMYFUNCTION("""COMPUTED_VALUE"""),"Net Lease")</f>
        <v>Net Lease</v>
      </c>
      <c r="E44" s="17">
        <f>IFERROR(__xludf.DUMMYFUNCTION("""COMPUTED_VALUE"""),17.86)</f>
        <v>17.86</v>
      </c>
      <c r="F44" s="27">
        <f>IFERROR(__xludf.DUMMYFUNCTION("""COMPUTED_VALUE"""),1.61)</f>
        <v>1.61</v>
      </c>
      <c r="G44" s="13">
        <f>IFERROR(__xludf.DUMMYFUNCTION("""COMPUTED_VALUE"""),0.0665)</f>
        <v>0.0665</v>
      </c>
    </row>
    <row r="45">
      <c r="A45" s="17" t="str">
        <f>IFERROR(__xludf.DUMMYFUNCTION("""COMPUTED_VALUE"""),"Bluerock")</f>
        <v>Bluerock</v>
      </c>
      <c r="B45" s="17" t="str">
        <f>IFERROR(__xludf.DUMMYFUNCTION("""COMPUTED_VALUE"""),"Arium Glenridge")</f>
        <v>Arium Glenridge</v>
      </c>
      <c r="C45" s="17" t="str">
        <f>IFERROR(__xludf.DUMMYFUNCTION("""COMPUTED_VALUE"""),"Atlanta, GA")</f>
        <v>Atlanta, GA</v>
      </c>
      <c r="D45" s="17" t="str">
        <f>IFERROR(__xludf.DUMMYFUNCTION("""COMPUTED_VALUE"""),"Multifamily")</f>
        <v>Multifamily</v>
      </c>
      <c r="E45" s="17">
        <f>IFERROR(__xludf.DUMMYFUNCTION("""COMPUTED_VALUE"""),6.0)</f>
        <v>6</v>
      </c>
      <c r="F45" s="27">
        <f>IFERROR(__xludf.DUMMYFUNCTION("""COMPUTED_VALUE"""),2.69)</f>
        <v>2.69</v>
      </c>
      <c r="G45" s="13">
        <f>IFERROR(__xludf.DUMMYFUNCTION("""COMPUTED_VALUE"""),0.2235)</f>
        <v>0.2235</v>
      </c>
    </row>
    <row r="46">
      <c r="A46" s="17" t="str">
        <f>IFERROR(__xludf.DUMMYFUNCTION("""COMPUTED_VALUE"""),"Bluerock")</f>
        <v>Bluerock</v>
      </c>
      <c r="B46" s="17" t="str">
        <f>IFERROR(__xludf.DUMMYFUNCTION("""COMPUTED_VALUE"""),"Arium Grandewood")</f>
        <v>Arium Grandewood</v>
      </c>
      <c r="C46" s="17" t="str">
        <f>IFERROR(__xludf.DUMMYFUNCTION("""COMPUTED_VALUE"""),"Orlando, FL")</f>
        <v>Orlando, FL</v>
      </c>
      <c r="D46" s="17" t="str">
        <f>IFERROR(__xludf.DUMMYFUNCTION("""COMPUTED_VALUE"""),"Multifamily")</f>
        <v>Multifamily</v>
      </c>
      <c r="E46" s="17">
        <f>IFERROR(__xludf.DUMMYFUNCTION("""COMPUTED_VALUE"""),5.17)</f>
        <v>5.17</v>
      </c>
      <c r="F46" s="27">
        <f>IFERROR(__xludf.DUMMYFUNCTION("""COMPUTED_VALUE"""),3.61)</f>
        <v>3.61</v>
      </c>
      <c r="G46" s="13">
        <f>IFERROR(__xludf.DUMMYFUNCTION("""COMPUTED_VALUE"""),0.244)</f>
        <v>0.244</v>
      </c>
    </row>
    <row r="47">
      <c r="A47" s="17" t="str">
        <f>IFERROR(__xludf.DUMMYFUNCTION("""COMPUTED_VALUE"""),"Bluerock")</f>
        <v>Bluerock</v>
      </c>
      <c r="B47" s="17" t="str">
        <f>IFERROR(__xludf.DUMMYFUNCTION("""COMPUTED_VALUE"""),"Arium Hunters Creek")</f>
        <v>Arium Hunters Creek</v>
      </c>
      <c r="C47" s="17" t="str">
        <f>IFERROR(__xludf.DUMMYFUNCTION("""COMPUTED_VALUE"""),"Orlando, FL")</f>
        <v>Orlando, FL</v>
      </c>
      <c r="D47" s="17" t="str">
        <f>IFERROR(__xludf.DUMMYFUNCTION("""COMPUTED_VALUE"""),"Multifamily")</f>
        <v>Multifamily</v>
      </c>
      <c r="E47" s="17">
        <f>IFERROR(__xludf.DUMMYFUNCTION("""COMPUTED_VALUE"""),5.0)</f>
        <v>5</v>
      </c>
      <c r="F47" s="27">
        <f>IFERROR(__xludf.DUMMYFUNCTION("""COMPUTED_VALUE"""),3.49)</f>
        <v>3.49</v>
      </c>
      <c r="G47" s="13">
        <f>IFERROR(__xludf.DUMMYFUNCTION("""COMPUTED_VALUE"""),0.3236)</f>
        <v>0.3236</v>
      </c>
    </row>
    <row r="48">
      <c r="A48" s="17" t="str">
        <f>IFERROR(__xludf.DUMMYFUNCTION("""COMPUTED_VALUE"""),"Bluerock")</f>
        <v>Bluerock</v>
      </c>
      <c r="B48" s="17" t="str">
        <f>IFERROR(__xludf.DUMMYFUNCTION("""COMPUTED_VALUE"""),"Arium Metrowest")</f>
        <v>Arium Metrowest</v>
      </c>
      <c r="C48" s="17" t="str">
        <f>IFERROR(__xludf.DUMMYFUNCTION("""COMPUTED_VALUE"""),"Orlando, FL")</f>
        <v>Orlando, FL</v>
      </c>
      <c r="D48" s="17" t="str">
        <f>IFERROR(__xludf.DUMMYFUNCTION("""COMPUTED_VALUE"""),"Multifamily")</f>
        <v>Multifamily</v>
      </c>
      <c r="E48" s="17">
        <f>IFERROR(__xludf.DUMMYFUNCTION("""COMPUTED_VALUE"""),5.0)</f>
        <v>5</v>
      </c>
      <c r="F48" s="27">
        <f>IFERROR(__xludf.DUMMYFUNCTION("""COMPUTED_VALUE"""),1.06)</f>
        <v>1.06</v>
      </c>
      <c r="G48" s="13">
        <f>IFERROR(__xludf.DUMMYFUNCTION("""COMPUTED_VALUE"""),0.2818)</f>
        <v>0.2818</v>
      </c>
    </row>
    <row r="49">
      <c r="A49" s="17" t="str">
        <f>IFERROR(__xludf.DUMMYFUNCTION("""COMPUTED_VALUE"""),"Bluerock")</f>
        <v>Bluerock</v>
      </c>
      <c r="B49" s="17" t="str">
        <f>IFERROR(__xludf.DUMMYFUNCTION("""COMPUTED_VALUE"""),"Arium Palms Gateway")</f>
        <v>Arium Palms Gateway</v>
      </c>
      <c r="C49" s="17" t="str">
        <f>IFERROR(__xludf.DUMMYFUNCTION("""COMPUTED_VALUE"""),"Orlando, FL")</f>
        <v>Orlando, FL</v>
      </c>
      <c r="D49" s="17" t="str">
        <f>IFERROR(__xludf.DUMMYFUNCTION("""COMPUTED_VALUE"""),"Multifamily")</f>
        <v>Multifamily</v>
      </c>
      <c r="E49" s="17">
        <f>IFERROR(__xludf.DUMMYFUNCTION("""COMPUTED_VALUE"""),4.08)</f>
        <v>4.08</v>
      </c>
      <c r="F49" s="27">
        <f>IFERROR(__xludf.DUMMYFUNCTION("""COMPUTED_VALUE"""),1.57)</f>
        <v>1.57</v>
      </c>
      <c r="G49" s="13">
        <f>IFERROR(__xludf.DUMMYFUNCTION("""COMPUTED_VALUE"""),0.137)</f>
        <v>0.137</v>
      </c>
    </row>
    <row r="50">
      <c r="A50" s="17" t="str">
        <f>IFERROR(__xludf.DUMMYFUNCTION("""COMPUTED_VALUE"""),"Bluerock")</f>
        <v>Bluerock</v>
      </c>
      <c r="B50" s="17" t="str">
        <f>IFERROR(__xludf.DUMMYFUNCTION("""COMPUTED_VALUE"""),"Arium Westside")</f>
        <v>Arium Westside</v>
      </c>
      <c r="C50" s="17" t="str">
        <f>IFERROR(__xludf.DUMMYFUNCTION("""COMPUTED_VALUE"""),"Atlanta, GA")</f>
        <v>Atlanta, GA</v>
      </c>
      <c r="D50" s="17" t="str">
        <f>IFERROR(__xludf.DUMMYFUNCTION("""COMPUTED_VALUE"""),"Multifamily")</f>
        <v>Multifamily</v>
      </c>
      <c r="E50" s="17">
        <f>IFERROR(__xludf.DUMMYFUNCTION("""COMPUTED_VALUE"""),6.25)</f>
        <v>6.25</v>
      </c>
      <c r="F50" s="27">
        <f>IFERROR(__xludf.DUMMYFUNCTION("""COMPUTED_VALUE"""),2.53)</f>
        <v>2.53</v>
      </c>
      <c r="G50" s="13">
        <f>IFERROR(__xludf.DUMMYFUNCTION("""COMPUTED_VALUE"""),0.1962)</f>
        <v>0.1962</v>
      </c>
    </row>
    <row r="51">
      <c r="A51" s="17" t="str">
        <f>IFERROR(__xludf.DUMMYFUNCTION("""COMPUTED_VALUE"""),"Passco")</f>
        <v>Passco</v>
      </c>
      <c r="B51" s="17" t="str">
        <f>IFERROR(__xludf.DUMMYFUNCTION("""COMPUTED_VALUE"""),"Arlington at Eastern Shore")</f>
        <v>Arlington at Eastern Shore</v>
      </c>
      <c r="C51" s="17" t="str">
        <f>IFERROR(__xludf.DUMMYFUNCTION("""COMPUTED_VALUE"""),"Spanish Fort, AL")</f>
        <v>Spanish Fort, AL</v>
      </c>
      <c r="D51" s="17" t="str">
        <f>IFERROR(__xludf.DUMMYFUNCTION("""COMPUTED_VALUE"""),"Multifamily")</f>
        <v>Multifamily</v>
      </c>
      <c r="E51" s="17">
        <f>IFERROR(__xludf.DUMMYFUNCTION("""COMPUTED_VALUE"""),6.0)</f>
        <v>6</v>
      </c>
      <c r="F51" s="27">
        <f>IFERROR(__xludf.DUMMYFUNCTION("""COMPUTED_VALUE"""),1.62)</f>
        <v>1.62</v>
      </c>
      <c r="G51" s="13">
        <f>IFERROR(__xludf.DUMMYFUNCTION("""COMPUTED_VALUE"""),0.0838)</f>
        <v>0.0838</v>
      </c>
    </row>
    <row r="52">
      <c r="A52" s="17" t="str">
        <f>IFERROR(__xludf.DUMMYFUNCTION("""COMPUTED_VALUE"""),"Syndicated Equities")</f>
        <v>Syndicated Equities</v>
      </c>
      <c r="B52" s="17" t="str">
        <f>IFERROR(__xludf.DUMMYFUNCTION("""COMPUTED_VALUE"""),"Arlington Highlands Retail Center")</f>
        <v>Arlington Highlands Retail Center</v>
      </c>
      <c r="C52" s="17" t="str">
        <f>IFERROR(__xludf.DUMMYFUNCTION("""COMPUTED_VALUE"""),"Arlington, TX")</f>
        <v>Arlington, TX</v>
      </c>
      <c r="D52" s="17"/>
      <c r="E52" s="17">
        <f>IFERROR(__xludf.DUMMYFUNCTION("""COMPUTED_VALUE"""),3.12)</f>
        <v>3.12</v>
      </c>
      <c r="F52" s="27">
        <f>IFERROR(__xludf.DUMMYFUNCTION("""COMPUTED_VALUE"""),1.5)</f>
        <v>1.5</v>
      </c>
      <c r="G52" s="13">
        <f>IFERROR(__xludf.DUMMYFUNCTION("""COMPUTED_VALUE"""),0.1387)</f>
        <v>0.1387</v>
      </c>
    </row>
    <row r="53">
      <c r="A53" s="17" t="str">
        <f>IFERROR(__xludf.DUMMYFUNCTION("""COMPUTED_VALUE"""),"Bluerock")</f>
        <v>Bluerock</v>
      </c>
      <c r="B53" s="17" t="str">
        <f>IFERROR(__xludf.DUMMYFUNCTION("""COMPUTED_VALUE"""),"Arlo")</f>
        <v>Arlo</v>
      </c>
      <c r="C53" s="17" t="str">
        <f>IFERROR(__xludf.DUMMYFUNCTION("""COMPUTED_VALUE"""),"Charlotte, NC")</f>
        <v>Charlotte, NC</v>
      </c>
      <c r="D53" s="17" t="str">
        <f>IFERROR(__xludf.DUMMYFUNCTION("""COMPUTED_VALUE"""),"Multifamily")</f>
        <v>Multifamily</v>
      </c>
      <c r="E53" s="17">
        <f>IFERROR(__xludf.DUMMYFUNCTION("""COMPUTED_VALUE"""),4.83)</f>
        <v>4.83</v>
      </c>
      <c r="F53" s="27">
        <f>IFERROR(__xludf.DUMMYFUNCTION("""COMPUTED_VALUE"""),1.47)</f>
        <v>1.47</v>
      </c>
      <c r="G53" s="13">
        <f>IFERROR(__xludf.DUMMYFUNCTION("""COMPUTED_VALUE"""),0.06)</f>
        <v>0.06</v>
      </c>
    </row>
    <row r="54">
      <c r="A54" s="17" t="str">
        <f>IFERROR(__xludf.DUMMYFUNCTION("""COMPUTED_VALUE"""),"Bluerock")</f>
        <v>Bluerock</v>
      </c>
      <c r="B54" s="17" t="str">
        <f>IFERROR(__xludf.DUMMYFUNCTION("""COMPUTED_VALUE"""),"Artisan on 18th")</f>
        <v>Artisan on 18th</v>
      </c>
      <c r="C54" s="17" t="str">
        <f>IFERROR(__xludf.DUMMYFUNCTION("""COMPUTED_VALUE"""),"Nashville, TN")</f>
        <v>Nashville, TN</v>
      </c>
      <c r="D54" s="17" t="str">
        <f>IFERROR(__xludf.DUMMYFUNCTION("""COMPUTED_VALUE"""),"Multifamily")</f>
        <v>Multifamily</v>
      </c>
      <c r="E54" s="17">
        <f>IFERROR(__xludf.DUMMYFUNCTION("""COMPUTED_VALUE"""),2.33)</f>
        <v>2.33</v>
      </c>
      <c r="F54" s="27">
        <f>IFERROR(__xludf.DUMMYFUNCTION("""COMPUTED_VALUE"""),2.12)</f>
        <v>2.12</v>
      </c>
      <c r="G54" s="13">
        <f>IFERROR(__xludf.DUMMYFUNCTION("""COMPUTED_VALUE"""),0.352)</f>
        <v>0.352</v>
      </c>
    </row>
    <row r="55">
      <c r="A55" s="17" t="str">
        <f>IFERROR(__xludf.DUMMYFUNCTION("""COMPUTED_VALUE"""),"Passco")</f>
        <v>Passco</v>
      </c>
      <c r="B55" s="17" t="str">
        <f>IFERROR(__xludf.DUMMYFUNCTION("""COMPUTED_VALUE"""),"Asheville Exchange")</f>
        <v>Asheville Exchange</v>
      </c>
      <c r="C55" s="17" t="str">
        <f>IFERROR(__xludf.DUMMYFUNCTION("""COMPUTED_VALUE"""),"Asheville, NC")</f>
        <v>Asheville, NC</v>
      </c>
      <c r="D55" s="17" t="str">
        <f>IFERROR(__xludf.DUMMYFUNCTION("""COMPUTED_VALUE"""),"Multifamily")</f>
        <v>Multifamily</v>
      </c>
      <c r="E55" s="17">
        <f>IFERROR(__xludf.DUMMYFUNCTION("""COMPUTED_VALUE"""),6.0)</f>
        <v>6</v>
      </c>
      <c r="F55" s="27">
        <f>IFERROR(__xludf.DUMMYFUNCTION("""COMPUTED_VALUE"""),1.9)</f>
        <v>1.9</v>
      </c>
      <c r="G55" s="13">
        <f>IFERROR(__xludf.DUMMYFUNCTION("""COMPUTED_VALUE"""),0.1125)</f>
        <v>0.1125</v>
      </c>
    </row>
    <row r="56">
      <c r="A56" s="17" t="str">
        <f>IFERROR(__xludf.DUMMYFUNCTION("""COMPUTED_VALUE"""),"Bluerock")</f>
        <v>Bluerock</v>
      </c>
      <c r="B56" s="17" t="str">
        <f>IFERROR(__xludf.DUMMYFUNCTION("""COMPUTED_VALUE"""),"Ashford Belmar")</f>
        <v>Ashford Belmar</v>
      </c>
      <c r="C56" s="17" t="str">
        <f>IFERROR(__xludf.DUMMYFUNCTION("""COMPUTED_VALUE"""),"Lakewood, CO")</f>
        <v>Lakewood, CO</v>
      </c>
      <c r="D56" s="17" t="str">
        <f>IFERROR(__xludf.DUMMYFUNCTION("""COMPUTED_VALUE"""),"Multifamily")</f>
        <v>Multifamily</v>
      </c>
      <c r="E56" s="17">
        <f>IFERROR(__xludf.DUMMYFUNCTION("""COMPUTED_VALUE"""),3.92)</f>
        <v>3.92</v>
      </c>
      <c r="F56" s="27">
        <f>IFERROR(__xludf.DUMMYFUNCTION("""COMPUTED_VALUE"""),2.55)</f>
        <v>2.55</v>
      </c>
      <c r="G56" s="13">
        <f>IFERROR(__xludf.DUMMYFUNCTION("""COMPUTED_VALUE"""),0.2944)</f>
        <v>0.2944</v>
      </c>
    </row>
    <row r="57">
      <c r="A57" s="17" t="str">
        <f>IFERROR(__xludf.DUMMYFUNCTION("""COMPUTED_VALUE"""),"Bluerock")</f>
        <v>Bluerock</v>
      </c>
      <c r="B57" s="17" t="str">
        <f>IFERROR(__xludf.DUMMYFUNCTION("""COMPUTED_VALUE"""),"Ashton Reserve")</f>
        <v>Ashton Reserve</v>
      </c>
      <c r="C57" s="17" t="str">
        <f>IFERROR(__xludf.DUMMYFUNCTION("""COMPUTED_VALUE"""),"Charlotte, NC")</f>
        <v>Charlotte, NC</v>
      </c>
      <c r="D57" s="17" t="str">
        <f>IFERROR(__xludf.DUMMYFUNCTION("""COMPUTED_VALUE"""),"Multifamily")</f>
        <v>Multifamily</v>
      </c>
      <c r="E57" s="17">
        <f>IFERROR(__xludf.DUMMYFUNCTION("""COMPUTED_VALUE"""),4.75)</f>
        <v>4.75</v>
      </c>
      <c r="F57" s="27">
        <f>IFERROR(__xludf.DUMMYFUNCTION("""COMPUTED_VALUE"""),1.71)</f>
        <v>1.71</v>
      </c>
      <c r="G57" s="13">
        <f>IFERROR(__xludf.DUMMYFUNCTION("""COMPUTED_VALUE"""),0.138)</f>
        <v>0.138</v>
      </c>
    </row>
    <row r="58">
      <c r="A58" s="17" t="str">
        <f>IFERROR(__xludf.DUMMYFUNCTION("""COMPUTED_VALUE"""),"Inland")</f>
        <v>Inland</v>
      </c>
      <c r="B58" s="17" t="str">
        <f>IFERROR(__xludf.DUMMYFUNCTION("""COMPUTED_VALUE"""),"Austell 1031 DST")</f>
        <v>Austell 1031 DST</v>
      </c>
      <c r="C58" s="17"/>
      <c r="D58" s="17" t="str">
        <f>IFERROR(__xludf.DUMMYFUNCTION("""COMPUTED_VALUE"""),"Retail")</f>
        <v>Retail</v>
      </c>
      <c r="E58" s="17">
        <f>IFERROR(__xludf.DUMMYFUNCTION("""COMPUTED_VALUE"""),9.75)</f>
        <v>9.75</v>
      </c>
      <c r="F58" s="27">
        <f>IFERROR(__xludf.DUMMYFUNCTION("""COMPUTED_VALUE"""),1.21)</f>
        <v>1.21</v>
      </c>
      <c r="G58" s="13">
        <f>IFERROR(__xludf.DUMMYFUNCTION("""COMPUTED_VALUE"""),0.025)</f>
        <v>0.025</v>
      </c>
    </row>
    <row r="59">
      <c r="A59" s="17" t="str">
        <f>IFERROR(__xludf.DUMMYFUNCTION("""COMPUTED_VALUE"""),"Time Equities")</f>
        <v>Time Equities</v>
      </c>
      <c r="B59" s="17" t="str">
        <f>IFERROR(__xludf.DUMMYFUNCTION("""COMPUTED_VALUE"""),"Austell Place Equities LLC")</f>
        <v>Austell Place Equities LLC</v>
      </c>
      <c r="C59" s="17" t="str">
        <f>IFERROR(__xludf.DUMMYFUNCTION("""COMPUTED_VALUE"""),"Long Island City, NY")</f>
        <v>Long Island City, NY</v>
      </c>
      <c r="D59" s="17" t="str">
        <f>IFERROR(__xludf.DUMMYFUNCTION("""COMPUTED_VALUE"""),"Industrial")</f>
        <v>Industrial</v>
      </c>
      <c r="E59" s="17">
        <f>IFERROR(__xludf.DUMMYFUNCTION("""COMPUTED_VALUE"""),14.33)</f>
        <v>14.33</v>
      </c>
      <c r="F59" s="27">
        <f>IFERROR(__xludf.DUMMYFUNCTION("""COMPUTED_VALUE"""),12.51)</f>
        <v>12.51</v>
      </c>
      <c r="G59" s="13">
        <f>IFERROR(__xludf.DUMMYFUNCTION("""COMPUTED_VALUE"""),0.2518)</f>
        <v>0.2518</v>
      </c>
    </row>
    <row r="60">
      <c r="A60" s="17" t="str">
        <f>IFERROR(__xludf.DUMMYFUNCTION("""COMPUTED_VALUE"""),"Inland")</f>
        <v>Inland</v>
      </c>
      <c r="B60" s="17" t="str">
        <f>IFERROR(__xludf.DUMMYFUNCTION("""COMPUTED_VALUE"""),"Austin Lakeshore Multifamily DST")</f>
        <v>Austin Lakeshore Multifamily DST</v>
      </c>
      <c r="C60" s="17"/>
      <c r="D60" s="17" t="str">
        <f>IFERROR(__xludf.DUMMYFUNCTION("""COMPUTED_VALUE"""),"Multifamily")</f>
        <v>Multifamily</v>
      </c>
      <c r="E60" s="17">
        <f>IFERROR(__xludf.DUMMYFUNCTION("""COMPUTED_VALUE"""),3.01)</f>
        <v>3.01</v>
      </c>
      <c r="F60" s="27">
        <f>IFERROR(__xludf.DUMMYFUNCTION("""COMPUTED_VALUE"""),1.33)</f>
        <v>1.33</v>
      </c>
      <c r="G60" s="13">
        <f>IFERROR(__xludf.DUMMYFUNCTION("""COMPUTED_VALUE"""),0.108)</f>
        <v>0.108</v>
      </c>
    </row>
    <row r="61">
      <c r="A61" s="17" t="str">
        <f>IFERROR(__xludf.DUMMYFUNCTION("""COMPUTED_VALUE"""),"Passco")</f>
        <v>Passco</v>
      </c>
      <c r="B61" s="17" t="str">
        <f>IFERROR(__xludf.DUMMYFUNCTION("""COMPUTED_VALUE"""),"Autumn Breeze")</f>
        <v>Autumn Breeze</v>
      </c>
      <c r="C61" s="17" t="str">
        <f>IFERROR(__xludf.DUMMYFUNCTION("""COMPUTED_VALUE"""),"Noblesville, IN")</f>
        <v>Noblesville, IN</v>
      </c>
      <c r="D61" s="17" t="str">
        <f>IFERROR(__xludf.DUMMYFUNCTION("""COMPUTED_VALUE"""),"Multifamily")</f>
        <v>Multifamily</v>
      </c>
      <c r="E61" s="17">
        <f>IFERROR(__xludf.DUMMYFUNCTION("""COMPUTED_VALUE"""),7.0)</f>
        <v>7</v>
      </c>
      <c r="F61" s="27">
        <f>IFERROR(__xludf.DUMMYFUNCTION("""COMPUTED_VALUE"""),1.66)</f>
        <v>1.66</v>
      </c>
      <c r="G61" s="13">
        <f>IFERROR(__xludf.DUMMYFUNCTION("""COMPUTED_VALUE"""),0.0753)</f>
        <v>0.0753</v>
      </c>
    </row>
    <row r="62">
      <c r="A62" s="17" t="str">
        <f>IFERROR(__xludf.DUMMYFUNCTION("""COMPUTED_VALUE"""),"Bluerock")</f>
        <v>Bluerock</v>
      </c>
      <c r="B62" s="17" t="str">
        <f>IFERROR(__xludf.DUMMYFUNCTION("""COMPUTED_VALUE"""),"Avenue 25")</f>
        <v>Avenue 25</v>
      </c>
      <c r="C62" s="17" t="str">
        <f>IFERROR(__xludf.DUMMYFUNCTION("""COMPUTED_VALUE"""),"Phoenix, AZ")</f>
        <v>Phoenix, AZ</v>
      </c>
      <c r="D62" s="17" t="str">
        <f>IFERROR(__xludf.DUMMYFUNCTION("""COMPUTED_VALUE"""),"Multifamily")</f>
        <v>Multifamily</v>
      </c>
      <c r="E62" s="17">
        <f>IFERROR(__xludf.DUMMYFUNCTION("""COMPUTED_VALUE"""),2.75)</f>
        <v>2.75</v>
      </c>
      <c r="F62" s="27">
        <f>IFERROR(__xludf.DUMMYFUNCTION("""COMPUTED_VALUE"""),2.97)</f>
        <v>2.97</v>
      </c>
      <c r="G62" s="13">
        <f>IFERROR(__xludf.DUMMYFUNCTION("""COMPUTED_VALUE"""),0.5193)</f>
        <v>0.5193</v>
      </c>
    </row>
    <row r="63">
      <c r="A63" s="17" t="str">
        <f>IFERROR(__xludf.DUMMYFUNCTION("""COMPUTED_VALUE"""),"Bluerock")</f>
        <v>Bluerock</v>
      </c>
      <c r="B63" s="17" t="str">
        <f>IFERROR(__xludf.DUMMYFUNCTION("""COMPUTED_VALUE"""),"Avondale Hills")</f>
        <v>Avondale Hills</v>
      </c>
      <c r="C63" s="17" t="str">
        <f>IFERROR(__xludf.DUMMYFUNCTION("""COMPUTED_VALUE"""),"Atlanta, GA")</f>
        <v>Atlanta, GA</v>
      </c>
      <c r="D63" s="17" t="str">
        <f>IFERROR(__xludf.DUMMYFUNCTION("""COMPUTED_VALUE"""),"Multifamily")</f>
        <v>Multifamily</v>
      </c>
      <c r="E63" s="17">
        <f>IFERROR(__xludf.DUMMYFUNCTION("""COMPUTED_VALUE"""),1.08)</f>
        <v>1.08</v>
      </c>
      <c r="F63" s="27">
        <f>IFERROR(__xludf.DUMMYFUNCTION("""COMPUTED_VALUE"""),1.19)</f>
        <v>1.19</v>
      </c>
      <c r="G63" s="13">
        <f>IFERROR(__xludf.DUMMYFUNCTION("""COMPUTED_VALUE"""),0.1208)</f>
        <v>0.1208</v>
      </c>
    </row>
    <row r="64">
      <c r="A64" s="17" t="str">
        <f>IFERROR(__xludf.DUMMYFUNCTION("""COMPUTED_VALUE"""),"Bluerock")</f>
        <v>Bluerock</v>
      </c>
      <c r="B64" s="17" t="str">
        <f>IFERROR(__xludf.DUMMYFUNCTION("""COMPUTED_VALUE"""),"Axis West")</f>
        <v>Axis West</v>
      </c>
      <c r="C64" s="17" t="str">
        <f>IFERROR(__xludf.DUMMYFUNCTION("""COMPUTED_VALUE"""),"Orlando, FL")</f>
        <v>Orlando, FL</v>
      </c>
      <c r="D64" s="17" t="str">
        <f>IFERROR(__xludf.DUMMYFUNCTION("""COMPUTED_VALUE"""),"Multifamily")</f>
        <v>Multifamily</v>
      </c>
      <c r="E64" s="17">
        <f>IFERROR(__xludf.DUMMYFUNCTION("""COMPUTED_VALUE"""),4.25)</f>
        <v>4.25</v>
      </c>
      <c r="F64" s="27">
        <f>IFERROR(__xludf.DUMMYFUNCTION("""COMPUTED_VALUE"""),1.28)</f>
        <v>1.28</v>
      </c>
      <c r="G64" s="13">
        <f>IFERROR(__xludf.DUMMYFUNCTION("""COMPUTED_VALUE"""),0.098)</f>
        <v>0.098</v>
      </c>
    </row>
    <row r="65">
      <c r="A65" s="17" t="str">
        <f>IFERROR(__xludf.DUMMYFUNCTION("""COMPUTED_VALUE"""),"Passco")</f>
        <v>Passco</v>
      </c>
      <c r="B65" s="17" t="str">
        <f>IFERROR(__xludf.DUMMYFUNCTION("""COMPUTED_VALUE"""),"Azure")</f>
        <v>Azure</v>
      </c>
      <c r="C65" s="17" t="str">
        <f>IFERROR(__xludf.DUMMYFUNCTION("""COMPUTED_VALUE"""),"St. Petersburg, FL")</f>
        <v>St. Petersburg, FL</v>
      </c>
      <c r="D65" s="17" t="str">
        <f>IFERROR(__xludf.DUMMYFUNCTION("""COMPUTED_VALUE"""),"Multifamily")</f>
        <v>Multifamily</v>
      </c>
      <c r="E65" s="17">
        <f>IFERROR(__xludf.DUMMYFUNCTION("""COMPUTED_VALUE"""),4.0)</f>
        <v>4</v>
      </c>
      <c r="F65" s="27">
        <f>IFERROR(__xludf.DUMMYFUNCTION("""COMPUTED_VALUE"""),1.51)</f>
        <v>1.51</v>
      </c>
      <c r="G65" s="13">
        <f>IFERROR(__xludf.DUMMYFUNCTION("""COMPUTED_VALUE"""),0.1081)</f>
        <v>0.1081</v>
      </c>
    </row>
    <row r="66">
      <c r="A66" s="17" t="str">
        <f>IFERROR(__xludf.DUMMYFUNCTION("""COMPUTED_VALUE"""),"Walton Global Holdings")</f>
        <v>Walton Global Holdings</v>
      </c>
      <c r="B66" s="17" t="str">
        <f>IFERROR(__xludf.DUMMYFUNCTION("""COMPUTED_VALUE"""),"Bakers Farm")</f>
        <v>Bakers Farm</v>
      </c>
      <c r="C66" s="17" t="str">
        <f>IFERROR(__xludf.DUMMYFUNCTION("""COMPUTED_VALUE"""),"Atlanta, GA")</f>
        <v>Atlanta, GA</v>
      </c>
      <c r="D66" s="17" t="str">
        <f>IFERROR(__xludf.DUMMYFUNCTION("""COMPUTED_VALUE"""),"Land")</f>
        <v>Land</v>
      </c>
      <c r="E66" s="17">
        <f>IFERROR(__xludf.DUMMYFUNCTION("""COMPUTED_VALUE"""),13.48)</f>
        <v>13.48</v>
      </c>
      <c r="F66" s="27" t="str">
        <f>IFERROR(__xludf.DUMMYFUNCTION("""COMPUTED_VALUE"""),"1.09x")</f>
        <v>1.09x</v>
      </c>
      <c r="G66" s="13">
        <f>IFERROR(__xludf.DUMMYFUNCTION("""COMPUTED_VALUE"""),0.0074)</f>
        <v>0.0074</v>
      </c>
    </row>
    <row r="67">
      <c r="A67" s="17" t="str">
        <f>IFERROR(__xludf.DUMMYFUNCTION("""COMPUTED_VALUE"""),"Bluerock")</f>
        <v>Bluerock</v>
      </c>
      <c r="B67" s="17" t="str">
        <f>IFERROR(__xludf.DUMMYFUNCTION("""COMPUTED_VALUE"""),"Beach House")</f>
        <v>Beach House</v>
      </c>
      <c r="C67" s="17" t="str">
        <f>IFERROR(__xludf.DUMMYFUNCTION("""COMPUTED_VALUE"""),"Jacksonville, FL")</f>
        <v>Jacksonville, FL</v>
      </c>
      <c r="D67" s="17" t="str">
        <f>IFERROR(__xludf.DUMMYFUNCTION("""COMPUTED_VALUE"""),"Multifamily")</f>
        <v>Multifamily</v>
      </c>
      <c r="E67" s="17">
        <f>IFERROR(__xludf.DUMMYFUNCTION("""COMPUTED_VALUE"""),5.5)</f>
        <v>5.5</v>
      </c>
      <c r="F67" s="27">
        <f>IFERROR(__xludf.DUMMYFUNCTION("""COMPUTED_VALUE"""),1.65)</f>
        <v>1.65</v>
      </c>
      <c r="G67" s="13">
        <f>IFERROR(__xludf.DUMMYFUNCTION("""COMPUTED_VALUE"""),0.115)</f>
        <v>0.115</v>
      </c>
    </row>
    <row r="68">
      <c r="A68" s="17" t="str">
        <f>IFERROR(__xludf.DUMMYFUNCTION("""COMPUTED_VALUE"""),"Bluerock")</f>
        <v>Bluerock</v>
      </c>
      <c r="B68" s="17" t="str">
        <f>IFERROR(__xludf.DUMMYFUNCTION("""COMPUTED_VALUE"""),"Belmont Crossing")</f>
        <v>Belmont Crossing</v>
      </c>
      <c r="C68" s="17" t="str">
        <f>IFERROR(__xludf.DUMMYFUNCTION("""COMPUTED_VALUE"""),"Smyrna, GA")</f>
        <v>Smyrna, GA</v>
      </c>
      <c r="D68" s="17" t="str">
        <f>IFERROR(__xludf.DUMMYFUNCTION("""COMPUTED_VALUE"""),"Multifamily")</f>
        <v>Multifamily</v>
      </c>
      <c r="E68" s="17">
        <f>IFERROR(__xludf.DUMMYFUNCTION("""COMPUTED_VALUE"""),2.0)</f>
        <v>2</v>
      </c>
      <c r="F68" s="27">
        <f>IFERROR(__xludf.DUMMYFUNCTION("""COMPUTED_VALUE"""),1.22)</f>
        <v>1.22</v>
      </c>
      <c r="G68" s="13">
        <f>IFERROR(__xludf.DUMMYFUNCTION("""COMPUTED_VALUE"""),0.1139)</f>
        <v>0.1139</v>
      </c>
    </row>
    <row r="69">
      <c r="A69" s="17" t="str">
        <f>IFERROR(__xludf.DUMMYFUNCTION("""COMPUTED_VALUE"""),"Walton Global Holdings")</f>
        <v>Walton Global Holdings</v>
      </c>
      <c r="B69" s="17" t="str">
        <f>IFERROR(__xludf.DUMMYFUNCTION("""COMPUTED_VALUE"""),"Benck's Farm")</f>
        <v>Benck's Farm</v>
      </c>
      <c r="C69" s="17" t="str">
        <f>IFERROR(__xludf.DUMMYFUNCTION("""COMPUTED_VALUE"""),"Chicago, IL")</f>
        <v>Chicago, IL</v>
      </c>
      <c r="D69" s="17" t="str">
        <f>IFERROR(__xludf.DUMMYFUNCTION("""COMPUTED_VALUE"""),"Land")</f>
        <v>Land</v>
      </c>
      <c r="E69" s="17">
        <f>IFERROR(__xludf.DUMMYFUNCTION("""COMPUTED_VALUE"""),6.58)</f>
        <v>6.58</v>
      </c>
      <c r="F69" s="27" t="str">
        <f>IFERROR(__xludf.DUMMYFUNCTION("""COMPUTED_VALUE"""),"1.75x")</f>
        <v>1.75x</v>
      </c>
      <c r="G69" s="13">
        <f>IFERROR(__xludf.DUMMYFUNCTION("""COMPUTED_VALUE"""),0.2831)</f>
        <v>0.2831</v>
      </c>
    </row>
    <row r="70">
      <c r="A70" s="17" t="str">
        <f>IFERROR(__xludf.DUMMYFUNCTION("""COMPUTED_VALUE"""),"Inland")</f>
        <v>Inland</v>
      </c>
      <c r="B70" s="17" t="str">
        <f>IFERROR(__xludf.DUMMYFUNCTION("""COMPUTED_VALUE"""),"Bi-Coastal Home Improvement DST")</f>
        <v>Bi-Coastal Home Improvement DST</v>
      </c>
      <c r="C70" s="17"/>
      <c r="D70" s="17" t="str">
        <f>IFERROR(__xludf.DUMMYFUNCTION("""COMPUTED_VALUE"""),"Retail")</f>
        <v>Retail</v>
      </c>
      <c r="E70" s="17">
        <f>IFERROR(__xludf.DUMMYFUNCTION("""COMPUTED_VALUE"""),5.83)</f>
        <v>5.83</v>
      </c>
      <c r="F70" s="27">
        <f>IFERROR(__xludf.DUMMYFUNCTION("""COMPUTED_VALUE"""),1.48)</f>
        <v>1.48</v>
      </c>
      <c r="G70" s="13">
        <f>IFERROR(__xludf.DUMMYFUNCTION("""COMPUTED_VALUE"""),0.0736)</f>
        <v>0.0736</v>
      </c>
    </row>
    <row r="71">
      <c r="A71" s="17" t="str">
        <f>IFERROR(__xludf.DUMMYFUNCTION("""COMPUTED_VALUE"""),"Bluerock")</f>
        <v>Bluerock</v>
      </c>
      <c r="B71" s="17" t="str">
        <f>IFERROR(__xludf.DUMMYFUNCTION("""COMPUTED_VALUE"""),"Big Creek")</f>
        <v>Big Creek</v>
      </c>
      <c r="C71" s="17" t="str">
        <f>IFERROR(__xludf.DUMMYFUNCTION("""COMPUTED_VALUE"""),"Alpharetta, GA")</f>
        <v>Alpharetta, GA</v>
      </c>
      <c r="D71" s="17" t="str">
        <f>IFERROR(__xludf.DUMMYFUNCTION("""COMPUTED_VALUE"""),"Multifamily")</f>
        <v>Multifamily</v>
      </c>
      <c r="E71" s="17">
        <f>IFERROR(__xludf.DUMMYFUNCTION("""COMPUTED_VALUE"""),4.17)</f>
        <v>4.17</v>
      </c>
      <c r="F71" s="27">
        <f>IFERROR(__xludf.DUMMYFUNCTION("""COMPUTED_VALUE"""),1.43)</f>
        <v>1.43</v>
      </c>
      <c r="G71" s="13">
        <f>IFERROR(__xludf.DUMMYFUNCTION("""COMPUTED_VALUE"""),0.111)</f>
        <v>0.111</v>
      </c>
    </row>
    <row r="72">
      <c r="A72" s="17" t="str">
        <f>IFERROR(__xludf.DUMMYFUNCTION("""COMPUTED_VALUE"""),"AEI Capital Corporation")</f>
        <v>AEI Capital Corporation</v>
      </c>
      <c r="B72" s="17" t="str">
        <f>IFERROR(__xludf.DUMMYFUNCTION("""COMPUTED_VALUE"""),"BJ's Restaurant &amp; Brewhouse / Champps")</f>
        <v>BJ's Restaurant &amp; Brewhouse / Champps</v>
      </c>
      <c r="C72" s="17" t="str">
        <f>IFERROR(__xludf.DUMMYFUNCTION("""COMPUTED_VALUE"""),"Livonia, MI")</f>
        <v>Livonia, MI</v>
      </c>
      <c r="D72" s="17" t="str">
        <f>IFERROR(__xludf.DUMMYFUNCTION("""COMPUTED_VALUE"""),"Net Lease")</f>
        <v>Net Lease</v>
      </c>
      <c r="E72" s="17">
        <f>IFERROR(__xludf.DUMMYFUNCTION("""COMPUTED_VALUE"""),17.28)</f>
        <v>17.28</v>
      </c>
      <c r="F72" s="27">
        <f>IFERROR(__xludf.DUMMYFUNCTION("""COMPUTED_VALUE"""),1.73)</f>
        <v>1.73</v>
      </c>
      <c r="G72" s="13">
        <f>IFERROR(__xludf.DUMMYFUNCTION("""COMPUTED_VALUE"""),0.0657)</f>
        <v>0.0657</v>
      </c>
    </row>
    <row r="73">
      <c r="A73" s="17" t="str">
        <f>IFERROR(__xludf.DUMMYFUNCTION("""COMPUTED_VALUE"""),"Walton Global Holdings")</f>
        <v>Walton Global Holdings</v>
      </c>
      <c r="B73" s="17" t="str">
        <f>IFERROR(__xludf.DUMMYFUNCTION("""COMPUTED_VALUE"""),"Bluff Springs 2 - RUC")</f>
        <v>Bluff Springs 2 - RUC</v>
      </c>
      <c r="C73" s="17" t="str">
        <f>IFERROR(__xludf.DUMMYFUNCTION("""COMPUTED_VALUE"""),"Austin, TX")</f>
        <v>Austin, TX</v>
      </c>
      <c r="D73" s="17" t="str">
        <f>IFERROR(__xludf.DUMMYFUNCTION("""COMPUTED_VALUE"""),"Land")</f>
        <v>Land</v>
      </c>
      <c r="E73" s="17">
        <f>IFERROR(__xludf.DUMMYFUNCTION("""COMPUTED_VALUE"""),3.76)</f>
        <v>3.76</v>
      </c>
      <c r="F73" s="27" t="str">
        <f>IFERROR(__xludf.DUMMYFUNCTION("""COMPUTED_VALUE"""),"1.35x")</f>
        <v>1.35x</v>
      </c>
      <c r="G73" s="13">
        <f>IFERROR(__xludf.DUMMYFUNCTION("""COMPUTED_VALUE"""),0.0822)</f>
        <v>0.0822</v>
      </c>
    </row>
    <row r="74">
      <c r="A74" s="17" t="str">
        <f>IFERROR(__xludf.DUMMYFUNCTION("""COMPUTED_VALUE"""),"Syndicated Equities")</f>
        <v>Syndicated Equities</v>
      </c>
      <c r="B74" s="17" t="str">
        <f>IFERROR(__xludf.DUMMYFUNCTION("""COMPUTED_VALUE"""),"Boot Ranch Apartment")</f>
        <v>Boot Ranch Apartment</v>
      </c>
      <c r="C74" s="17" t="str">
        <f>IFERROR(__xludf.DUMMYFUNCTION("""COMPUTED_VALUE"""),"Tampa, FL")</f>
        <v>Tampa, FL</v>
      </c>
      <c r="D74" s="17"/>
      <c r="E74" s="17">
        <f>IFERROR(__xludf.DUMMYFUNCTION("""COMPUTED_VALUE"""),4.31)</f>
        <v>4.31</v>
      </c>
      <c r="F74" s="27">
        <f>IFERROR(__xludf.DUMMYFUNCTION("""COMPUTED_VALUE"""),1.79)</f>
        <v>1.79</v>
      </c>
      <c r="G74" s="13">
        <f>IFERROR(__xludf.DUMMYFUNCTION("""COMPUTED_VALUE"""),0.1447)</f>
        <v>0.1447</v>
      </c>
    </row>
    <row r="75">
      <c r="A75" s="17" t="str">
        <f>IFERROR(__xludf.DUMMYFUNCTION("""COMPUTED_VALUE"""),"Inland")</f>
        <v>Inland</v>
      </c>
      <c r="B75" s="17" t="str">
        <f>IFERROR(__xludf.DUMMYFUNCTION("""COMPUTED_VALUE"""),"Bradenton Multifamily DST")</f>
        <v>Bradenton Multifamily DST</v>
      </c>
      <c r="C75" s="17"/>
      <c r="D75" s="17" t="str">
        <f>IFERROR(__xludf.DUMMYFUNCTION("""COMPUTED_VALUE"""),"Multifamily")</f>
        <v>Multifamily</v>
      </c>
      <c r="E75" s="17">
        <f>IFERROR(__xludf.DUMMYFUNCTION("""COMPUTED_VALUE"""),4.67)</f>
        <v>4.67</v>
      </c>
      <c r="F75" s="27">
        <f>IFERROR(__xludf.DUMMYFUNCTION("""COMPUTED_VALUE"""),1.53)</f>
        <v>1.53</v>
      </c>
      <c r="G75" s="13">
        <f>IFERROR(__xludf.DUMMYFUNCTION("""COMPUTED_VALUE"""),0.109)</f>
        <v>0.109</v>
      </c>
    </row>
    <row r="76">
      <c r="A76" s="17" t="str">
        <f>IFERROR(__xludf.DUMMYFUNCTION("""COMPUTED_VALUE"""),"Inland")</f>
        <v>Inland</v>
      </c>
      <c r="B76" s="17" t="str">
        <f>IFERROR(__xludf.DUMMYFUNCTION("""COMPUTED_VALUE"""),"Bristol 1031 DST")</f>
        <v>Bristol 1031 DST</v>
      </c>
      <c r="C76" s="17"/>
      <c r="D76" s="17" t="str">
        <f>IFERROR(__xludf.DUMMYFUNCTION("""COMPUTED_VALUE"""),"Office")</f>
        <v>Office</v>
      </c>
      <c r="E76" s="17">
        <f>IFERROR(__xludf.DUMMYFUNCTION("""COMPUTED_VALUE"""),10.37)</f>
        <v>10.37</v>
      </c>
      <c r="F76" s="27">
        <f>IFERROR(__xludf.DUMMYFUNCTION("""COMPUTED_VALUE"""),0.78)</f>
        <v>0.78</v>
      </c>
      <c r="G76" s="13">
        <f>IFERROR(__xludf.DUMMYFUNCTION("""COMPUTED_VALUE"""),-0.043)</f>
        <v>-0.043</v>
      </c>
    </row>
    <row r="77">
      <c r="A77" s="17" t="str">
        <f>IFERROR(__xludf.DUMMYFUNCTION("""COMPUTED_VALUE"""),"Time Equities")</f>
        <v>Time Equities</v>
      </c>
      <c r="B77" s="17" t="str">
        <f>IFERROR(__xludf.DUMMYFUNCTION("""COMPUTED_VALUE"""),"Broad Bridge Equities Group LP")</f>
        <v>Broad Bridge Equities Group LP</v>
      </c>
      <c r="C77" s="17" t="str">
        <f>IFERROR(__xludf.DUMMYFUNCTION("""COMPUTED_VALUE"""),"Bridgeport, CT")</f>
        <v>Bridgeport, CT</v>
      </c>
      <c r="D77" s="17" t="str">
        <f>IFERROR(__xludf.DUMMYFUNCTION("""COMPUTED_VALUE"""),"Mortgage")</f>
        <v>Mortgage</v>
      </c>
      <c r="E77" s="17">
        <f>IFERROR(__xludf.DUMMYFUNCTION("""COMPUTED_VALUE"""),2.75)</f>
        <v>2.75</v>
      </c>
      <c r="F77" s="27">
        <f>IFERROR(__xludf.DUMMYFUNCTION("""COMPUTED_VALUE"""),2.24)</f>
        <v>2.24</v>
      </c>
      <c r="G77" s="13">
        <f>IFERROR(__xludf.DUMMYFUNCTION("""COMPUTED_VALUE"""),0.3756)</f>
        <v>0.3756</v>
      </c>
    </row>
    <row r="78">
      <c r="A78" s="17" t="str">
        <f>IFERROR(__xludf.DUMMYFUNCTION("""COMPUTED_VALUE"""),"Passco")</f>
        <v>Passco</v>
      </c>
      <c r="B78" s="17" t="str">
        <f>IFERROR(__xludf.DUMMYFUNCTION("""COMPUTED_VALUE"""),"Broad River Trace")</f>
        <v>Broad River Trace</v>
      </c>
      <c r="C78" s="17" t="str">
        <f>IFERROR(__xludf.DUMMYFUNCTION("""COMPUTED_VALUE"""),"Columbia, SC")</f>
        <v>Columbia, SC</v>
      </c>
      <c r="D78" s="17" t="str">
        <f>IFERROR(__xludf.DUMMYFUNCTION("""COMPUTED_VALUE"""),"Multifamily")</f>
        <v>Multifamily</v>
      </c>
      <c r="E78" s="17">
        <f>IFERROR(__xludf.DUMMYFUNCTION("""COMPUTED_VALUE"""),7.0)</f>
        <v>7</v>
      </c>
      <c r="F78" s="27">
        <f>IFERROR(__xludf.DUMMYFUNCTION("""COMPUTED_VALUE"""),1.63)</f>
        <v>1.63</v>
      </c>
      <c r="G78" s="13">
        <f>IFERROR(__xludf.DUMMYFUNCTION("""COMPUTED_VALUE"""),0.0727)</f>
        <v>0.0727</v>
      </c>
    </row>
    <row r="79">
      <c r="A79" s="17" t="str">
        <f>IFERROR(__xludf.DUMMYFUNCTION("""COMPUTED_VALUE"""),"Inland")</f>
        <v>Inland</v>
      </c>
      <c r="B79" s="17" t="str">
        <f>IFERROR(__xludf.DUMMYFUNCTION("""COMPUTED_VALUE"""),"Broadway Commons DBT")</f>
        <v>Broadway Commons DBT</v>
      </c>
      <c r="C79" s="17"/>
      <c r="D79" s="17" t="str">
        <f>IFERROR(__xludf.DUMMYFUNCTION("""COMPUTED_VALUE"""),"Retail")</f>
        <v>Retail</v>
      </c>
      <c r="E79" s="17">
        <f>IFERROR(__xludf.DUMMYFUNCTION("""COMPUTED_VALUE"""),13.25)</f>
        <v>13.25</v>
      </c>
      <c r="F79" s="27">
        <f>IFERROR(__xludf.DUMMYFUNCTION("""COMPUTED_VALUE"""),1.57)</f>
        <v>1.57</v>
      </c>
      <c r="G79" s="13">
        <f>IFERROR(__xludf.DUMMYFUNCTION("""COMPUTED_VALUE"""),0.0727)</f>
        <v>0.0727</v>
      </c>
    </row>
    <row r="80">
      <c r="A80" s="17" t="str">
        <f>IFERROR(__xludf.DUMMYFUNCTION("""COMPUTED_VALUE"""),"Walton Global Holdings")</f>
        <v>Walton Global Holdings</v>
      </c>
      <c r="B80" s="17" t="str">
        <f>IFERROR(__xludf.DUMMYFUNCTION("""COMPUTED_VALUE"""),"Cactus Springs")</f>
        <v>Cactus Springs</v>
      </c>
      <c r="C80" s="17" t="str">
        <f>IFERROR(__xludf.DUMMYFUNCTION("""COMPUTED_VALUE"""),"Phoenix, AZ")</f>
        <v>Phoenix, AZ</v>
      </c>
      <c r="D80" s="17" t="str">
        <f>IFERROR(__xludf.DUMMYFUNCTION("""COMPUTED_VALUE"""),"Land")</f>
        <v>Land</v>
      </c>
      <c r="E80" s="17">
        <f>IFERROR(__xludf.DUMMYFUNCTION("""COMPUTED_VALUE"""),2.78)</f>
        <v>2.78</v>
      </c>
      <c r="F80" s="27" t="str">
        <f>IFERROR(__xludf.DUMMYFUNCTION("""COMPUTED_VALUE"""),"1.02x")</f>
        <v>1.02x</v>
      </c>
      <c r="G80" s="13">
        <f>IFERROR(__xludf.DUMMYFUNCTION("""COMPUTED_VALUE"""),0.0064)</f>
        <v>0.0064</v>
      </c>
    </row>
    <row r="81">
      <c r="A81" s="17" t="str">
        <f>IFERROR(__xludf.DUMMYFUNCTION("""COMPUTED_VALUE"""),"Bluerock")</f>
        <v>Bluerock</v>
      </c>
      <c r="B81" s="17" t="str">
        <f>IFERROR(__xludf.DUMMYFUNCTION("""COMPUTED_VALUE"""),"CADE Boca Raton")</f>
        <v>CADE Boca Raton</v>
      </c>
      <c r="C81" s="17" t="str">
        <f>IFERROR(__xludf.DUMMYFUNCTION("""COMPUTED_VALUE"""),"Boca Raton, FL")</f>
        <v>Boca Raton, FL</v>
      </c>
      <c r="D81" s="17" t="str">
        <f>IFERROR(__xludf.DUMMYFUNCTION("""COMPUTED_VALUE"""),"Multifamily")</f>
        <v>Multifamily</v>
      </c>
      <c r="E81" s="17">
        <f>IFERROR(__xludf.DUMMYFUNCTION("""COMPUTED_VALUE"""),4.08)</f>
        <v>4.08</v>
      </c>
      <c r="F81" s="27">
        <f>IFERROR(__xludf.DUMMYFUNCTION("""COMPUTED_VALUE"""),1.32)</f>
        <v>1.32</v>
      </c>
      <c r="G81" s="13">
        <f>IFERROR(__xludf.DUMMYFUNCTION("""COMPUTED_VALUE"""),0.01)</f>
        <v>0.01</v>
      </c>
    </row>
    <row r="82">
      <c r="A82" s="17" t="str">
        <f>IFERROR(__xludf.DUMMYFUNCTION("""COMPUTED_VALUE"""),"Walton Global Holdings")</f>
        <v>Walton Global Holdings</v>
      </c>
      <c r="B82" s="17" t="str">
        <f>IFERROR(__xludf.DUMMYFUNCTION("""COMPUTED_VALUE"""),"Caldwell Link")</f>
        <v>Caldwell Link</v>
      </c>
      <c r="C82" s="17" t="str">
        <f>IFERROR(__xludf.DUMMYFUNCTION("""COMPUTED_VALUE"""),"Austin, TX")</f>
        <v>Austin, TX</v>
      </c>
      <c r="D82" s="17" t="str">
        <f>IFERROR(__xludf.DUMMYFUNCTION("""COMPUTED_VALUE"""),"Land")</f>
        <v>Land</v>
      </c>
      <c r="E82" s="17">
        <f>IFERROR(__xludf.DUMMYFUNCTION("""COMPUTED_VALUE"""),13.76)</f>
        <v>13.76</v>
      </c>
      <c r="F82" s="27" t="str">
        <f>IFERROR(__xludf.DUMMYFUNCTION("""COMPUTED_VALUE"""),"1.29x")</f>
        <v>1.29x</v>
      </c>
      <c r="G82" s="13">
        <f>IFERROR(__xludf.DUMMYFUNCTION("""COMPUTED_VALUE"""),0.0184)</f>
        <v>0.0184</v>
      </c>
    </row>
    <row r="83">
      <c r="A83" s="17" t="str">
        <f>IFERROR(__xludf.DUMMYFUNCTION("""COMPUTED_VALUE"""),"Walton Global Holdings")</f>
        <v>Walton Global Holdings</v>
      </c>
      <c r="B83" s="17" t="str">
        <f>IFERROR(__xludf.DUMMYFUNCTION("""COMPUTED_VALUE"""),"Caldwell Passage")</f>
        <v>Caldwell Passage</v>
      </c>
      <c r="C83" s="17" t="str">
        <f>IFERROR(__xludf.DUMMYFUNCTION("""COMPUTED_VALUE"""),"Austin, TX")</f>
        <v>Austin, TX</v>
      </c>
      <c r="D83" s="17" t="str">
        <f>IFERROR(__xludf.DUMMYFUNCTION("""COMPUTED_VALUE"""),"Land")</f>
        <v>Land</v>
      </c>
      <c r="E83" s="17">
        <f>IFERROR(__xludf.DUMMYFUNCTION("""COMPUTED_VALUE"""),13.74)</f>
        <v>13.74</v>
      </c>
      <c r="F83" s="27" t="str">
        <f>IFERROR(__xludf.DUMMYFUNCTION("""COMPUTED_VALUE"""),"1.27x")</f>
        <v>1.27x</v>
      </c>
      <c r="G83" s="13">
        <f>IFERROR(__xludf.DUMMYFUNCTION("""COMPUTED_VALUE"""),0.0177)</f>
        <v>0.0177</v>
      </c>
    </row>
    <row r="84">
      <c r="A84" s="17" t="str">
        <f>IFERROR(__xludf.DUMMYFUNCTION("""COMPUTED_VALUE"""),"Walton Global Holdings")</f>
        <v>Walton Global Holdings</v>
      </c>
      <c r="B84" s="17" t="str">
        <f>IFERROR(__xludf.DUMMYFUNCTION("""COMPUTED_VALUE"""),"Caldwell Ranch - Dev LP")</f>
        <v>Caldwell Ranch - Dev LP</v>
      </c>
      <c r="C84" s="17" t="str">
        <f>IFERROR(__xludf.DUMMYFUNCTION("""COMPUTED_VALUE"""),"Austin, TX")</f>
        <v>Austin, TX</v>
      </c>
      <c r="D84" s="17" t="str">
        <f>IFERROR(__xludf.DUMMYFUNCTION("""COMPUTED_VALUE"""),"Land")</f>
        <v>Land</v>
      </c>
      <c r="E84" s="17">
        <f>IFERROR(__xludf.DUMMYFUNCTION("""COMPUTED_VALUE"""),15.4)</f>
        <v>15.4</v>
      </c>
      <c r="F84" s="27" t="str">
        <f>IFERROR(__xludf.DUMMYFUNCTION("""COMPUTED_VALUE"""),"1.81x")</f>
        <v>1.81x</v>
      </c>
      <c r="G84" s="13">
        <f>IFERROR(__xludf.DUMMYFUNCTION("""COMPUTED_VALUE"""),0.0393)</f>
        <v>0.0393</v>
      </c>
    </row>
    <row r="85">
      <c r="A85" s="17" t="str">
        <f>IFERROR(__xludf.DUMMYFUNCTION("""COMPUTED_VALUE"""),"Walton Global Holdings")</f>
        <v>Walton Global Holdings</v>
      </c>
      <c r="B85" s="17" t="str">
        <f>IFERROR(__xludf.DUMMYFUNCTION("""COMPUTED_VALUE"""),"Caldwell Ranch - LP")</f>
        <v>Caldwell Ranch - LP</v>
      </c>
      <c r="C85" s="17" t="str">
        <f>IFERROR(__xludf.DUMMYFUNCTION("""COMPUTED_VALUE"""),"Austin, TX")</f>
        <v>Austin, TX</v>
      </c>
      <c r="D85" s="17" t="str">
        <f>IFERROR(__xludf.DUMMYFUNCTION("""COMPUTED_VALUE"""),"Land")</f>
        <v>Land</v>
      </c>
      <c r="E85" s="17">
        <f>IFERROR(__xludf.DUMMYFUNCTION("""COMPUTED_VALUE"""),15.4)</f>
        <v>15.4</v>
      </c>
      <c r="F85" s="27" t="str">
        <f>IFERROR(__xludf.DUMMYFUNCTION("""COMPUTED_VALUE"""),"1.80x")</f>
        <v>1.80x</v>
      </c>
      <c r="G85" s="13">
        <f>IFERROR(__xludf.DUMMYFUNCTION("""COMPUTED_VALUE"""),0.0389)</f>
        <v>0.0389</v>
      </c>
    </row>
    <row r="86">
      <c r="A86" s="17" t="str">
        <f>IFERROR(__xludf.DUMMYFUNCTION("""COMPUTED_VALUE"""),"Walton Global Holdings")</f>
        <v>Walton Global Holdings</v>
      </c>
      <c r="B86" s="17" t="str">
        <f>IFERROR(__xludf.DUMMYFUNCTION("""COMPUTED_VALUE"""),"Caldwell- Southern US Land 2, 100 Acres")</f>
        <v>Caldwell- Southern US Land 2, 100 Acres</v>
      </c>
      <c r="C86" s="17" t="str">
        <f>IFERROR(__xludf.DUMMYFUNCTION("""COMPUTED_VALUE"""),"Austin, TX")</f>
        <v>Austin, TX</v>
      </c>
      <c r="D86" s="17" t="str">
        <f>IFERROR(__xludf.DUMMYFUNCTION("""COMPUTED_VALUE"""),"Land")</f>
        <v>Land</v>
      </c>
      <c r="E86" s="17">
        <f>IFERROR(__xludf.DUMMYFUNCTION("""COMPUTED_VALUE"""),6.68)</f>
        <v>6.68</v>
      </c>
      <c r="F86" s="27" t="str">
        <f>IFERROR(__xludf.DUMMYFUNCTION("""COMPUTED_VALUE"""),"1.71x")</f>
        <v>1.71x</v>
      </c>
      <c r="G86" s="13">
        <f>IFERROR(__xludf.DUMMYFUNCTION("""COMPUTED_VALUE"""),0.0832)</f>
        <v>0.0832</v>
      </c>
    </row>
    <row r="87">
      <c r="A87" s="17" t="str">
        <f>IFERROR(__xludf.DUMMYFUNCTION("""COMPUTED_VALUE"""),"Passco")</f>
        <v>Passco</v>
      </c>
      <c r="B87" s="17" t="str">
        <f>IFERROR(__xludf.DUMMYFUNCTION("""COMPUTED_VALUE"""),"Cambridge at Hickory Hollow")</f>
        <v>Cambridge at Hickory Hollow</v>
      </c>
      <c r="C87" s="17" t="str">
        <f>IFERROR(__xludf.DUMMYFUNCTION("""COMPUTED_VALUE"""),"Antioch, TN")</f>
        <v>Antioch, TN</v>
      </c>
      <c r="D87" s="17" t="str">
        <f>IFERROR(__xludf.DUMMYFUNCTION("""COMPUTED_VALUE"""),"Multifamily")</f>
        <v>Multifamily</v>
      </c>
      <c r="E87" s="17">
        <f>IFERROR(__xludf.DUMMYFUNCTION("""COMPUTED_VALUE"""),5.0)</f>
        <v>5</v>
      </c>
      <c r="F87" s="27">
        <f>IFERROR(__xludf.DUMMYFUNCTION("""COMPUTED_VALUE"""),2.47)</f>
        <v>2.47</v>
      </c>
      <c r="G87" s="13">
        <f>IFERROR(__xludf.DUMMYFUNCTION("""COMPUTED_VALUE"""),0.1983)</f>
        <v>0.1983</v>
      </c>
    </row>
    <row r="88">
      <c r="A88" s="17" t="str">
        <f>IFERROR(__xludf.DUMMYFUNCTION("""COMPUTED_VALUE"""),"Time Equities")</f>
        <v>Time Equities</v>
      </c>
      <c r="B88" s="17" t="str">
        <f>IFERROR(__xludf.DUMMYFUNCTION("""COMPUTED_VALUE"""),"Canton Equities Group LP")</f>
        <v>Canton Equities Group LP</v>
      </c>
      <c r="C88" s="17" t="str">
        <f>IFERROR(__xludf.DUMMYFUNCTION("""COMPUTED_VALUE"""),"Canton, MA")</f>
        <v>Canton, MA</v>
      </c>
      <c r="D88" s="17" t="str">
        <f>IFERROR(__xludf.DUMMYFUNCTION("""COMPUTED_VALUE"""),"Industrial")</f>
        <v>Industrial</v>
      </c>
      <c r="E88" s="17">
        <f>IFERROR(__xludf.DUMMYFUNCTION("""COMPUTED_VALUE"""),10.28)</f>
        <v>10.28</v>
      </c>
      <c r="F88" s="27">
        <f>IFERROR(__xludf.DUMMYFUNCTION("""COMPUTED_VALUE"""),4.07)</f>
        <v>4.07</v>
      </c>
      <c r="G88" s="13">
        <f>IFERROR(__xludf.DUMMYFUNCTION("""COMPUTED_VALUE"""),0.1757)</f>
        <v>0.1757</v>
      </c>
    </row>
    <row r="89">
      <c r="A89" s="17" t="str">
        <f>IFERROR(__xludf.DUMMYFUNCTION("""COMPUTED_VALUE"""),"AEI Capital Corporation")</f>
        <v>AEI Capital Corporation</v>
      </c>
      <c r="B89" s="17" t="str">
        <f>IFERROR(__xludf.DUMMYFUNCTION("""COMPUTED_VALUE"""),"Carino's")</f>
        <v>Carino's</v>
      </c>
      <c r="C89" s="17" t="str">
        <f>IFERROR(__xludf.DUMMYFUNCTION("""COMPUTED_VALUE"""),"El Paso, TX")</f>
        <v>El Paso, TX</v>
      </c>
      <c r="D89" s="17" t="str">
        <f>IFERROR(__xludf.DUMMYFUNCTION("""COMPUTED_VALUE"""),"Net Lease")</f>
        <v>Net Lease</v>
      </c>
      <c r="E89" s="17">
        <f>IFERROR(__xludf.DUMMYFUNCTION("""COMPUTED_VALUE"""),5.92)</f>
        <v>5.92</v>
      </c>
      <c r="F89" s="27">
        <f>IFERROR(__xludf.DUMMYFUNCTION("""COMPUTED_VALUE"""),0.64)</f>
        <v>0.64</v>
      </c>
      <c r="G89" s="13">
        <f>IFERROR(__xludf.DUMMYFUNCTION("""COMPUTED_VALUE"""),0.0225)</f>
        <v>0.0225</v>
      </c>
    </row>
    <row r="90">
      <c r="A90" s="17" t="str">
        <f>IFERROR(__xludf.DUMMYFUNCTION("""COMPUTED_VALUE"""),"AEI Capital Corporation")</f>
        <v>AEI Capital Corporation</v>
      </c>
      <c r="B90" s="17" t="str">
        <f>IFERROR(__xludf.DUMMYFUNCTION("""COMPUTED_VALUE"""),"Carino's")</f>
        <v>Carino's</v>
      </c>
      <c r="C90" s="17" t="str">
        <f>IFERROR(__xludf.DUMMYFUNCTION("""COMPUTED_VALUE"""),"McAllen, TX")</f>
        <v>McAllen, TX</v>
      </c>
      <c r="D90" s="17" t="str">
        <f>IFERROR(__xludf.DUMMYFUNCTION("""COMPUTED_VALUE"""),"Net Lease")</f>
        <v>Net Lease</v>
      </c>
      <c r="E90" s="17">
        <f>IFERROR(__xludf.DUMMYFUNCTION("""COMPUTED_VALUE"""),10.31)</f>
        <v>10.31</v>
      </c>
      <c r="F90" s="27">
        <f>IFERROR(__xludf.DUMMYFUNCTION("""COMPUTED_VALUE"""),1.05)</f>
        <v>1.05</v>
      </c>
      <c r="G90" s="13">
        <f>IFERROR(__xludf.DUMMYFUNCTION("""COMPUTED_VALUE"""),0.0546)</f>
        <v>0.0546</v>
      </c>
    </row>
    <row r="91">
      <c r="A91" s="17" t="str">
        <f>IFERROR(__xludf.DUMMYFUNCTION("""COMPUTED_VALUE"""),"AEI Capital Corporation")</f>
        <v>AEI Capital Corporation</v>
      </c>
      <c r="B91" s="17" t="str">
        <f>IFERROR(__xludf.DUMMYFUNCTION("""COMPUTED_VALUE"""),"Carino's")</f>
        <v>Carino's</v>
      </c>
      <c r="C91" s="17" t="str">
        <f>IFERROR(__xludf.DUMMYFUNCTION("""COMPUTED_VALUE"""),"Austin, TX")</f>
        <v>Austin, TX</v>
      </c>
      <c r="D91" s="17" t="str">
        <f>IFERROR(__xludf.DUMMYFUNCTION("""COMPUTED_VALUE"""),"Net Lease")</f>
        <v>Net Lease</v>
      </c>
      <c r="E91" s="17">
        <f>IFERROR(__xludf.DUMMYFUNCTION("""COMPUTED_VALUE"""),12.32)</f>
        <v>12.32</v>
      </c>
      <c r="F91" s="27">
        <f>IFERROR(__xludf.DUMMYFUNCTION("""COMPUTED_VALUE"""),1.72)</f>
        <v>1.72</v>
      </c>
      <c r="G91" s="13">
        <f>IFERROR(__xludf.DUMMYFUNCTION("""COMPUTED_VALUE"""),0.0746)</f>
        <v>0.0746</v>
      </c>
    </row>
    <row r="92">
      <c r="A92" s="17" t="str">
        <f>IFERROR(__xludf.DUMMYFUNCTION("""COMPUTED_VALUE"""),"AEI Capital Corporation")</f>
        <v>AEI Capital Corporation</v>
      </c>
      <c r="B92" s="17" t="str">
        <f>IFERROR(__xludf.DUMMYFUNCTION("""COMPUTED_VALUE"""),"Carino's")</f>
        <v>Carino's</v>
      </c>
      <c r="C92" s="17" t="str">
        <f>IFERROR(__xludf.DUMMYFUNCTION("""COMPUTED_VALUE"""),"Irving, TX")</f>
        <v>Irving, TX</v>
      </c>
      <c r="D92" s="17" t="str">
        <f>IFERROR(__xludf.DUMMYFUNCTION("""COMPUTED_VALUE"""),"Net Lease")</f>
        <v>Net Lease</v>
      </c>
      <c r="E92" s="17">
        <f>IFERROR(__xludf.DUMMYFUNCTION("""COMPUTED_VALUE"""),10.29)</f>
        <v>10.29</v>
      </c>
      <c r="F92" s="27">
        <f>IFERROR(__xludf.DUMMYFUNCTION("""COMPUTED_VALUE"""),1.19)</f>
        <v>1.19</v>
      </c>
      <c r="G92" s="13">
        <f>IFERROR(__xludf.DUMMYFUNCTION("""COMPUTED_VALUE"""),0.0485)</f>
        <v>0.0485</v>
      </c>
    </row>
    <row r="93">
      <c r="A93" s="17" t="str">
        <f>IFERROR(__xludf.DUMMYFUNCTION("""COMPUTED_VALUE"""),"AEI Capital Corporation")</f>
        <v>AEI Capital Corporation</v>
      </c>
      <c r="B93" s="17" t="str">
        <f>IFERROR(__xludf.DUMMYFUNCTION("""COMPUTED_VALUE"""),"Carino's")</f>
        <v>Carino's</v>
      </c>
      <c r="C93" s="17" t="str">
        <f>IFERROR(__xludf.DUMMYFUNCTION("""COMPUTED_VALUE"""),"Lakewood, CO")</f>
        <v>Lakewood, CO</v>
      </c>
      <c r="D93" s="17" t="str">
        <f>IFERROR(__xludf.DUMMYFUNCTION("""COMPUTED_VALUE"""),"Net Lease")</f>
        <v>Net Lease</v>
      </c>
      <c r="E93" s="17">
        <f>IFERROR(__xludf.DUMMYFUNCTION("""COMPUTED_VALUE"""),14.12)</f>
        <v>14.12</v>
      </c>
      <c r="F93" s="27">
        <f>IFERROR(__xludf.DUMMYFUNCTION("""COMPUTED_VALUE"""),1.33)</f>
        <v>1.33</v>
      </c>
      <c r="G93" s="13">
        <f>IFERROR(__xludf.DUMMYFUNCTION("""COMPUTED_VALUE"""),0.0626)</f>
        <v>0.0626</v>
      </c>
    </row>
    <row r="94">
      <c r="A94" s="17" t="str">
        <f>IFERROR(__xludf.DUMMYFUNCTION("""COMPUTED_VALUE"""),"AEI Capital Corporation")</f>
        <v>AEI Capital Corporation</v>
      </c>
      <c r="B94" s="17" t="str">
        <f>IFERROR(__xludf.DUMMYFUNCTION("""COMPUTED_VALUE"""),"Carino's")</f>
        <v>Carino's</v>
      </c>
      <c r="C94" s="17" t="str">
        <f>IFERROR(__xludf.DUMMYFUNCTION("""COMPUTED_VALUE"""),"Mansfield, TX")</f>
        <v>Mansfield, TX</v>
      </c>
      <c r="D94" s="17" t="str">
        <f>IFERROR(__xludf.DUMMYFUNCTION("""COMPUTED_VALUE"""),"Net Lease")</f>
        <v>Net Lease</v>
      </c>
      <c r="E94" s="17">
        <f>IFERROR(__xludf.DUMMYFUNCTION("""COMPUTED_VALUE"""),10.47)</f>
        <v>10.47</v>
      </c>
      <c r="F94" s="27">
        <f>IFERROR(__xludf.DUMMYFUNCTION("""COMPUTED_VALUE"""),0.92)</f>
        <v>0.92</v>
      </c>
      <c r="G94" s="13">
        <f>IFERROR(__xludf.DUMMYFUNCTION("""COMPUTED_VALUE"""),0.0377)</f>
        <v>0.0377</v>
      </c>
    </row>
    <row r="95">
      <c r="A95" s="17" t="str">
        <f>IFERROR(__xludf.DUMMYFUNCTION("""COMPUTED_VALUE"""),"AEI Capital Corporation")</f>
        <v>AEI Capital Corporation</v>
      </c>
      <c r="B95" s="17" t="str">
        <f>IFERROR(__xludf.DUMMYFUNCTION("""COMPUTED_VALUE"""),"Carino's")</f>
        <v>Carino's</v>
      </c>
      <c r="C95" s="17" t="str">
        <f>IFERROR(__xludf.DUMMYFUNCTION("""COMPUTED_VALUE"""),"Longview, TX")</f>
        <v>Longview, TX</v>
      </c>
      <c r="D95" s="17" t="str">
        <f>IFERROR(__xludf.DUMMYFUNCTION("""COMPUTED_VALUE"""),"Net Lease")</f>
        <v>Net Lease</v>
      </c>
      <c r="E95" s="17">
        <f>IFERROR(__xludf.DUMMYFUNCTION("""COMPUTED_VALUE"""),10.21)</f>
        <v>10.21</v>
      </c>
      <c r="F95" s="27">
        <f>IFERROR(__xludf.DUMMYFUNCTION("""COMPUTED_VALUE"""),0.86)</f>
        <v>0.86</v>
      </c>
      <c r="G95" s="13">
        <f>IFERROR(__xludf.DUMMYFUNCTION("""COMPUTED_VALUE"""),0.0398)</f>
        <v>0.0398</v>
      </c>
    </row>
    <row r="96">
      <c r="A96" s="17" t="str">
        <f>IFERROR(__xludf.DUMMYFUNCTION("""COMPUTED_VALUE"""),"AEI Capital Corporation")</f>
        <v>AEI Capital Corporation</v>
      </c>
      <c r="B96" s="17" t="str">
        <f>IFERROR(__xludf.DUMMYFUNCTION("""COMPUTED_VALUE"""),"Carino's")</f>
        <v>Carino's</v>
      </c>
      <c r="C96" s="17" t="str">
        <f>IFERROR(__xludf.DUMMYFUNCTION("""COMPUTED_VALUE"""),"Pharr, TX")</f>
        <v>Pharr, TX</v>
      </c>
      <c r="D96" s="17" t="str">
        <f>IFERROR(__xludf.DUMMYFUNCTION("""COMPUTED_VALUE"""),"Net Lease")</f>
        <v>Net Lease</v>
      </c>
      <c r="E96" s="17">
        <f>IFERROR(__xludf.DUMMYFUNCTION("""COMPUTED_VALUE"""),15.33)</f>
        <v>15.33</v>
      </c>
      <c r="F96" s="27">
        <f>IFERROR(__xludf.DUMMYFUNCTION("""COMPUTED_VALUE"""),1.33)</f>
        <v>1.33</v>
      </c>
      <c r="G96" s="13">
        <f>IFERROR(__xludf.DUMMYFUNCTION("""COMPUTED_VALUE"""),0.0493)</f>
        <v>0.0493</v>
      </c>
    </row>
    <row r="97">
      <c r="A97" s="17" t="str">
        <f>IFERROR(__xludf.DUMMYFUNCTION("""COMPUTED_VALUE"""),"AEI Capital Corporation")</f>
        <v>AEI Capital Corporation</v>
      </c>
      <c r="B97" s="17" t="str">
        <f>IFERROR(__xludf.DUMMYFUNCTION("""COMPUTED_VALUE"""),"Carino's")</f>
        <v>Carino's</v>
      </c>
      <c r="C97" s="17" t="str">
        <f>IFERROR(__xludf.DUMMYFUNCTION("""COMPUTED_VALUE"""),"Victoria, TX")</f>
        <v>Victoria, TX</v>
      </c>
      <c r="D97" s="17" t="str">
        <f>IFERROR(__xludf.DUMMYFUNCTION("""COMPUTED_VALUE"""),"Net Lease")</f>
        <v>Net Lease</v>
      </c>
      <c r="E97" s="17">
        <f>IFERROR(__xludf.DUMMYFUNCTION("""COMPUTED_VALUE"""),16.4)</f>
        <v>16.4</v>
      </c>
      <c r="F97" s="27">
        <f>IFERROR(__xludf.DUMMYFUNCTION("""COMPUTED_VALUE"""),1.58)</f>
        <v>1.58</v>
      </c>
      <c r="G97" s="13">
        <f>IFERROR(__xludf.DUMMYFUNCTION("""COMPUTED_VALUE"""),0.0593)</f>
        <v>0.0593</v>
      </c>
    </row>
    <row r="98">
      <c r="A98" s="17" t="str">
        <f>IFERROR(__xludf.DUMMYFUNCTION("""COMPUTED_VALUE"""),"AEI Capital Corporation")</f>
        <v>AEI Capital Corporation</v>
      </c>
      <c r="B98" s="17" t="str">
        <f>IFERROR(__xludf.DUMMYFUNCTION("""COMPUTED_VALUE"""),"Carmax")</f>
        <v>Carmax</v>
      </c>
      <c r="C98" s="17" t="str">
        <f>IFERROR(__xludf.DUMMYFUNCTION("""COMPUTED_VALUE"""),"Lithia Springs, GA")</f>
        <v>Lithia Springs, GA</v>
      </c>
      <c r="D98" s="17" t="str">
        <f>IFERROR(__xludf.DUMMYFUNCTION("""COMPUTED_VALUE"""),"Net Lease")</f>
        <v>Net Lease</v>
      </c>
      <c r="E98" s="17">
        <f>IFERROR(__xludf.DUMMYFUNCTION("""COMPUTED_VALUE"""),6.3)</f>
        <v>6.3</v>
      </c>
      <c r="F98" s="27">
        <f>IFERROR(__xludf.DUMMYFUNCTION("""COMPUTED_VALUE"""),1.44)</f>
        <v>1.44</v>
      </c>
      <c r="G98" s="13">
        <f>IFERROR(__xludf.DUMMYFUNCTION("""COMPUTED_VALUE"""),0.0599)</f>
        <v>0.0599</v>
      </c>
    </row>
    <row r="99">
      <c r="A99" s="17" t="str">
        <f>IFERROR(__xludf.DUMMYFUNCTION("""COMPUTED_VALUE"""),"Inland")</f>
        <v>Inland</v>
      </c>
      <c r="B99" s="17" t="str">
        <f>IFERROR(__xludf.DUMMYFUNCTION("""COMPUTED_VALUE"""),"Carmel Multifamily DST")</f>
        <v>Carmel Multifamily DST</v>
      </c>
      <c r="C99" s="17"/>
      <c r="D99" s="17" t="str">
        <f>IFERROR(__xludf.DUMMYFUNCTION("""COMPUTED_VALUE"""),"Multifamily")</f>
        <v>Multifamily</v>
      </c>
      <c r="E99" s="17">
        <f>IFERROR(__xludf.DUMMYFUNCTION("""COMPUTED_VALUE"""),6.08)</f>
        <v>6.08</v>
      </c>
      <c r="F99" s="27">
        <f>IFERROR(__xludf.DUMMYFUNCTION("""COMPUTED_VALUE"""),1.56)</f>
        <v>1.56</v>
      </c>
      <c r="G99" s="13">
        <f>IFERROR(__xludf.DUMMYFUNCTION("""COMPUTED_VALUE"""),0.0853)</f>
        <v>0.0853</v>
      </c>
    </row>
    <row r="100">
      <c r="A100" s="17" t="str">
        <f>IFERROR(__xludf.DUMMYFUNCTION("""COMPUTED_VALUE"""),"Walton Global Holdings")</f>
        <v>Walton Global Holdings</v>
      </c>
      <c r="B100" s="17" t="str">
        <f>IFERROR(__xludf.DUMMYFUNCTION("""COMPUTED_VALUE"""),"Carothers Crossing PDL")</f>
        <v>Carothers Crossing PDL</v>
      </c>
      <c r="C100" s="17" t="str">
        <f>IFERROR(__xludf.DUMMYFUNCTION("""COMPUTED_VALUE"""),"Nashville, TN")</f>
        <v>Nashville, TN</v>
      </c>
      <c r="D100" s="17" t="str">
        <f>IFERROR(__xludf.DUMMYFUNCTION("""COMPUTED_VALUE"""),"Land")</f>
        <v>Land</v>
      </c>
      <c r="E100" s="17">
        <f>IFERROR(__xludf.DUMMYFUNCTION("""COMPUTED_VALUE"""),8.47)</f>
        <v>8.47</v>
      </c>
      <c r="F100" s="27" t="str">
        <f>IFERROR(__xludf.DUMMYFUNCTION("""COMPUTED_VALUE"""),"1.93x")</f>
        <v>1.93x</v>
      </c>
      <c r="G100" s="13">
        <f>IFERROR(__xludf.DUMMYFUNCTION("""COMPUTED_VALUE"""),0.1699)</f>
        <v>0.1699</v>
      </c>
    </row>
    <row r="101">
      <c r="A101" s="17" t="str">
        <f>IFERROR(__xludf.DUMMYFUNCTION("""COMPUTED_VALUE"""),"Walton Global Holdings")</f>
        <v>Walton Global Holdings</v>
      </c>
      <c r="B101" s="17" t="str">
        <f>IFERROR(__xludf.DUMMYFUNCTION("""COMPUTED_VALUE"""),"Carothers Crossing VDL")</f>
        <v>Carothers Crossing VDL</v>
      </c>
      <c r="C101" s="17" t="str">
        <f>IFERROR(__xludf.DUMMYFUNCTION("""COMPUTED_VALUE"""),"Nashville, TN")</f>
        <v>Nashville, TN</v>
      </c>
      <c r="D101" s="17" t="str">
        <f>IFERROR(__xludf.DUMMYFUNCTION("""COMPUTED_VALUE"""),"Land")</f>
        <v>Land</v>
      </c>
      <c r="E101" s="17">
        <f>IFERROR(__xludf.DUMMYFUNCTION("""COMPUTED_VALUE"""),5.58)</f>
        <v>5.58</v>
      </c>
      <c r="F101" s="27" t="str">
        <f>IFERROR(__xludf.DUMMYFUNCTION("""COMPUTED_VALUE"""),"1.99x")</f>
        <v>1.99x</v>
      </c>
      <c r="G101" s="13">
        <f>IFERROR(__xludf.DUMMYFUNCTION("""COMPUTED_VALUE"""),0.31)</f>
        <v>0.31</v>
      </c>
    </row>
    <row r="102">
      <c r="A102" s="17" t="str">
        <f>IFERROR(__xludf.DUMMYFUNCTION("""COMPUTED_VALUE"""),"Bridgeview")</f>
        <v>Bridgeview</v>
      </c>
      <c r="B102" s="17" t="str">
        <f>IFERROR(__xludf.DUMMYFUNCTION("""COMPUTED_VALUE"""),"Carriage Homes on the Lake I &amp; II Portfolio")</f>
        <v>Carriage Homes on the Lake I &amp; II Portfolio</v>
      </c>
      <c r="C102" s="17" t="str">
        <f>IFERROR(__xludf.DUMMYFUNCTION("""COMPUTED_VALUE"""),"Garland, TX")</f>
        <v>Garland, TX</v>
      </c>
      <c r="D102" s="17" t="str">
        <f>IFERROR(__xludf.DUMMYFUNCTION("""COMPUTED_VALUE"""),"Multifamily")</f>
        <v>Multifamily</v>
      </c>
      <c r="E102" s="17">
        <f>IFERROR(__xludf.DUMMYFUNCTION("""COMPUTED_VALUE"""),5.16)</f>
        <v>5.16</v>
      </c>
      <c r="F102" s="27">
        <f>IFERROR(__xludf.DUMMYFUNCTION("""COMPUTED_VALUE"""),6.05)</f>
        <v>6.05</v>
      </c>
      <c r="G102" s="13">
        <f>IFERROR(__xludf.DUMMYFUNCTION("""COMPUTED_VALUE"""),0.519)</f>
        <v>0.519</v>
      </c>
    </row>
    <row r="103">
      <c r="A103" s="17" t="str">
        <f>IFERROR(__xludf.DUMMYFUNCTION("""COMPUTED_VALUE"""),"Passco")</f>
        <v>Passco</v>
      </c>
      <c r="B103" s="17" t="str">
        <f>IFERROR(__xludf.DUMMYFUNCTION("""COMPUTED_VALUE"""),"Carrington at Brier Creek")</f>
        <v>Carrington at Brier Creek</v>
      </c>
      <c r="C103" s="17" t="str">
        <f>IFERROR(__xludf.DUMMYFUNCTION("""COMPUTED_VALUE"""),"Raleigh, NC")</f>
        <v>Raleigh, NC</v>
      </c>
      <c r="D103" s="17" t="str">
        <f>IFERROR(__xludf.DUMMYFUNCTION("""COMPUTED_VALUE"""),"Multifamily")</f>
        <v>Multifamily</v>
      </c>
      <c r="E103" s="17">
        <f>IFERROR(__xludf.DUMMYFUNCTION("""COMPUTED_VALUE"""),5.0)</f>
        <v>5</v>
      </c>
      <c r="F103" s="27">
        <f>IFERROR(__xludf.DUMMYFUNCTION("""COMPUTED_VALUE"""),1.43)</f>
        <v>1.43</v>
      </c>
      <c r="G103" s="13">
        <f>IFERROR(__xludf.DUMMYFUNCTION("""COMPUTED_VALUE"""),0.0744)</f>
        <v>0.0744</v>
      </c>
    </row>
    <row r="104">
      <c r="A104" s="17" t="str">
        <f>IFERROR(__xludf.DUMMYFUNCTION("""COMPUTED_VALUE"""),"Passco")</f>
        <v>Passco</v>
      </c>
      <c r="B104" s="17" t="str">
        <f>IFERROR(__xludf.DUMMYFUNCTION("""COMPUTED_VALUE"""),"Carrington Park")</f>
        <v>Carrington Park</v>
      </c>
      <c r="C104" s="17" t="str">
        <f>IFERROR(__xludf.DUMMYFUNCTION("""COMPUTED_VALUE"""),"Montgomery, AL")</f>
        <v>Montgomery, AL</v>
      </c>
      <c r="D104" s="17" t="str">
        <f>IFERROR(__xludf.DUMMYFUNCTION("""COMPUTED_VALUE"""),"Multifamily")</f>
        <v>Multifamily</v>
      </c>
      <c r="E104" s="17">
        <f>IFERROR(__xludf.DUMMYFUNCTION("""COMPUTED_VALUE"""),7.0)</f>
        <v>7</v>
      </c>
      <c r="F104" s="27">
        <f>IFERROR(__xludf.DUMMYFUNCTION("""COMPUTED_VALUE"""),1.61)</f>
        <v>1.61</v>
      </c>
      <c r="G104" s="13">
        <f>IFERROR(__xludf.DUMMYFUNCTION("""COMPUTED_VALUE"""),0.07)</f>
        <v>0.07</v>
      </c>
    </row>
    <row r="105">
      <c r="A105" s="17" t="str">
        <f>IFERROR(__xludf.DUMMYFUNCTION("""COMPUTED_VALUE"""),"Bluerock")</f>
        <v>Bluerock</v>
      </c>
      <c r="B105" s="17" t="str">
        <f>IFERROR(__xludf.DUMMYFUNCTION("""COMPUTED_VALUE"""),"Carrington Park Apartments")</f>
        <v>Carrington Park Apartments</v>
      </c>
      <c r="C105" s="17" t="str">
        <f>IFERROR(__xludf.DUMMYFUNCTION("""COMPUTED_VALUE"""),"Morrisville, NC")</f>
        <v>Morrisville, NC</v>
      </c>
      <c r="D105" s="17" t="str">
        <f>IFERROR(__xludf.DUMMYFUNCTION("""COMPUTED_VALUE"""),"Multifamily")</f>
        <v>Multifamily</v>
      </c>
      <c r="E105" s="17">
        <f>IFERROR(__xludf.DUMMYFUNCTION("""COMPUTED_VALUE"""),1.83)</f>
        <v>1.83</v>
      </c>
      <c r="F105" s="27">
        <f>IFERROR(__xludf.DUMMYFUNCTION("""COMPUTED_VALUE"""),2.19)</f>
        <v>2.19</v>
      </c>
      <c r="G105" s="13">
        <f>IFERROR(__xludf.DUMMYFUNCTION("""COMPUTED_VALUE"""),0.6961)</f>
        <v>0.6961</v>
      </c>
    </row>
    <row r="106">
      <c r="A106" s="17" t="str">
        <f>IFERROR(__xludf.DUMMYFUNCTION("""COMPUTED_VALUE"""),"Walton Global Holdings")</f>
        <v>Walton Global Holdings</v>
      </c>
      <c r="B106" s="17" t="str">
        <f>IFERROR(__xludf.DUMMYFUNCTION("""COMPUTED_VALUE"""),"Casa Grande Commons - USLF2")</f>
        <v>Casa Grande Commons - USLF2</v>
      </c>
      <c r="C106" s="17" t="str">
        <f>IFERROR(__xludf.DUMMYFUNCTION("""COMPUTED_VALUE"""),"Phoenix, AZ")</f>
        <v>Phoenix, AZ</v>
      </c>
      <c r="D106" s="17" t="str">
        <f>IFERROR(__xludf.DUMMYFUNCTION("""COMPUTED_VALUE"""),"Land")</f>
        <v>Land</v>
      </c>
      <c r="E106" s="17">
        <f>IFERROR(__xludf.DUMMYFUNCTION("""COMPUTED_VALUE"""),12.45)</f>
        <v>12.45</v>
      </c>
      <c r="F106" s="27" t="str">
        <f>IFERROR(__xludf.DUMMYFUNCTION("""COMPUTED_VALUE"""),"0.54x")</f>
        <v>0.54x</v>
      </c>
      <c r="G106" s="13">
        <f>IFERROR(__xludf.DUMMYFUNCTION("""COMPUTED_VALUE"""),-0.0483)</f>
        <v>-0.0483</v>
      </c>
    </row>
    <row r="107">
      <c r="A107" s="17" t="str">
        <f>IFERROR(__xludf.DUMMYFUNCTION("""COMPUTED_VALUE"""),"AEI Capital Corporation")</f>
        <v>AEI Capital Corporation</v>
      </c>
      <c r="B107" s="17" t="str">
        <f>IFERROR(__xludf.DUMMYFUNCTION("""COMPUTED_VALUE"""),"Cash America")</f>
        <v>Cash America</v>
      </c>
      <c r="C107" s="17" t="str">
        <f>IFERROR(__xludf.DUMMYFUNCTION("""COMPUTED_VALUE"""),"Covington, LA")</f>
        <v>Covington, LA</v>
      </c>
      <c r="D107" s="17" t="str">
        <f>IFERROR(__xludf.DUMMYFUNCTION("""COMPUTED_VALUE"""),"Net Lease")</f>
        <v>Net Lease</v>
      </c>
      <c r="E107" s="17">
        <f>IFERROR(__xludf.DUMMYFUNCTION("""COMPUTED_VALUE"""),17.57)</f>
        <v>17.57</v>
      </c>
      <c r="F107" s="27">
        <f>IFERROR(__xludf.DUMMYFUNCTION("""COMPUTED_VALUE"""),1.32)</f>
        <v>1.32</v>
      </c>
      <c r="G107" s="13">
        <f>IFERROR(__xludf.DUMMYFUNCTION("""COMPUTED_VALUE"""),0.043)</f>
        <v>0.043</v>
      </c>
    </row>
    <row r="108">
      <c r="A108" s="17" t="str">
        <f>IFERROR(__xludf.DUMMYFUNCTION("""COMPUTED_VALUE"""),"Cantor Fitzgerald")</f>
        <v>Cantor Fitzgerald</v>
      </c>
      <c r="B108" s="17" t="str">
        <f>IFERROR(__xludf.DUMMYFUNCTION("""COMPUTED_VALUE"""),"CF Bellevue Multifamily DST")</f>
        <v>CF Bellevue Multifamily DST</v>
      </c>
      <c r="C108" s="17"/>
      <c r="D108" s="17" t="str">
        <f>IFERROR(__xludf.DUMMYFUNCTION("""COMPUTED_VALUE"""),"Multifamily")</f>
        <v>Multifamily</v>
      </c>
      <c r="E108" s="17">
        <f>IFERROR(__xludf.DUMMYFUNCTION("""COMPUTED_VALUE"""),3.5)</f>
        <v>3.5</v>
      </c>
      <c r="F108" s="27">
        <f>IFERROR(__xludf.DUMMYFUNCTION("""COMPUTED_VALUE"""),1.69)</f>
        <v>1.69</v>
      </c>
      <c r="G108" s="13">
        <f>IFERROR(__xludf.DUMMYFUNCTION("""COMPUTED_VALUE"""),0.181)</f>
        <v>0.181</v>
      </c>
    </row>
    <row r="109">
      <c r="A109" s="17" t="str">
        <f>IFERROR(__xludf.DUMMYFUNCTION("""COMPUTED_VALUE"""),"Cantor Fitzgerald")</f>
        <v>Cantor Fitzgerald</v>
      </c>
      <c r="B109" s="17" t="str">
        <f>IFERROR(__xludf.DUMMYFUNCTION("""COMPUTED_VALUE"""),"CF Hendry Multifamily DST")</f>
        <v>CF Hendry Multifamily DST</v>
      </c>
      <c r="C109" s="17"/>
      <c r="D109" s="17" t="str">
        <f>IFERROR(__xludf.DUMMYFUNCTION("""COMPUTED_VALUE"""),"Multifamily")</f>
        <v>Multifamily</v>
      </c>
      <c r="E109" s="17">
        <f>IFERROR(__xludf.DUMMYFUNCTION("""COMPUTED_VALUE"""),3.8)</f>
        <v>3.8</v>
      </c>
      <c r="F109" s="27">
        <f>IFERROR(__xludf.DUMMYFUNCTION("""COMPUTED_VALUE"""),1.72)</f>
        <v>1.72</v>
      </c>
      <c r="G109" s="13">
        <f>IFERROR(__xludf.DUMMYFUNCTION("""COMPUTED_VALUE"""),0.163)</f>
        <v>0.163</v>
      </c>
    </row>
    <row r="110">
      <c r="A110" s="17" t="str">
        <f>IFERROR(__xludf.DUMMYFUNCTION("""COMPUTED_VALUE"""),"Cantor Fitzgerald")</f>
        <v>Cantor Fitzgerald</v>
      </c>
      <c r="B110" s="17" t="str">
        <f>IFERROR(__xludf.DUMMYFUNCTION("""COMPUTED_VALUE"""),"CF Net Lease Portfolio DST 8")</f>
        <v>CF Net Lease Portfolio DST 8</v>
      </c>
      <c r="C110" s="17"/>
      <c r="D110" s="17" t="str">
        <f>IFERROR(__xludf.DUMMYFUNCTION("""COMPUTED_VALUE"""),"Net Lease")</f>
        <v>Net Lease</v>
      </c>
      <c r="E110" s="17">
        <f>IFERROR(__xludf.DUMMYFUNCTION("""COMPUTED_VALUE"""),5.1)</f>
        <v>5.1</v>
      </c>
      <c r="F110" s="27">
        <f>IFERROR(__xludf.DUMMYFUNCTION("""COMPUTED_VALUE"""),1.32)</f>
        <v>1.32</v>
      </c>
      <c r="G110" s="13">
        <f>IFERROR(__xludf.DUMMYFUNCTION("""COMPUTED_VALUE"""),0.065)</f>
        <v>0.065</v>
      </c>
    </row>
    <row r="111">
      <c r="A111" s="17" t="str">
        <f>IFERROR(__xludf.DUMMYFUNCTION("""COMPUTED_VALUE"""),"Cantor Fitzgerald")</f>
        <v>Cantor Fitzgerald</v>
      </c>
      <c r="B111" s="17" t="str">
        <f>IFERROR(__xludf.DUMMYFUNCTION("""COMPUTED_VALUE"""),"CF Norterra Canyon Multifamily DST")</f>
        <v>CF Norterra Canyon Multifamily DST</v>
      </c>
      <c r="C111" s="17"/>
      <c r="D111" s="17" t="str">
        <f>IFERROR(__xludf.DUMMYFUNCTION("""COMPUTED_VALUE"""),"Multifamily")</f>
        <v>Multifamily</v>
      </c>
      <c r="E111" s="17">
        <f>IFERROR(__xludf.DUMMYFUNCTION("""COMPUTED_VALUE"""),3.2)</f>
        <v>3.2</v>
      </c>
      <c r="F111" s="27">
        <f>IFERROR(__xludf.DUMMYFUNCTION("""COMPUTED_VALUE"""),1.37)</f>
        <v>1.37</v>
      </c>
      <c r="G111" s="13">
        <f>IFERROR(__xludf.DUMMYFUNCTION("""COMPUTED_VALUE"""),0.122)</f>
        <v>0.122</v>
      </c>
    </row>
    <row r="112">
      <c r="A112" s="17" t="str">
        <f>IFERROR(__xludf.DUMMYFUNCTION("""COMPUTED_VALUE"""),"Cantor Fitzgerald")</f>
        <v>Cantor Fitzgerald</v>
      </c>
      <c r="B112" s="17" t="str">
        <f>IFERROR(__xludf.DUMMYFUNCTION("""COMPUTED_VALUE"""),"CF Railway Multifamily DST")</f>
        <v>CF Railway Multifamily DST</v>
      </c>
      <c r="C112" s="17"/>
      <c r="D112" s="17" t="str">
        <f>IFERROR(__xludf.DUMMYFUNCTION("""COMPUTED_VALUE"""),"Multifamily")</f>
        <v>Multifamily</v>
      </c>
      <c r="E112" s="17">
        <f>IFERROR(__xludf.DUMMYFUNCTION("""COMPUTED_VALUE"""),4.7)</f>
        <v>4.7</v>
      </c>
      <c r="F112" s="27">
        <f>IFERROR(__xludf.DUMMYFUNCTION("""COMPUTED_VALUE"""),1.25)</f>
        <v>1.25</v>
      </c>
      <c r="G112" s="13">
        <f>IFERROR(__xludf.DUMMYFUNCTION("""COMPUTED_VALUE"""),0.059)</f>
        <v>0.059</v>
      </c>
    </row>
    <row r="113">
      <c r="A113" s="17" t="str">
        <f>IFERROR(__xludf.DUMMYFUNCTION("""COMPUTED_VALUE"""),"Cantor Fitzgerald")</f>
        <v>Cantor Fitzgerald</v>
      </c>
      <c r="B113" s="17" t="str">
        <f>IFERROR(__xludf.DUMMYFUNCTION("""COMPUTED_VALUE"""),"CF Rivertop Multifamily DST")</f>
        <v>CF Rivertop Multifamily DST</v>
      </c>
      <c r="C113" s="17"/>
      <c r="D113" s="17" t="str">
        <f>IFERROR(__xludf.DUMMYFUNCTION("""COMPUTED_VALUE"""),"Multifamily")</f>
        <v>Multifamily</v>
      </c>
      <c r="E113" s="17">
        <f>IFERROR(__xludf.DUMMYFUNCTION("""COMPUTED_VALUE"""),3.2)</f>
        <v>3.2</v>
      </c>
      <c r="F113" s="27">
        <f>IFERROR(__xludf.DUMMYFUNCTION("""COMPUTED_VALUE"""),1.42)</f>
        <v>1.42</v>
      </c>
      <c r="G113" s="13">
        <f>IFERROR(__xludf.DUMMYFUNCTION("""COMPUTED_VALUE"""),0.132)</f>
        <v>0.132</v>
      </c>
    </row>
    <row r="114">
      <c r="A114" s="17" t="str">
        <f>IFERROR(__xludf.DUMMYFUNCTION("""COMPUTED_VALUE"""),"Cantor Fitzgerald")</f>
        <v>Cantor Fitzgerald</v>
      </c>
      <c r="B114" s="17" t="str">
        <f>IFERROR(__xludf.DUMMYFUNCTION("""COMPUTED_VALUE"""),"CF Sawyer Multifamily DST")</f>
        <v>CF Sawyer Multifamily DST</v>
      </c>
      <c r="C114" s="17"/>
      <c r="D114" s="17" t="str">
        <f>IFERROR(__xludf.DUMMYFUNCTION("""COMPUTED_VALUE"""),"Multifamily")</f>
        <v>Multifamily</v>
      </c>
      <c r="E114" s="17">
        <f>IFERROR(__xludf.DUMMYFUNCTION("""COMPUTED_VALUE"""),3.4)</f>
        <v>3.4</v>
      </c>
      <c r="F114" s="27">
        <f>IFERROR(__xludf.DUMMYFUNCTION("""COMPUTED_VALUE"""),1.37)</f>
        <v>1.37</v>
      </c>
      <c r="G114" s="13">
        <f>IFERROR(__xludf.DUMMYFUNCTION("""COMPUTED_VALUE"""),0.109)</f>
        <v>0.109</v>
      </c>
    </row>
    <row r="115">
      <c r="A115" s="17" t="str">
        <f>IFERROR(__xludf.DUMMYFUNCTION("""COMPUTED_VALUE"""),"Cantor Fitzgerald")</f>
        <v>Cantor Fitzgerald</v>
      </c>
      <c r="B115" s="17" t="str">
        <f>IFERROR(__xludf.DUMMYFUNCTION("""COMPUTED_VALUE"""),"CF Star Multifamily Portfolio DST")</f>
        <v>CF Star Multifamily Portfolio DST</v>
      </c>
      <c r="C115" s="17"/>
      <c r="D115" s="17" t="str">
        <f>IFERROR(__xludf.DUMMYFUNCTION("""COMPUTED_VALUE"""),"Multifamily")</f>
        <v>Multifamily</v>
      </c>
      <c r="E115" s="17">
        <f>IFERROR(__xludf.DUMMYFUNCTION("""COMPUTED_VALUE"""),5.2)</f>
        <v>5.2</v>
      </c>
      <c r="F115" s="27">
        <f>IFERROR(__xludf.DUMMYFUNCTION("""COMPUTED_VALUE"""),1.59)</f>
        <v>1.59</v>
      </c>
      <c r="G115" s="13">
        <f>IFERROR(__xludf.DUMMYFUNCTION("""COMPUTED_VALUE"""),0.118)</f>
        <v>0.118</v>
      </c>
    </row>
    <row r="116">
      <c r="A116" s="17" t="str">
        <f>IFERROR(__xludf.DUMMYFUNCTION("""COMPUTED_VALUE"""),"Cantor Fitzgerald")</f>
        <v>Cantor Fitzgerald</v>
      </c>
      <c r="B116" s="17" t="str">
        <f>IFERROR(__xludf.DUMMYFUNCTION("""COMPUTED_VALUE"""),"CF Towson Multifamily DST")</f>
        <v>CF Towson Multifamily DST</v>
      </c>
      <c r="C116" s="17"/>
      <c r="D116" s="17" t="str">
        <f>IFERROR(__xludf.DUMMYFUNCTION("""COMPUTED_VALUE"""),"Multifamily")</f>
        <v>Multifamily</v>
      </c>
      <c r="E116" s="17">
        <f>IFERROR(__xludf.DUMMYFUNCTION("""COMPUTED_VALUE"""),3.2)</f>
        <v>3.2</v>
      </c>
      <c r="F116" s="27">
        <f>IFERROR(__xludf.DUMMYFUNCTION("""COMPUTED_VALUE"""),1.31)</f>
        <v>1.31</v>
      </c>
      <c r="G116" s="13">
        <f>IFERROR(__xludf.DUMMYFUNCTION("""COMPUTED_VALUE"""),0.101)</f>
        <v>0.101</v>
      </c>
    </row>
    <row r="117">
      <c r="A117" s="17" t="str">
        <f>IFERROR(__xludf.DUMMYFUNCTION("""COMPUTED_VALUE"""),"Bluerock")</f>
        <v>Bluerock</v>
      </c>
      <c r="B117" s="17" t="str">
        <f>IFERROR(__xludf.DUMMYFUNCTION("""COMPUTED_VALUE"""),"Chace Lake Villas")</f>
        <v>Chace Lake Villas</v>
      </c>
      <c r="C117" s="17" t="str">
        <f>IFERROR(__xludf.DUMMYFUNCTION("""COMPUTED_VALUE"""),"Birmingham, AL")</f>
        <v>Birmingham, AL</v>
      </c>
      <c r="D117" s="17" t="str">
        <f>IFERROR(__xludf.DUMMYFUNCTION("""COMPUTED_VALUE"""),"Multifamily")</f>
        <v>Multifamily</v>
      </c>
      <c r="E117" s="17">
        <f>IFERROR(__xludf.DUMMYFUNCTION("""COMPUTED_VALUE"""),5.5)</f>
        <v>5.5</v>
      </c>
      <c r="F117" s="27">
        <f>IFERROR(__xludf.DUMMYFUNCTION("""COMPUTED_VALUE"""),1.4)</f>
        <v>1.4</v>
      </c>
      <c r="G117" s="13">
        <f>IFERROR(__xludf.DUMMYFUNCTION("""COMPUTED_VALUE"""),0.081)</f>
        <v>0.081</v>
      </c>
    </row>
    <row r="118">
      <c r="A118" s="17" t="str">
        <f>IFERROR(__xludf.DUMMYFUNCTION("""COMPUTED_VALUE"""),"AEI Capital Corporation")</f>
        <v>AEI Capital Corporation</v>
      </c>
      <c r="B118" s="17" t="str">
        <f>IFERROR(__xludf.DUMMYFUNCTION("""COMPUTED_VALUE"""),"Champps")</f>
        <v>Champps</v>
      </c>
      <c r="C118" s="17" t="str">
        <f>IFERROR(__xludf.DUMMYFUNCTION("""COMPUTED_VALUE"""),"Utica, MI")</f>
        <v>Utica, MI</v>
      </c>
      <c r="D118" s="17" t="str">
        <f>IFERROR(__xludf.DUMMYFUNCTION("""COMPUTED_VALUE"""),"Net Lease")</f>
        <v>Net Lease</v>
      </c>
      <c r="E118" s="17">
        <f>IFERROR(__xludf.DUMMYFUNCTION("""COMPUTED_VALUE"""),9.65)</f>
        <v>9.65</v>
      </c>
      <c r="F118" s="27">
        <f>IFERROR(__xludf.DUMMYFUNCTION("""COMPUTED_VALUE"""),0.64)</f>
        <v>0.64</v>
      </c>
      <c r="G118" s="13">
        <f>IFERROR(__xludf.DUMMYFUNCTION("""COMPUTED_VALUE"""),0.0421)</f>
        <v>0.0421</v>
      </c>
    </row>
    <row r="119">
      <c r="A119" s="17" t="str">
        <f>IFERROR(__xludf.DUMMYFUNCTION("""COMPUTED_VALUE"""),"AEI Capital Corporation")</f>
        <v>AEI Capital Corporation</v>
      </c>
      <c r="B119" s="17" t="str">
        <f>IFERROR(__xludf.DUMMYFUNCTION("""COMPUTED_VALUE"""),"Champps")</f>
        <v>Champps</v>
      </c>
      <c r="C119" s="17" t="str">
        <f>IFERROR(__xludf.DUMMYFUNCTION("""COMPUTED_VALUE"""),"Centerville, OH")</f>
        <v>Centerville, OH</v>
      </c>
      <c r="D119" s="17" t="str">
        <f>IFERROR(__xludf.DUMMYFUNCTION("""COMPUTED_VALUE"""),"Net Lease")</f>
        <v>Net Lease</v>
      </c>
      <c r="E119" s="17">
        <f>IFERROR(__xludf.DUMMYFUNCTION("""COMPUTED_VALUE"""),11.75)</f>
        <v>11.75</v>
      </c>
      <c r="F119" s="27">
        <f>IFERROR(__xludf.DUMMYFUNCTION("""COMPUTED_VALUE"""),0.82)</f>
        <v>0.82</v>
      </c>
      <c r="G119" s="13">
        <f>IFERROR(__xludf.DUMMYFUNCTION("""COMPUTED_VALUE"""),0.0543)</f>
        <v>0.0543</v>
      </c>
    </row>
    <row r="120">
      <c r="A120" s="17" t="str">
        <f>IFERROR(__xludf.DUMMYFUNCTION("""COMPUTED_VALUE"""),"AEI Capital Corporation")</f>
        <v>AEI Capital Corporation</v>
      </c>
      <c r="B120" s="17" t="str">
        <f>IFERROR(__xludf.DUMMYFUNCTION("""COMPUTED_VALUE"""),"Champps")</f>
        <v>Champps</v>
      </c>
      <c r="C120" s="17" t="str">
        <f>IFERROR(__xludf.DUMMYFUNCTION("""COMPUTED_VALUE"""),"Lyndhurst, OH")</f>
        <v>Lyndhurst, OH</v>
      </c>
      <c r="D120" s="17" t="str">
        <f>IFERROR(__xludf.DUMMYFUNCTION("""COMPUTED_VALUE"""),"Net Lease")</f>
        <v>Net Lease</v>
      </c>
      <c r="E120" s="17">
        <f>IFERROR(__xludf.DUMMYFUNCTION("""COMPUTED_VALUE"""),17.17)</f>
        <v>17.17</v>
      </c>
      <c r="F120" s="27">
        <f>IFERROR(__xludf.DUMMYFUNCTION("""COMPUTED_VALUE"""),1.02)</f>
        <v>1.02</v>
      </c>
      <c r="G120" s="13">
        <f>IFERROR(__xludf.DUMMYFUNCTION("""COMPUTED_VALUE"""),0.0578)</f>
        <v>0.0578</v>
      </c>
    </row>
    <row r="121">
      <c r="A121" s="17" t="str">
        <f>IFERROR(__xludf.DUMMYFUNCTION("""COMPUTED_VALUE"""),"AEI Capital Corporation")</f>
        <v>AEI Capital Corporation</v>
      </c>
      <c r="B121" s="17" t="str">
        <f>IFERROR(__xludf.DUMMYFUNCTION("""COMPUTED_VALUE"""),"Champps")</f>
        <v>Champps</v>
      </c>
      <c r="C121" s="17" t="str">
        <f>IFERROR(__xludf.DUMMYFUNCTION("""COMPUTED_VALUE"""),"Schaumburg, IL")</f>
        <v>Schaumburg, IL</v>
      </c>
      <c r="D121" s="17" t="str">
        <f>IFERROR(__xludf.DUMMYFUNCTION("""COMPUTED_VALUE"""),"Net Lease")</f>
        <v>Net Lease</v>
      </c>
      <c r="E121" s="17">
        <f>IFERROR(__xludf.DUMMYFUNCTION("""COMPUTED_VALUE"""),15.21)</f>
        <v>15.21</v>
      </c>
      <c r="F121" s="27">
        <f>IFERROR(__xludf.DUMMYFUNCTION("""COMPUTED_VALUE"""),1.48)</f>
        <v>1.48</v>
      </c>
      <c r="G121" s="13">
        <f>IFERROR(__xludf.DUMMYFUNCTION("""COMPUTED_VALUE"""),0.061)</f>
        <v>0.061</v>
      </c>
    </row>
    <row r="122">
      <c r="A122" s="17" t="str">
        <f>IFERROR(__xludf.DUMMYFUNCTION("""COMPUTED_VALUE"""),"AEI Capital Corporation")</f>
        <v>AEI Capital Corporation</v>
      </c>
      <c r="B122" s="17" t="str">
        <f>IFERROR(__xludf.DUMMYFUNCTION("""COMPUTED_VALUE"""),"Champps")</f>
        <v>Champps</v>
      </c>
      <c r="C122" s="17" t="str">
        <f>IFERROR(__xludf.DUMMYFUNCTION("""COMPUTED_VALUE"""),"Columbus (Easton), OH")</f>
        <v>Columbus (Easton), OH</v>
      </c>
      <c r="D122" s="17" t="str">
        <f>IFERROR(__xludf.DUMMYFUNCTION("""COMPUTED_VALUE"""),"Net Lease")</f>
        <v>Net Lease</v>
      </c>
      <c r="E122" s="17">
        <f>IFERROR(__xludf.DUMMYFUNCTION("""COMPUTED_VALUE"""),15.54)</f>
        <v>15.54</v>
      </c>
      <c r="F122" s="27">
        <f>IFERROR(__xludf.DUMMYFUNCTION("""COMPUTED_VALUE"""),1.85)</f>
        <v>1.85</v>
      </c>
      <c r="G122" s="13">
        <f>IFERROR(__xludf.DUMMYFUNCTION("""COMPUTED_VALUE"""),0.0814)</f>
        <v>0.0814</v>
      </c>
    </row>
    <row r="123">
      <c r="A123" s="17" t="str">
        <f>IFERROR(__xludf.DUMMYFUNCTION("""COMPUTED_VALUE"""),"AEI Capital Corporation")</f>
        <v>AEI Capital Corporation</v>
      </c>
      <c r="B123" s="17" t="str">
        <f>IFERROR(__xludf.DUMMYFUNCTION("""COMPUTED_VALUE"""),"Champps")</f>
        <v>Champps</v>
      </c>
      <c r="C123" s="17" t="str">
        <f>IFERROR(__xludf.DUMMYFUNCTION("""COMPUTED_VALUE"""),"Columbus (Crosswood), OH")</f>
        <v>Columbus (Crosswood), OH</v>
      </c>
      <c r="D123" s="17" t="str">
        <f>IFERROR(__xludf.DUMMYFUNCTION("""COMPUTED_VALUE"""),"Net Lease")</f>
        <v>Net Lease</v>
      </c>
      <c r="E123" s="17">
        <f>IFERROR(__xludf.DUMMYFUNCTION("""COMPUTED_VALUE"""),19.6)</f>
        <v>19.6</v>
      </c>
      <c r="F123" s="27">
        <f>IFERROR(__xludf.DUMMYFUNCTION("""COMPUTED_VALUE"""),1.36)</f>
        <v>1.36</v>
      </c>
      <c r="G123" s="13">
        <f>IFERROR(__xludf.DUMMYFUNCTION("""COMPUTED_VALUE"""),0.0646)</f>
        <v>0.0646</v>
      </c>
    </row>
    <row r="124">
      <c r="A124" s="17" t="str">
        <f>IFERROR(__xludf.DUMMYFUNCTION("""COMPUTED_VALUE"""),"Inland")</f>
        <v>Inland</v>
      </c>
      <c r="B124" s="17" t="str">
        <f>IFERROR(__xludf.DUMMYFUNCTION("""COMPUTED_VALUE"""),"Charlotte Office 1031 DST")</f>
        <v>Charlotte Office 1031 DST</v>
      </c>
      <c r="C124" s="17"/>
      <c r="D124" s="17" t="str">
        <f>IFERROR(__xludf.DUMMYFUNCTION("""COMPUTED_VALUE"""),"Office")</f>
        <v>Office</v>
      </c>
      <c r="E124" s="17">
        <f>IFERROR(__xludf.DUMMYFUNCTION("""COMPUTED_VALUE"""),10.42)</f>
        <v>10.42</v>
      </c>
      <c r="F124" s="27">
        <f>IFERROR(__xludf.DUMMYFUNCTION("""COMPUTED_VALUE"""),1.24)</f>
        <v>1.24</v>
      </c>
      <c r="G124" s="13">
        <f>IFERROR(__xludf.DUMMYFUNCTION("""COMPUTED_VALUE"""),0.0286)</f>
        <v>0.0286</v>
      </c>
    </row>
    <row r="125">
      <c r="A125" s="17" t="str">
        <f>IFERROR(__xludf.DUMMYFUNCTION("""COMPUTED_VALUE"""),"Inland")</f>
        <v>Inland</v>
      </c>
      <c r="B125" s="17" t="str">
        <f>IFERROR(__xludf.DUMMYFUNCTION("""COMPUTED_VALUE"""),"Charlotte Student Housing DST")</f>
        <v>Charlotte Student Housing DST</v>
      </c>
      <c r="C125" s="17"/>
      <c r="D125" s="17" t="str">
        <f>IFERROR(__xludf.DUMMYFUNCTION("""COMPUTED_VALUE"""),"Student Housing")</f>
        <v>Student Housing</v>
      </c>
      <c r="E125" s="17">
        <f>IFERROR(__xludf.DUMMYFUNCTION("""COMPUTED_VALUE"""),6.67)</f>
        <v>6.67</v>
      </c>
      <c r="F125" s="27">
        <f>IFERROR(__xludf.DUMMYFUNCTION("""COMPUTED_VALUE"""),1.27)</f>
        <v>1.27</v>
      </c>
      <c r="G125" s="13">
        <f>IFERROR(__xludf.DUMMYFUNCTION("""COMPUTED_VALUE"""),0.0405)</f>
        <v>0.0405</v>
      </c>
    </row>
    <row r="126">
      <c r="A126" s="17" t="str">
        <f>IFERROR(__xludf.DUMMYFUNCTION("""COMPUTED_VALUE"""),"AEI Capital Corporation")</f>
        <v>AEI Capital Corporation</v>
      </c>
      <c r="B126" s="17" t="str">
        <f>IFERROR(__xludf.DUMMYFUNCTION("""COMPUTED_VALUE"""),"Chateau Elite")</f>
        <v>Chateau Elite</v>
      </c>
      <c r="C126" s="17" t="str">
        <f>IFERROR(__xludf.DUMMYFUNCTION("""COMPUTED_VALUE"""),"Mundelein, IL")</f>
        <v>Mundelein, IL</v>
      </c>
      <c r="D126" s="17" t="str">
        <f>IFERROR(__xludf.DUMMYFUNCTION("""COMPUTED_VALUE"""),"Net Lease")</f>
        <v>Net Lease</v>
      </c>
      <c r="E126" s="17">
        <f>IFERROR(__xludf.DUMMYFUNCTION("""COMPUTED_VALUE"""),18.16)</f>
        <v>18.16</v>
      </c>
      <c r="F126" s="27">
        <f>IFERROR(__xludf.DUMMYFUNCTION("""COMPUTED_VALUE"""),1.96)</f>
        <v>1.96</v>
      </c>
      <c r="G126" s="13">
        <f>IFERROR(__xludf.DUMMYFUNCTION("""COMPUTED_VALUE"""),0.0705)</f>
        <v>0.0705</v>
      </c>
    </row>
    <row r="127">
      <c r="A127" s="17" t="str">
        <f>IFERROR(__xludf.DUMMYFUNCTION("""COMPUTED_VALUE"""),"Bluerock")</f>
        <v>Bluerock</v>
      </c>
      <c r="B127" s="17" t="str">
        <f>IFERROR(__xludf.DUMMYFUNCTION("""COMPUTED_VALUE"""),"Chattahoochee Ridge")</f>
        <v>Chattahoochee Ridge</v>
      </c>
      <c r="C127" s="17" t="str">
        <f>IFERROR(__xludf.DUMMYFUNCTION("""COMPUTED_VALUE"""),"Atlanta, GA")</f>
        <v>Atlanta, GA</v>
      </c>
      <c r="D127" s="17" t="str">
        <f>IFERROR(__xludf.DUMMYFUNCTION("""COMPUTED_VALUE"""),"Multifamily")</f>
        <v>Multifamily</v>
      </c>
      <c r="E127" s="17">
        <f>IFERROR(__xludf.DUMMYFUNCTION("""COMPUTED_VALUE"""),2.92)</f>
        <v>2.92</v>
      </c>
      <c r="F127" s="27">
        <f>IFERROR(__xludf.DUMMYFUNCTION("""COMPUTED_VALUE"""),2.12)</f>
        <v>2.12</v>
      </c>
      <c r="G127" s="13">
        <f>IFERROR(__xludf.DUMMYFUNCTION("""COMPUTED_VALUE"""),0.3306)</f>
        <v>0.3306</v>
      </c>
    </row>
    <row r="128">
      <c r="A128" s="17" t="str">
        <f>IFERROR(__xludf.DUMMYFUNCTION("""COMPUTED_VALUE"""),"Bluerock")</f>
        <v>Bluerock</v>
      </c>
      <c r="B128" s="17" t="str">
        <f>IFERROR(__xludf.DUMMYFUNCTION("""COMPUTED_VALUE"""),"Chevy Chase")</f>
        <v>Chevy Chase</v>
      </c>
      <c r="C128" s="17" t="str">
        <f>IFERROR(__xludf.DUMMYFUNCTION("""COMPUTED_VALUE"""),"Austin, TX")</f>
        <v>Austin, TX</v>
      </c>
      <c r="D128" s="17" t="str">
        <f>IFERROR(__xludf.DUMMYFUNCTION("""COMPUTED_VALUE"""),"Multifamily")</f>
        <v>Multifamily</v>
      </c>
      <c r="E128" s="17">
        <f>IFERROR(__xludf.DUMMYFUNCTION("""COMPUTED_VALUE"""),2.25)</f>
        <v>2.25</v>
      </c>
      <c r="F128" s="27">
        <f>IFERROR(__xludf.DUMMYFUNCTION("""COMPUTED_VALUE"""),2.1)</f>
        <v>2.1</v>
      </c>
      <c r="G128" s="13">
        <f>IFERROR(__xludf.DUMMYFUNCTION("""COMPUTED_VALUE"""),0.524)</f>
        <v>0.524</v>
      </c>
    </row>
    <row r="129">
      <c r="A129" s="17" t="str">
        <f>IFERROR(__xludf.DUMMYFUNCTION("""COMPUTED_VALUE"""),"AEI Capital Corporation")</f>
        <v>AEI Capital Corporation</v>
      </c>
      <c r="B129" s="17" t="str">
        <f>IFERROR(__xludf.DUMMYFUNCTION("""COMPUTED_VALUE"""),"Chi-Chi's")</f>
        <v>Chi-Chi's</v>
      </c>
      <c r="C129" s="17" t="str">
        <f>IFERROR(__xludf.DUMMYFUNCTION("""COMPUTED_VALUE"""),"Appleton, WI")</f>
        <v>Appleton, WI</v>
      </c>
      <c r="D129" s="17" t="str">
        <f>IFERROR(__xludf.DUMMYFUNCTION("""COMPUTED_VALUE"""),"Net Lease")</f>
        <v>Net Lease</v>
      </c>
      <c r="E129" s="17">
        <f>IFERROR(__xludf.DUMMYFUNCTION("""COMPUTED_VALUE"""),8.32)</f>
        <v>8.32</v>
      </c>
      <c r="F129" s="27">
        <f>IFERROR(__xludf.DUMMYFUNCTION("""COMPUTED_VALUE"""),1.45)</f>
        <v>1.45</v>
      </c>
      <c r="G129" s="13">
        <f>IFERROR(__xludf.DUMMYFUNCTION("""COMPUTED_VALUE"""),0.0547)</f>
        <v>0.0547</v>
      </c>
    </row>
    <row r="130">
      <c r="A130" s="17" t="str">
        <f>IFERROR(__xludf.DUMMYFUNCTION("""COMPUTED_VALUE"""),"Inland")</f>
        <v>Inland</v>
      </c>
      <c r="B130" s="17" t="str">
        <f>IFERROR(__xludf.DUMMYFUNCTION("""COMPUTED_VALUE"""),"Chicagoland Fresh Market Venture DST")</f>
        <v>Chicagoland Fresh Market Venture DST</v>
      </c>
      <c r="C130" s="17"/>
      <c r="D130" s="17" t="str">
        <f>IFERROR(__xludf.DUMMYFUNCTION("""COMPUTED_VALUE"""),"Retail")</f>
        <v>Retail</v>
      </c>
      <c r="E130" s="17">
        <f>IFERROR(__xludf.DUMMYFUNCTION("""COMPUTED_VALUE"""),4.67)</f>
        <v>4.67</v>
      </c>
      <c r="F130" s="27">
        <f>IFERROR(__xludf.DUMMYFUNCTION("""COMPUTED_VALUE"""),1.53)</f>
        <v>1.53</v>
      </c>
      <c r="G130" s="13">
        <f>IFERROR(__xludf.DUMMYFUNCTION("""COMPUTED_VALUE"""),0.1271)</f>
        <v>0.1271</v>
      </c>
    </row>
    <row r="131">
      <c r="A131" s="17" t="str">
        <f>IFERROR(__xludf.DUMMYFUNCTION("""COMPUTED_VALUE"""),"Inland")</f>
        <v>Inland</v>
      </c>
      <c r="B131" s="17" t="str">
        <f>IFERROR(__xludf.DUMMYFUNCTION("""COMPUTED_VALUE"""),"Chicagoland Grocery Venture DST")</f>
        <v>Chicagoland Grocery Venture DST</v>
      </c>
      <c r="C131" s="17"/>
      <c r="D131" s="17" t="str">
        <f>IFERROR(__xludf.DUMMYFUNCTION("""COMPUTED_VALUE"""),"Retail")</f>
        <v>Retail</v>
      </c>
      <c r="E131" s="17">
        <f>IFERROR(__xludf.DUMMYFUNCTION("""COMPUTED_VALUE"""),7.25)</f>
        <v>7.25</v>
      </c>
      <c r="F131" s="27">
        <f>IFERROR(__xludf.DUMMYFUNCTION("""COMPUTED_VALUE"""),1.69)</f>
        <v>1.69</v>
      </c>
      <c r="G131" s="13">
        <f>IFERROR(__xludf.DUMMYFUNCTION("""COMPUTED_VALUE"""),0.0925)</f>
        <v>0.0925</v>
      </c>
    </row>
    <row r="132">
      <c r="A132" s="17" t="str">
        <f>IFERROR(__xludf.DUMMYFUNCTION("""COMPUTED_VALUE"""),"Inland")</f>
        <v>Inland</v>
      </c>
      <c r="B132" s="17" t="str">
        <f>IFERROR(__xludf.DUMMYFUNCTION("""COMPUTED_VALUE"""),"Chicagoland Grocery Venture II DST")</f>
        <v>Chicagoland Grocery Venture II DST</v>
      </c>
      <c r="C132" s="17"/>
      <c r="D132" s="17" t="str">
        <f>IFERROR(__xludf.DUMMYFUNCTION("""COMPUTED_VALUE"""),"Retail")</f>
        <v>Retail</v>
      </c>
      <c r="E132" s="17">
        <f>IFERROR(__xludf.DUMMYFUNCTION("""COMPUTED_VALUE"""),2.58)</f>
        <v>2.58</v>
      </c>
      <c r="F132" s="27">
        <f>IFERROR(__xludf.DUMMYFUNCTION("""COMPUTED_VALUE"""),1.57)</f>
        <v>1.57</v>
      </c>
      <c r="G132" s="13">
        <f>IFERROR(__xludf.DUMMYFUNCTION("""COMPUTED_VALUE"""),0.2114)</f>
        <v>0.2114</v>
      </c>
    </row>
    <row r="133">
      <c r="A133" s="17" t="str">
        <f>IFERROR(__xludf.DUMMYFUNCTION("""COMPUTED_VALUE"""),"Inland")</f>
        <v>Inland</v>
      </c>
      <c r="B133" s="17" t="str">
        <f>IFERROR(__xludf.DUMMYFUNCTION("""COMPUTED_VALUE"""),"Chicagoland Multifamily DST")</f>
        <v>Chicagoland Multifamily DST</v>
      </c>
      <c r="C133" s="17"/>
      <c r="D133" s="17" t="str">
        <f>IFERROR(__xludf.DUMMYFUNCTION("""COMPUTED_VALUE"""),"Multifamily")</f>
        <v>Multifamily</v>
      </c>
      <c r="E133" s="17">
        <f>IFERROR(__xludf.DUMMYFUNCTION("""COMPUTED_VALUE"""),7.2)</f>
        <v>7.2</v>
      </c>
      <c r="F133" s="27">
        <f>IFERROR(__xludf.DUMMYFUNCTION("""COMPUTED_VALUE"""),1.57)</f>
        <v>1.57</v>
      </c>
      <c r="G133" s="13">
        <f>IFERROR(__xludf.DUMMYFUNCTION("""COMPUTED_VALUE"""),0.0793)</f>
        <v>0.0793</v>
      </c>
    </row>
    <row r="134">
      <c r="A134" s="17" t="str">
        <f>IFERROR(__xludf.DUMMYFUNCTION("""COMPUTED_VALUE"""),"Inland")</f>
        <v>Inland</v>
      </c>
      <c r="B134" s="17" t="str">
        <f>IFERROR(__xludf.DUMMYFUNCTION("""COMPUTED_VALUE"""),"Chicagoland Street Retail DST")</f>
        <v>Chicagoland Street Retail DST</v>
      </c>
      <c r="C134" s="17"/>
      <c r="D134" s="17" t="str">
        <f>IFERROR(__xludf.DUMMYFUNCTION("""COMPUTED_VALUE"""),"Retail")</f>
        <v>Retail</v>
      </c>
      <c r="E134" s="17">
        <f>IFERROR(__xludf.DUMMYFUNCTION("""COMPUTED_VALUE"""),10.13)</f>
        <v>10.13</v>
      </c>
      <c r="F134" s="27">
        <f>IFERROR(__xludf.DUMMYFUNCTION("""COMPUTED_VALUE"""),1.26)</f>
        <v>1.26</v>
      </c>
      <c r="G134" s="13">
        <f>IFERROR(__xludf.DUMMYFUNCTION("""COMPUTED_VALUE"""),0.0295)</f>
        <v>0.0295</v>
      </c>
    </row>
    <row r="135">
      <c r="A135" s="17" t="str">
        <f>IFERROR(__xludf.DUMMYFUNCTION("""COMPUTED_VALUE"""),"Bluerock")</f>
        <v>Bluerock</v>
      </c>
      <c r="B135" s="17" t="str">
        <f>IFERROR(__xludf.DUMMYFUNCTION("""COMPUTED_VALUE"""),"Cielo on Gilbert")</f>
        <v>Cielo on Gilbert</v>
      </c>
      <c r="C135" s="17" t="str">
        <f>IFERROR(__xludf.DUMMYFUNCTION("""COMPUTED_VALUE"""),"Phoenix, AZ")</f>
        <v>Phoenix, AZ</v>
      </c>
      <c r="D135" s="17" t="str">
        <f>IFERROR(__xludf.DUMMYFUNCTION("""COMPUTED_VALUE"""),"Multifamily")</f>
        <v>Multifamily</v>
      </c>
      <c r="E135" s="17">
        <f>IFERROR(__xludf.DUMMYFUNCTION("""COMPUTED_VALUE"""),1.83)</f>
        <v>1.83</v>
      </c>
      <c r="F135" s="27">
        <f>IFERROR(__xludf.DUMMYFUNCTION("""COMPUTED_VALUE"""),4.27)</f>
        <v>4.27</v>
      </c>
      <c r="G135" s="13">
        <f>IFERROR(__xludf.DUMMYFUNCTION("""COMPUTED_VALUE"""),1.4023)</f>
        <v>1.4023</v>
      </c>
    </row>
    <row r="136">
      <c r="A136" s="17" t="str">
        <f>IFERROR(__xludf.DUMMYFUNCTION("""COMPUTED_VALUE"""),"Bluerock")</f>
        <v>Bluerock</v>
      </c>
      <c r="B136" s="17" t="str">
        <f>IFERROR(__xludf.DUMMYFUNCTION("""COMPUTED_VALUE"""),"Citrus Tower")</f>
        <v>Citrus Tower</v>
      </c>
      <c r="C136" s="17" t="str">
        <f>IFERROR(__xludf.DUMMYFUNCTION("""COMPUTED_VALUE"""),"Clermont, FL")</f>
        <v>Clermont, FL</v>
      </c>
      <c r="D136" s="17" t="str">
        <f>IFERROR(__xludf.DUMMYFUNCTION("""COMPUTED_VALUE"""),"Multifamily")</f>
        <v>Multifamily</v>
      </c>
      <c r="E136" s="17">
        <f>IFERROR(__xludf.DUMMYFUNCTION("""COMPUTED_VALUE"""),5.08)</f>
        <v>5.08</v>
      </c>
      <c r="F136" s="27">
        <f>IFERROR(__xludf.DUMMYFUNCTION("""COMPUTED_VALUE"""),3.48)</f>
        <v>3.48</v>
      </c>
      <c r="G136" s="13">
        <f>IFERROR(__xludf.DUMMYFUNCTION("""COMPUTED_VALUE"""),0.3131)</f>
        <v>0.3131</v>
      </c>
    </row>
    <row r="137">
      <c r="A137" s="17" t="str">
        <f>IFERROR(__xludf.DUMMYFUNCTION("""COMPUTED_VALUE"""),"Denholtz")</f>
        <v>Denholtz</v>
      </c>
      <c r="B137" s="17" t="str">
        <f>IFERROR(__xludf.DUMMYFUNCTION("""COMPUTED_VALUE"""),"Clark Commercial Center")</f>
        <v>Clark Commercial Center</v>
      </c>
      <c r="C137" s="17" t="str">
        <f>IFERROR(__xludf.DUMMYFUNCTION("""COMPUTED_VALUE"""),"Clark, NJ")</f>
        <v>Clark, NJ</v>
      </c>
      <c r="D137" s="17" t="str">
        <f>IFERROR(__xludf.DUMMYFUNCTION("""COMPUTED_VALUE"""),"Industrial")</f>
        <v>Industrial</v>
      </c>
      <c r="E137" s="17">
        <f>IFERROR(__xludf.DUMMYFUNCTION("""COMPUTED_VALUE"""),9.17)</f>
        <v>9.17</v>
      </c>
      <c r="F137" s="27" t="str">
        <f>IFERROR(__xludf.DUMMYFUNCTION("""COMPUTED_VALUE"""),"2.30x")</f>
        <v>2.30x</v>
      </c>
      <c r="G137" s="13">
        <f>IFERROR(__xludf.DUMMYFUNCTION("""COMPUTED_VALUE"""),0.2471)</f>
        <v>0.2471</v>
      </c>
    </row>
    <row r="138">
      <c r="A138" s="17" t="str">
        <f>IFERROR(__xludf.DUMMYFUNCTION("""COMPUTED_VALUE"""),"Bluerock")</f>
        <v>Bluerock</v>
      </c>
      <c r="B138" s="17" t="str">
        <f>IFERROR(__xludf.DUMMYFUNCTION("""COMPUTED_VALUE"""),"Clearwater")</f>
        <v>Clearwater</v>
      </c>
      <c r="C138" s="17" t="str">
        <f>IFERROR(__xludf.DUMMYFUNCTION("""COMPUTED_VALUE"""),"Clearwater, FL")</f>
        <v>Clearwater, FL</v>
      </c>
      <c r="D138" s="17" t="str">
        <f>IFERROR(__xludf.DUMMYFUNCTION("""COMPUTED_VALUE"""),"Multifamily")</f>
        <v>Multifamily</v>
      </c>
      <c r="E138" s="17">
        <f>IFERROR(__xludf.DUMMYFUNCTION("""COMPUTED_VALUE"""),6.92)</f>
        <v>6.92</v>
      </c>
      <c r="F138" s="27">
        <f>IFERROR(__xludf.DUMMYFUNCTION("""COMPUTED_VALUE"""),1.87)</f>
        <v>1.87</v>
      </c>
      <c r="G138" s="13">
        <f>IFERROR(__xludf.DUMMYFUNCTION("""COMPUTED_VALUE"""),0.147)</f>
        <v>0.147</v>
      </c>
    </row>
    <row r="139">
      <c r="A139" s="17" t="str">
        <f>IFERROR(__xludf.DUMMYFUNCTION("""COMPUTED_VALUE"""),"Bluerock")</f>
        <v>Bluerock</v>
      </c>
      <c r="B139" s="17" t="str">
        <f>IFERROR(__xludf.DUMMYFUNCTION("""COMPUTED_VALUE"""),"CoHo House")</f>
        <v>CoHo House</v>
      </c>
      <c r="C139" s="17" t="str">
        <f>IFERROR(__xludf.DUMMYFUNCTION("""COMPUTED_VALUE"""),"Atlanta, GA")</f>
        <v>Atlanta, GA</v>
      </c>
      <c r="D139" s="17" t="str">
        <f>IFERROR(__xludf.DUMMYFUNCTION("""COMPUTED_VALUE"""),"Multifamily")</f>
        <v>Multifamily</v>
      </c>
      <c r="E139" s="17">
        <f>IFERROR(__xludf.DUMMYFUNCTION("""COMPUTED_VALUE"""),3.42)</f>
        <v>3.42</v>
      </c>
      <c r="F139" s="27">
        <f>IFERROR(__xludf.DUMMYFUNCTION("""COMPUTED_VALUE"""),1.26)</f>
        <v>1.26</v>
      </c>
      <c r="G139" s="13">
        <f>IFERROR(__xludf.DUMMYFUNCTION("""COMPUTED_VALUE"""),-0.031)</f>
        <v>-0.031</v>
      </c>
    </row>
    <row r="140">
      <c r="A140" s="17" t="str">
        <f>IFERROR(__xludf.DUMMYFUNCTION("""COMPUTED_VALUE"""),"Walton Global Holdings")</f>
        <v>Walton Global Holdings</v>
      </c>
      <c r="B140" s="17" t="str">
        <f>IFERROR(__xludf.DUMMYFUNCTION("""COMPUTED_VALUE"""),"Coley/University Research Park")</f>
        <v>Coley/University Research Park</v>
      </c>
      <c r="C140" s="17" t="str">
        <f>IFERROR(__xludf.DUMMYFUNCTION("""COMPUTED_VALUE"""),"Atlanta, GA")</f>
        <v>Atlanta, GA</v>
      </c>
      <c r="D140" s="17" t="str">
        <f>IFERROR(__xludf.DUMMYFUNCTION("""COMPUTED_VALUE"""),"Land")</f>
        <v>Land</v>
      </c>
      <c r="E140" s="17">
        <f>IFERROR(__xludf.DUMMYFUNCTION("""COMPUTED_VALUE"""),8.39)</f>
        <v>8.39</v>
      </c>
      <c r="F140" s="27" t="str">
        <f>IFERROR(__xludf.DUMMYFUNCTION("""COMPUTED_VALUE"""),"1.86x")</f>
        <v>1.86x</v>
      </c>
      <c r="G140" s="13">
        <f>IFERROR(__xludf.DUMMYFUNCTION("""COMPUTED_VALUE"""),0.08)</f>
        <v>0.08</v>
      </c>
    </row>
    <row r="141">
      <c r="A141" s="17" t="str">
        <f>IFERROR(__xludf.DUMMYFUNCTION("""COMPUTED_VALUE"""),"Inland")</f>
        <v>Inland</v>
      </c>
      <c r="B141" s="17" t="str">
        <f>IFERROR(__xludf.DUMMYFUNCTION("""COMPUTED_VALUE"""),"Colorado Multifamily Portfolio DST")</f>
        <v>Colorado Multifamily Portfolio DST</v>
      </c>
      <c r="C141" s="17"/>
      <c r="D141" s="17" t="str">
        <f>IFERROR(__xludf.DUMMYFUNCTION("""COMPUTED_VALUE"""),"Multifamily")</f>
        <v>Multifamily</v>
      </c>
      <c r="E141" s="17">
        <f>IFERROR(__xludf.DUMMYFUNCTION("""COMPUTED_VALUE"""),4.5)</f>
        <v>4.5</v>
      </c>
      <c r="F141" s="27">
        <f>IFERROR(__xludf.DUMMYFUNCTION("""COMPUTED_VALUE"""),1.43)</f>
        <v>1.43</v>
      </c>
      <c r="G141" s="13">
        <f>IFERROR(__xludf.DUMMYFUNCTION("""COMPUTED_VALUE"""),0.0925)</f>
        <v>0.0925</v>
      </c>
    </row>
    <row r="142">
      <c r="A142" s="17" t="str">
        <f>IFERROR(__xludf.DUMMYFUNCTION("""COMPUTED_VALUE"""),"Inland")</f>
        <v>Inland</v>
      </c>
      <c r="B142" s="17" t="str">
        <f>IFERROR(__xludf.DUMMYFUNCTION("""COMPUTED_VALUE"""),"Colorado Multifamily Portfolio II DST")</f>
        <v>Colorado Multifamily Portfolio II DST</v>
      </c>
      <c r="C142" s="17"/>
      <c r="D142" s="17" t="str">
        <f>IFERROR(__xludf.DUMMYFUNCTION("""COMPUTED_VALUE"""),"Multifamily")</f>
        <v>Multifamily</v>
      </c>
      <c r="E142" s="17">
        <f>IFERROR(__xludf.DUMMYFUNCTION("""COMPUTED_VALUE"""),4.0)</f>
        <v>4</v>
      </c>
      <c r="F142" s="27">
        <f>IFERROR(__xludf.DUMMYFUNCTION("""COMPUTED_VALUE"""),1.56)</f>
        <v>1.56</v>
      </c>
      <c r="G142" s="13">
        <f>IFERROR(__xludf.DUMMYFUNCTION("""COMPUTED_VALUE"""),0.1289)</f>
        <v>0.1289</v>
      </c>
    </row>
    <row r="143">
      <c r="A143" s="17" t="str">
        <f>IFERROR(__xludf.DUMMYFUNCTION("""COMPUTED_VALUE"""),"Inland")</f>
        <v>Inland</v>
      </c>
      <c r="B143" s="17" t="str">
        <f>IFERROR(__xludf.DUMMYFUNCTION("""COMPUTED_VALUE"""),"Colorado Springs Multifamily DST")</f>
        <v>Colorado Springs Multifamily DST</v>
      </c>
      <c r="C143" s="17"/>
      <c r="D143" s="17" t="str">
        <f>IFERROR(__xludf.DUMMYFUNCTION("""COMPUTED_VALUE"""),"Multifamily")</f>
        <v>Multifamily</v>
      </c>
      <c r="E143" s="17">
        <f>IFERROR(__xludf.DUMMYFUNCTION("""COMPUTED_VALUE"""),6.33)</f>
        <v>6.33</v>
      </c>
      <c r="F143" s="27">
        <f>IFERROR(__xludf.DUMMYFUNCTION("""COMPUTED_VALUE"""),1.4)</f>
        <v>1.4</v>
      </c>
      <c r="G143" s="13">
        <f>IFERROR(__xludf.DUMMYFUNCTION("""COMPUTED_VALUE"""),0.0616)</f>
        <v>0.0616</v>
      </c>
    </row>
    <row r="144">
      <c r="A144" s="17" t="str">
        <f>IFERROR(__xludf.DUMMYFUNCTION("""COMPUTED_VALUE"""),"Passco")</f>
        <v>Passco</v>
      </c>
      <c r="B144" s="17" t="str">
        <f>IFERROR(__xludf.DUMMYFUNCTION("""COMPUTED_VALUE"""),"Columns at Wakefield")</f>
        <v>Columns at Wakefield</v>
      </c>
      <c r="C144" s="17" t="str">
        <f>IFERROR(__xludf.DUMMYFUNCTION("""COMPUTED_VALUE"""),"Raleigh, NC")</f>
        <v>Raleigh, NC</v>
      </c>
      <c r="D144" s="17" t="str">
        <f>IFERROR(__xludf.DUMMYFUNCTION("""COMPUTED_VALUE"""),"Multifamily")</f>
        <v>Multifamily</v>
      </c>
      <c r="E144" s="17">
        <f>IFERROR(__xludf.DUMMYFUNCTION("""COMPUTED_VALUE"""),6.0)</f>
        <v>6</v>
      </c>
      <c r="F144" s="27">
        <f>IFERROR(__xludf.DUMMYFUNCTION("""COMPUTED_VALUE"""),2.03)</f>
        <v>2.03</v>
      </c>
      <c r="G144" s="13">
        <f>IFERROR(__xludf.DUMMYFUNCTION("""COMPUTED_VALUE"""),0.1254)</f>
        <v>0.1254</v>
      </c>
    </row>
    <row r="145">
      <c r="A145" s="17" t="str">
        <f>IFERROR(__xludf.DUMMYFUNCTION("""COMPUTED_VALUE"""),"Peachtree Group")</f>
        <v>Peachtree Group</v>
      </c>
      <c r="B145" s="17" t="str">
        <f>IFERROR(__xludf.DUMMYFUNCTION("""COMPUTED_VALUE"""),"Comfort Suites – Starkville, MS")</f>
        <v>Comfort Suites – Starkville, MS</v>
      </c>
      <c r="C145" s="17" t="str">
        <f>IFERROR(__xludf.DUMMYFUNCTION("""COMPUTED_VALUE"""),"Starkville, MS")</f>
        <v>Starkville, MS</v>
      </c>
      <c r="D145" s="17" t="str">
        <f>IFERROR(__xludf.DUMMYFUNCTION("""COMPUTED_VALUE"""),"Hotel")</f>
        <v>Hotel</v>
      </c>
      <c r="E145" s="17">
        <f>IFERROR(__xludf.DUMMYFUNCTION("""COMPUTED_VALUE"""),14.5)</f>
        <v>14.5</v>
      </c>
      <c r="F145" s="27">
        <f>IFERROR(__xludf.DUMMYFUNCTION("""COMPUTED_VALUE"""),3.04)</f>
        <v>3.04</v>
      </c>
      <c r="G145" s="13">
        <f>IFERROR(__xludf.DUMMYFUNCTION("""COMPUTED_VALUE"""),0.169)</f>
        <v>0.169</v>
      </c>
    </row>
    <row r="146">
      <c r="A146" s="17" t="str">
        <f>IFERROR(__xludf.DUMMYFUNCTION("""COMPUTED_VALUE"""),"Inland")</f>
        <v>Inland</v>
      </c>
      <c r="B146" s="17" t="str">
        <f>IFERROR(__xludf.DUMMYFUNCTION("""COMPUTED_VALUE"""),"Convenience Net Lease Portfolio DST")</f>
        <v>Convenience Net Lease Portfolio DST</v>
      </c>
      <c r="C146" s="17"/>
      <c r="D146" s="17" t="str">
        <f>IFERROR(__xludf.DUMMYFUNCTION("""COMPUTED_VALUE"""),"Retail")</f>
        <v>Retail</v>
      </c>
      <c r="E146" s="17">
        <f>IFERROR(__xludf.DUMMYFUNCTION("""COMPUTED_VALUE"""),1.5)</f>
        <v>1.5</v>
      </c>
      <c r="F146" s="27">
        <f>IFERROR(__xludf.DUMMYFUNCTION("""COMPUTED_VALUE"""),1.26)</f>
        <v>1.26</v>
      </c>
      <c r="G146" s="13">
        <f>IFERROR(__xludf.DUMMYFUNCTION("""COMPUTED_VALUE"""),0.1748)</f>
        <v>0.1748</v>
      </c>
    </row>
    <row r="147">
      <c r="A147" s="17" t="str">
        <f>IFERROR(__xludf.DUMMYFUNCTION("""COMPUTED_VALUE"""),"Walton Global Holdings")</f>
        <v>Walton Global Holdings</v>
      </c>
      <c r="B147" s="17" t="str">
        <f>IFERROR(__xludf.DUMMYFUNCTION("""COMPUTED_VALUE"""),"Cornerstone")</f>
        <v>Cornerstone</v>
      </c>
      <c r="C147" s="17" t="str">
        <f>IFERROR(__xludf.DUMMYFUNCTION("""COMPUTED_VALUE"""),"Dallas-Fort Worth, TX")</f>
        <v>Dallas-Fort Worth, TX</v>
      </c>
      <c r="D147" s="17" t="str">
        <f>IFERROR(__xludf.DUMMYFUNCTION("""COMPUTED_VALUE"""),"Land")</f>
        <v>Land</v>
      </c>
      <c r="E147" s="17">
        <f>IFERROR(__xludf.DUMMYFUNCTION("""COMPUTED_VALUE"""),3.18)</f>
        <v>3.18</v>
      </c>
      <c r="F147" s="27" t="str">
        <f>IFERROR(__xludf.DUMMYFUNCTION("""COMPUTED_VALUE"""),"0.87x")</f>
        <v>0.87x</v>
      </c>
      <c r="G147" s="13">
        <f>IFERROR(__xludf.DUMMYFUNCTION("""COMPUTED_VALUE"""),-0.0428)</f>
        <v>-0.0428</v>
      </c>
    </row>
    <row r="148">
      <c r="A148" s="17" t="str">
        <f>IFERROR(__xludf.DUMMYFUNCTION("""COMPUTED_VALUE"""),"Bluerock")</f>
        <v>Bluerock</v>
      </c>
      <c r="B148" s="17" t="str">
        <f>IFERROR(__xludf.DUMMYFUNCTION("""COMPUTED_VALUE"""),"Cottages at Myrtle Beach")</f>
        <v>Cottages at Myrtle Beach</v>
      </c>
      <c r="C148" s="17" t="str">
        <f>IFERROR(__xludf.DUMMYFUNCTION("""COMPUTED_VALUE"""),"Myrtle Beach, SC")</f>
        <v>Myrtle Beach, SC</v>
      </c>
      <c r="D148" s="17" t="str">
        <f>IFERROR(__xludf.DUMMYFUNCTION("""COMPUTED_VALUE"""),"Multifamily")</f>
        <v>Multifamily</v>
      </c>
      <c r="E148" s="17">
        <f>IFERROR(__xludf.DUMMYFUNCTION("""COMPUTED_VALUE"""),3.92)</f>
        <v>3.92</v>
      </c>
      <c r="F148" s="27">
        <f>IFERROR(__xludf.DUMMYFUNCTION("""COMPUTED_VALUE"""),1.57)</f>
        <v>1.57</v>
      </c>
      <c r="G148" s="13">
        <f>IFERROR(__xludf.DUMMYFUNCTION("""COMPUTED_VALUE"""),0.148)</f>
        <v>0.148</v>
      </c>
    </row>
    <row r="149">
      <c r="A149" s="17" t="str">
        <f>IFERROR(__xludf.DUMMYFUNCTION("""COMPUTED_VALUE"""),"Bluerock")</f>
        <v>Bluerock</v>
      </c>
      <c r="B149" s="17" t="str">
        <f>IFERROR(__xludf.DUMMYFUNCTION("""COMPUTED_VALUE"""),"Cottages at Port St. Lucie")</f>
        <v>Cottages at Port St. Lucie</v>
      </c>
      <c r="C149" s="17" t="str">
        <f>IFERROR(__xludf.DUMMYFUNCTION("""COMPUTED_VALUE"""),"Port St. Lucie, FL")</f>
        <v>Port St. Lucie, FL</v>
      </c>
      <c r="D149" s="17" t="str">
        <f>IFERROR(__xludf.DUMMYFUNCTION("""COMPUTED_VALUE"""),"Multifamily")</f>
        <v>Multifamily</v>
      </c>
      <c r="E149" s="17">
        <f>IFERROR(__xludf.DUMMYFUNCTION("""COMPUTED_VALUE"""),4.0)</f>
        <v>4</v>
      </c>
      <c r="F149" s="27">
        <f>IFERROR(__xludf.DUMMYFUNCTION("""COMPUTED_VALUE"""),1.6)</f>
        <v>1.6</v>
      </c>
      <c r="G149" s="13">
        <f>IFERROR(__xludf.DUMMYFUNCTION("""COMPUTED_VALUE"""),0.148)</f>
        <v>0.148</v>
      </c>
    </row>
    <row r="150">
      <c r="A150" s="17" t="str">
        <f>IFERROR(__xludf.DUMMYFUNCTION("""COMPUTED_VALUE"""),"Walton Global Holdings")</f>
        <v>Walton Global Holdings</v>
      </c>
      <c r="B150" s="17" t="str">
        <f>IFERROR(__xludf.DUMMYFUNCTION("""COMPUTED_VALUE"""),"Cotton Center - Austin Land LP - RUC")</f>
        <v>Cotton Center - Austin Land LP - RUC</v>
      </c>
      <c r="C150" s="17" t="str">
        <f>IFERROR(__xludf.DUMMYFUNCTION("""COMPUTED_VALUE"""),"Austin, TX")</f>
        <v>Austin, TX</v>
      </c>
      <c r="D150" s="17" t="str">
        <f>IFERROR(__xludf.DUMMYFUNCTION("""COMPUTED_VALUE"""),"Land")</f>
        <v>Land</v>
      </c>
      <c r="E150" s="17">
        <f>IFERROR(__xludf.DUMMYFUNCTION("""COMPUTED_VALUE"""),3.6)</f>
        <v>3.6</v>
      </c>
      <c r="F150" s="27" t="str">
        <f>IFERROR(__xludf.DUMMYFUNCTION("""COMPUTED_VALUE"""),"0.98x")</f>
        <v>0.98x</v>
      </c>
      <c r="G150" s="13">
        <f>IFERROR(__xludf.DUMMYFUNCTION("""COMPUTED_VALUE"""),-0.0056)</f>
        <v>-0.0056</v>
      </c>
    </row>
    <row r="151">
      <c r="A151" s="17" t="str">
        <f>IFERROR(__xludf.DUMMYFUNCTION("""COMPUTED_VALUE"""),"Walton Global Holdings")</f>
        <v>Walton Global Holdings</v>
      </c>
      <c r="B151" s="17" t="str">
        <f>IFERROR(__xludf.DUMMYFUNCTION("""COMPUTED_VALUE"""),"Cotton Center - Silver Crossing LP - RUC")</f>
        <v>Cotton Center - Silver Crossing LP - RUC</v>
      </c>
      <c r="C151" s="17" t="str">
        <f>IFERROR(__xludf.DUMMYFUNCTION("""COMPUTED_VALUE"""),"Austin, TX")</f>
        <v>Austin, TX</v>
      </c>
      <c r="D151" s="17" t="str">
        <f>IFERROR(__xludf.DUMMYFUNCTION("""COMPUTED_VALUE"""),"Land")</f>
        <v>Land</v>
      </c>
      <c r="E151" s="17">
        <f>IFERROR(__xludf.DUMMYFUNCTION("""COMPUTED_VALUE"""),3.67)</f>
        <v>3.67</v>
      </c>
      <c r="F151" s="27" t="str">
        <f>IFERROR(__xludf.DUMMYFUNCTION("""COMPUTED_VALUE"""),"0.85x")</f>
        <v>0.85x</v>
      </c>
      <c r="G151" s="13">
        <f>IFERROR(__xludf.DUMMYFUNCTION("""COMPUTED_VALUE"""),-0.0433)</f>
        <v>-0.0433</v>
      </c>
    </row>
    <row r="152">
      <c r="A152" s="17" t="str">
        <f>IFERROR(__xludf.DUMMYFUNCTION("""COMPUTED_VALUE"""),"Peachtree Group")</f>
        <v>Peachtree Group</v>
      </c>
      <c r="B152" s="17" t="str">
        <f>IFERROR(__xludf.DUMMYFUNCTION("""COMPUTED_VALUE"""),"Country Inn &amp; Suites – Montgomery, AL")</f>
        <v>Country Inn &amp; Suites – Montgomery, AL</v>
      </c>
      <c r="C152" s="17" t="str">
        <f>IFERROR(__xludf.DUMMYFUNCTION("""COMPUTED_VALUE"""),"Montgomery, AL")</f>
        <v>Montgomery, AL</v>
      </c>
      <c r="D152" s="17" t="str">
        <f>IFERROR(__xludf.DUMMYFUNCTION("""COMPUTED_VALUE"""),"Hotel")</f>
        <v>Hotel</v>
      </c>
      <c r="E152" s="17">
        <f>IFERROR(__xludf.DUMMYFUNCTION("""COMPUTED_VALUE"""),3.0)</f>
        <v>3</v>
      </c>
      <c r="F152" s="27">
        <f>IFERROR(__xludf.DUMMYFUNCTION("""COMPUTED_VALUE"""),4.26)</f>
        <v>4.26</v>
      </c>
      <c r="G152" s="13">
        <f>IFERROR(__xludf.DUMMYFUNCTION("""COMPUTED_VALUE"""),0.657)</f>
        <v>0.657</v>
      </c>
    </row>
    <row r="153">
      <c r="A153" s="17" t="str">
        <f>IFERROR(__xludf.DUMMYFUNCTION("""COMPUTED_VALUE"""),"Syndicated Equities")</f>
        <v>Syndicated Equities</v>
      </c>
      <c r="B153" s="17" t="str">
        <f>IFERROR(__xludf.DUMMYFUNCTION("""COMPUTED_VALUE"""),"Courtland Center")</f>
        <v>Courtland Center</v>
      </c>
      <c r="C153" s="17" t="str">
        <f>IFERROR(__xludf.DUMMYFUNCTION("""COMPUTED_VALUE"""),"Burton, MI")</f>
        <v>Burton, MI</v>
      </c>
      <c r="D153" s="17"/>
      <c r="E153" s="17">
        <f>IFERROR(__xludf.DUMMYFUNCTION("""COMPUTED_VALUE"""),10.23)</f>
        <v>10.23</v>
      </c>
      <c r="F153" s="27">
        <f>IFERROR(__xludf.DUMMYFUNCTION("""COMPUTED_VALUE"""),0.39)</f>
        <v>0.39</v>
      </c>
      <c r="G153" s="13">
        <f>IFERROR(__xludf.DUMMYFUNCTION("""COMPUTED_VALUE"""),-0.0879)</f>
        <v>-0.0879</v>
      </c>
    </row>
    <row r="154">
      <c r="A154" s="17" t="str">
        <f>IFERROR(__xludf.DUMMYFUNCTION("""COMPUTED_VALUE"""),"Peachtree Group")</f>
        <v>Peachtree Group</v>
      </c>
      <c r="B154" s="17" t="str">
        <f>IFERROR(__xludf.DUMMYFUNCTION("""COMPUTED_VALUE"""),"Courtyard – Gulf Shores, AL")</f>
        <v>Courtyard – Gulf Shores, AL</v>
      </c>
      <c r="C154" s="17" t="str">
        <f>IFERROR(__xludf.DUMMYFUNCTION("""COMPUTED_VALUE"""),"Gulf Shores, AL")</f>
        <v>Gulf Shores, AL</v>
      </c>
      <c r="D154" s="17" t="str">
        <f>IFERROR(__xludf.DUMMYFUNCTION("""COMPUTED_VALUE"""),"Hotel")</f>
        <v>Hotel</v>
      </c>
      <c r="E154" s="17">
        <f>IFERROR(__xludf.DUMMYFUNCTION("""COMPUTED_VALUE"""),3.32)</f>
        <v>3.32</v>
      </c>
      <c r="F154" s="27">
        <f>IFERROR(__xludf.DUMMYFUNCTION("""COMPUTED_VALUE"""),3.93)</f>
        <v>3.93</v>
      </c>
      <c r="G154" s="13">
        <f>IFERROR(__xludf.DUMMYFUNCTION("""COMPUTED_VALUE"""),0.594)</f>
        <v>0.594</v>
      </c>
    </row>
    <row r="155">
      <c r="A155" s="17" t="str">
        <f>IFERROR(__xludf.DUMMYFUNCTION("""COMPUTED_VALUE"""),"Peachtree Group")</f>
        <v>Peachtree Group</v>
      </c>
      <c r="B155" s="17" t="str">
        <f>IFERROR(__xludf.DUMMYFUNCTION("""COMPUTED_VALUE"""),"Courtyard – Jacksonville, FL")</f>
        <v>Courtyard – Jacksonville, FL</v>
      </c>
      <c r="C155" s="17" t="str">
        <f>IFERROR(__xludf.DUMMYFUNCTION("""COMPUTED_VALUE"""),"Jacksonville, FL")</f>
        <v>Jacksonville, FL</v>
      </c>
      <c r="D155" s="17" t="str">
        <f>IFERROR(__xludf.DUMMYFUNCTION("""COMPUTED_VALUE"""),"Hotel")</f>
        <v>Hotel</v>
      </c>
      <c r="E155" s="17">
        <f>IFERROR(__xludf.DUMMYFUNCTION("""COMPUTED_VALUE"""),2.59)</f>
        <v>2.59</v>
      </c>
      <c r="F155" s="27">
        <f>IFERROR(__xludf.DUMMYFUNCTION("""COMPUTED_VALUE"""),2.1)</f>
        <v>2.1</v>
      </c>
      <c r="G155" s="13">
        <f>IFERROR(__xludf.DUMMYFUNCTION("""COMPUTED_VALUE"""),0.361)</f>
        <v>0.361</v>
      </c>
    </row>
    <row r="156">
      <c r="A156" s="17" t="str">
        <f>IFERROR(__xludf.DUMMYFUNCTION("""COMPUTED_VALUE"""),"Inland")</f>
        <v>Inland</v>
      </c>
      <c r="B156" s="17" t="str">
        <f>IFERROR(__xludf.DUMMYFUNCTION("""COMPUTED_VALUE"""),"Cranberry Retail Venture DST")</f>
        <v>Cranberry Retail Venture DST</v>
      </c>
      <c r="C156" s="17"/>
      <c r="D156" s="17" t="str">
        <f>IFERROR(__xludf.DUMMYFUNCTION("""COMPUTED_VALUE"""),"Retail")</f>
        <v>Retail</v>
      </c>
      <c r="E156" s="17">
        <f>IFERROR(__xludf.DUMMYFUNCTION("""COMPUTED_VALUE"""),9.88)</f>
        <v>9.88</v>
      </c>
      <c r="F156" s="27">
        <f>IFERROR(__xludf.DUMMYFUNCTION("""COMPUTED_VALUE"""),1.58)</f>
        <v>1.58</v>
      </c>
      <c r="G156" s="13">
        <f>IFERROR(__xludf.DUMMYFUNCTION("""COMPUTED_VALUE"""),0.0612)</f>
        <v>0.0612</v>
      </c>
    </row>
    <row r="157">
      <c r="A157" s="17" t="str">
        <f>IFERROR(__xludf.DUMMYFUNCTION("""COMPUTED_VALUE"""),"Syndicated Equities")</f>
        <v>Syndicated Equities</v>
      </c>
      <c r="B157" s="17" t="str">
        <f>IFERROR(__xludf.DUMMYFUNCTION("""COMPUTED_VALUE"""),"Cranberry Square")</f>
        <v>Cranberry Square</v>
      </c>
      <c r="C157" s="17" t="str">
        <f>IFERROR(__xludf.DUMMYFUNCTION("""COMPUTED_VALUE"""),"Pittsburgh, PA")</f>
        <v>Pittsburgh, PA</v>
      </c>
      <c r="D157" s="17"/>
      <c r="E157" s="17">
        <f>IFERROR(__xludf.DUMMYFUNCTION("""COMPUTED_VALUE"""),4.54)</f>
        <v>4.54</v>
      </c>
      <c r="F157" s="27">
        <f>IFERROR(__xludf.DUMMYFUNCTION("""COMPUTED_VALUE"""),1.69)</f>
        <v>1.69</v>
      </c>
      <c r="G157" s="13">
        <f>IFERROR(__xludf.DUMMYFUNCTION("""COMPUTED_VALUE"""),0.1225)</f>
        <v>0.1225</v>
      </c>
    </row>
    <row r="158">
      <c r="A158" s="17" t="str">
        <f>IFERROR(__xludf.DUMMYFUNCTION("""COMPUTED_VALUE"""),"Bluerock")</f>
        <v>Bluerock</v>
      </c>
      <c r="B158" s="17" t="str">
        <f>IFERROR(__xludf.DUMMYFUNCTION("""COMPUTED_VALUE"""),"Creekside Village")</f>
        <v>Creekside Village</v>
      </c>
      <c r="C158" s="17" t="str">
        <f>IFERROR(__xludf.DUMMYFUNCTION("""COMPUTED_VALUE"""),"Chattanooga, TN")</f>
        <v>Chattanooga, TN</v>
      </c>
      <c r="D158" s="17" t="str">
        <f>IFERROR(__xludf.DUMMYFUNCTION("""COMPUTED_VALUE"""),"Multifamily")</f>
        <v>Multifamily</v>
      </c>
      <c r="E158" s="17">
        <f>IFERROR(__xludf.DUMMYFUNCTION("""COMPUTED_VALUE"""),4.0)</f>
        <v>4</v>
      </c>
      <c r="F158" s="27">
        <f>IFERROR(__xludf.DUMMYFUNCTION("""COMPUTED_VALUE"""),2.27)</f>
        <v>2.27</v>
      </c>
      <c r="G158" s="13">
        <f>IFERROR(__xludf.DUMMYFUNCTION("""COMPUTED_VALUE"""),0.148)</f>
        <v>0.148</v>
      </c>
    </row>
    <row r="159">
      <c r="A159" s="17" t="str">
        <f>IFERROR(__xludf.DUMMYFUNCTION("""COMPUTED_VALUE"""),"Walton Global Holdings")</f>
        <v>Walton Global Holdings</v>
      </c>
      <c r="B159" s="17" t="str">
        <f>IFERROR(__xludf.DUMMYFUNCTION("""COMPUTED_VALUE"""),"Cross Creek")</f>
        <v>Cross Creek</v>
      </c>
      <c r="C159" s="17" t="str">
        <f>IFERROR(__xludf.DUMMYFUNCTION("""COMPUTED_VALUE"""),"Phoenix, AZ")</f>
        <v>Phoenix, AZ</v>
      </c>
      <c r="D159" s="17" t="str">
        <f>IFERROR(__xludf.DUMMYFUNCTION("""COMPUTED_VALUE"""),"Land")</f>
        <v>Land</v>
      </c>
      <c r="E159" s="17">
        <f>IFERROR(__xludf.DUMMYFUNCTION("""COMPUTED_VALUE"""),9.42)</f>
        <v>9.42</v>
      </c>
      <c r="F159" s="27" t="str">
        <f>IFERROR(__xludf.DUMMYFUNCTION("""COMPUTED_VALUE"""),"0.92x")</f>
        <v>0.92x</v>
      </c>
      <c r="G159" s="13">
        <f>IFERROR(__xludf.DUMMYFUNCTION("""COMPUTED_VALUE"""),-0.0088)</f>
        <v>-0.0088</v>
      </c>
    </row>
    <row r="160">
      <c r="A160" s="17" t="str">
        <f>IFERROR(__xludf.DUMMYFUNCTION("""COMPUTED_VALUE"""),"Peachtree Group")</f>
        <v>Peachtree Group</v>
      </c>
      <c r="B160" s="17" t="str">
        <f>IFERROR(__xludf.DUMMYFUNCTION("""COMPUTED_VALUE"""),"Crowne Plaza – North Charleston, SC")</f>
        <v>Crowne Plaza – North Charleston, SC</v>
      </c>
      <c r="C160" s="17" t="str">
        <f>IFERROR(__xludf.DUMMYFUNCTION("""COMPUTED_VALUE"""),"N. Charleston, SC")</f>
        <v>N. Charleston, SC</v>
      </c>
      <c r="D160" s="17" t="str">
        <f>IFERROR(__xludf.DUMMYFUNCTION("""COMPUTED_VALUE"""),"Hotel")</f>
        <v>Hotel</v>
      </c>
      <c r="E160" s="17">
        <f>IFERROR(__xludf.DUMMYFUNCTION("""COMPUTED_VALUE"""),2.92)</f>
        <v>2.92</v>
      </c>
      <c r="F160" s="27">
        <f>IFERROR(__xludf.DUMMYFUNCTION("""COMPUTED_VALUE"""),1.92)</f>
        <v>1.92</v>
      </c>
      <c r="G160" s="13">
        <f>IFERROR(__xludf.DUMMYFUNCTION("""COMPUTED_VALUE"""),0.269)</f>
        <v>0.269</v>
      </c>
    </row>
    <row r="161">
      <c r="A161" s="17" t="str">
        <f>IFERROR(__xludf.DUMMYFUNCTION("""COMPUTED_VALUE"""),"Capital Square")</f>
        <v>Capital Square</v>
      </c>
      <c r="B161" s="17" t="str">
        <f>IFERROR(__xludf.DUMMYFUNCTION("""COMPUTED_VALUE"""),"CS1031 Bedford Parke Apartments, DST")</f>
        <v>CS1031 Bedford Parke Apartments, DST</v>
      </c>
      <c r="C161" s="17" t="str">
        <f>IFERROR(__xludf.DUMMYFUNCTION("""COMPUTED_VALUE"""),"Warner Robins, GA")</f>
        <v>Warner Robins, GA</v>
      </c>
      <c r="D161" s="17" t="str">
        <f>IFERROR(__xludf.DUMMYFUNCTION("""COMPUTED_VALUE"""),"Multifamily")</f>
        <v>Multifamily</v>
      </c>
      <c r="E161" s="17">
        <f>IFERROR(__xludf.DUMMYFUNCTION("""COMPUTED_VALUE"""),5.3)</f>
        <v>5.3</v>
      </c>
      <c r="F161" s="27">
        <f>IFERROR(__xludf.DUMMYFUNCTION("""COMPUTED_VALUE"""),2.0)</f>
        <v>2</v>
      </c>
      <c r="G161" s="13">
        <f>IFERROR(__xludf.DUMMYFUNCTION("""COMPUTED_VALUE"""),0.1582)</f>
        <v>0.1582</v>
      </c>
    </row>
    <row r="162">
      <c r="A162" s="17" t="str">
        <f>IFERROR(__xludf.DUMMYFUNCTION("""COMPUTED_VALUE"""),"Capital Square")</f>
        <v>Capital Square</v>
      </c>
      <c r="B162" s="17" t="str">
        <f>IFERROR(__xludf.DUMMYFUNCTION("""COMPUTED_VALUE"""),"CS1031 Bellemeade Apartments, DST")</f>
        <v>CS1031 Bellemeade Apartments, DST</v>
      </c>
      <c r="C162" s="17" t="str">
        <f>IFERROR(__xludf.DUMMYFUNCTION("""COMPUTED_VALUE"""),"Leesburg, VA")</f>
        <v>Leesburg, VA</v>
      </c>
      <c r="D162" s="17" t="str">
        <f>IFERROR(__xludf.DUMMYFUNCTION("""COMPUTED_VALUE"""),"Multifamily")</f>
        <v>Multifamily</v>
      </c>
      <c r="E162" s="17">
        <f>IFERROR(__xludf.DUMMYFUNCTION("""COMPUTED_VALUE"""),5.6)</f>
        <v>5.6</v>
      </c>
      <c r="F162" s="27">
        <f>IFERROR(__xludf.DUMMYFUNCTION("""COMPUTED_VALUE"""),1.37)</f>
        <v>1.37</v>
      </c>
      <c r="G162" s="13">
        <f>IFERROR(__xludf.DUMMYFUNCTION("""COMPUTED_VALUE"""),0.0661)</f>
        <v>0.0661</v>
      </c>
    </row>
    <row r="163">
      <c r="A163" s="17" t="str">
        <f>IFERROR(__xludf.DUMMYFUNCTION("""COMPUTED_VALUE"""),"Capital Square")</f>
        <v>Capital Square</v>
      </c>
      <c r="B163" s="17" t="str">
        <f>IFERROR(__xludf.DUMMYFUNCTION("""COMPUTED_VALUE"""),"CS1031 Canopy Apartments, DST")</f>
        <v>CS1031 Canopy Apartments, DST</v>
      </c>
      <c r="C163" s="17" t="str">
        <f>IFERROR(__xludf.DUMMYFUNCTION("""COMPUTED_VALUE"""),"San Antonio, TX")</f>
        <v>San Antonio, TX</v>
      </c>
      <c r="D163" s="17" t="str">
        <f>IFERROR(__xludf.DUMMYFUNCTION("""COMPUTED_VALUE"""),"Multifamily")</f>
        <v>Multifamily</v>
      </c>
      <c r="E163" s="17">
        <f>IFERROR(__xludf.DUMMYFUNCTION("""COMPUTED_VALUE"""),5.5)</f>
        <v>5.5</v>
      </c>
      <c r="F163" s="27">
        <f>IFERROR(__xludf.DUMMYFUNCTION("""COMPUTED_VALUE"""),1.78)</f>
        <v>1.78</v>
      </c>
      <c r="G163" s="13">
        <f>IFERROR(__xludf.DUMMYFUNCTION("""COMPUTED_VALUE"""),0.1241)</f>
        <v>0.1241</v>
      </c>
    </row>
    <row r="164">
      <c r="A164" s="17" t="str">
        <f>IFERROR(__xludf.DUMMYFUNCTION("""COMPUTED_VALUE"""),"Capital Square")</f>
        <v>Capital Square</v>
      </c>
      <c r="B164" s="17" t="str">
        <f>IFERROR(__xludf.DUMMYFUNCTION("""COMPUTED_VALUE"""),"CS1031 Crossroads Apartments, DST")</f>
        <v>CS1031 Crossroads Apartments, DST</v>
      </c>
      <c r="C164" s="17" t="str">
        <f>IFERROR(__xludf.DUMMYFUNCTION("""COMPUTED_VALUE"""),"Phoenix, AZ")</f>
        <v>Phoenix, AZ</v>
      </c>
      <c r="D164" s="17" t="str">
        <f>IFERROR(__xludf.DUMMYFUNCTION("""COMPUTED_VALUE"""),"Multifamily")</f>
        <v>Multifamily</v>
      </c>
      <c r="E164" s="17">
        <f>IFERROR(__xludf.DUMMYFUNCTION("""COMPUTED_VALUE"""),2.3)</f>
        <v>2.3</v>
      </c>
      <c r="F164" s="27">
        <f>IFERROR(__xludf.DUMMYFUNCTION("""COMPUTED_VALUE"""),1.45)</f>
        <v>1.45</v>
      </c>
      <c r="G164" s="13">
        <f>IFERROR(__xludf.DUMMYFUNCTION("""COMPUTED_VALUE"""),0.1835)</f>
        <v>0.1835</v>
      </c>
    </row>
    <row r="165">
      <c r="A165" s="17" t="str">
        <f>IFERROR(__xludf.DUMMYFUNCTION("""COMPUTED_VALUE"""),"Capital Square")</f>
        <v>Capital Square</v>
      </c>
      <c r="B165" s="17" t="str">
        <f>IFERROR(__xludf.DUMMYFUNCTION("""COMPUTED_VALUE"""),"CS1031 Fairway View Apartments, DST")</f>
        <v>CS1031 Fairway View Apartments, DST</v>
      </c>
      <c r="C165" s="17" t="str">
        <f>IFERROR(__xludf.DUMMYFUNCTION("""COMPUTED_VALUE"""),"Atlanta, GA (suburb)")</f>
        <v>Atlanta, GA (suburb)</v>
      </c>
      <c r="D165" s="17" t="str">
        <f>IFERROR(__xludf.DUMMYFUNCTION("""COMPUTED_VALUE"""),"Multifamily")</f>
        <v>Multifamily</v>
      </c>
      <c r="E165" s="17">
        <f>IFERROR(__xludf.DUMMYFUNCTION("""COMPUTED_VALUE"""),4.1)</f>
        <v>4.1</v>
      </c>
      <c r="F165" s="27">
        <f>IFERROR(__xludf.DUMMYFUNCTION("""COMPUTED_VALUE"""),1.92)</f>
        <v>1.92</v>
      </c>
      <c r="G165" s="13">
        <f>IFERROR(__xludf.DUMMYFUNCTION("""COMPUTED_VALUE"""),0.1925)</f>
        <v>0.1925</v>
      </c>
    </row>
    <row r="166">
      <c r="A166" s="17" t="str">
        <f>IFERROR(__xludf.DUMMYFUNCTION("""COMPUTED_VALUE"""),"Capital Square")</f>
        <v>Capital Square</v>
      </c>
      <c r="B166" s="17" t="str">
        <f>IFERROR(__xludf.DUMMYFUNCTION("""COMPUTED_VALUE"""),"CS1031 Hickory Creek Apartments, DST")</f>
        <v>CS1031 Hickory Creek Apartments, DST</v>
      </c>
      <c r="C166" s="17" t="str">
        <f>IFERROR(__xludf.DUMMYFUNCTION("""COMPUTED_VALUE"""),"Richmond, VA (suburb)")</f>
        <v>Richmond, VA (suburb)</v>
      </c>
      <c r="D166" s="17" t="str">
        <f>IFERROR(__xludf.DUMMYFUNCTION("""COMPUTED_VALUE"""),"Multifamily")</f>
        <v>Multifamily</v>
      </c>
      <c r="E166" s="17">
        <f>IFERROR(__xludf.DUMMYFUNCTION("""COMPUTED_VALUE"""),3.5)</f>
        <v>3.5</v>
      </c>
      <c r="F166" s="27">
        <f>IFERROR(__xludf.DUMMYFUNCTION("""COMPUTED_VALUE"""),1.63)</f>
        <v>1.63</v>
      </c>
      <c r="G166" s="13">
        <f>IFERROR(__xludf.DUMMYFUNCTION("""COMPUTED_VALUE"""),0.1645)</f>
        <v>0.1645</v>
      </c>
    </row>
    <row r="167">
      <c r="A167" s="17" t="str">
        <f>IFERROR(__xludf.DUMMYFUNCTION("""COMPUTED_VALUE"""),"Capital Square")</f>
        <v>Capital Square</v>
      </c>
      <c r="B167" s="17" t="str">
        <f>IFERROR(__xludf.DUMMYFUNCTION("""COMPUTED_VALUE"""),"CS1031 High Ridge Apartments, DST")</f>
        <v>CS1031 High Ridge Apartments, DST</v>
      </c>
      <c r="C167" s="17" t="str">
        <f>IFERROR(__xludf.DUMMYFUNCTION("""COMPUTED_VALUE"""),"Athens, GA")</f>
        <v>Athens, GA</v>
      </c>
      <c r="D167" s="17" t="str">
        <f>IFERROR(__xludf.DUMMYFUNCTION("""COMPUTED_VALUE"""),"Multifamily")</f>
        <v>Multifamily</v>
      </c>
      <c r="E167" s="17">
        <f>IFERROR(__xludf.DUMMYFUNCTION("""COMPUTED_VALUE"""),6.5)</f>
        <v>6.5</v>
      </c>
      <c r="F167" s="27">
        <f>IFERROR(__xludf.DUMMYFUNCTION("""COMPUTED_VALUE"""),2.26)</f>
        <v>2.26</v>
      </c>
      <c r="G167" s="13">
        <f>IFERROR(__xludf.DUMMYFUNCTION("""COMPUTED_VALUE"""),0.1554)</f>
        <v>0.1554</v>
      </c>
    </row>
    <row r="168">
      <c r="A168" s="17" t="str">
        <f>IFERROR(__xludf.DUMMYFUNCTION("""COMPUTED_VALUE"""),"Capital Square")</f>
        <v>Capital Square</v>
      </c>
      <c r="B168" s="17" t="str">
        <f>IFERROR(__xludf.DUMMYFUNCTION("""COMPUTED_VALUE"""),"CS1031 Ivy Commons Apartments, DST")</f>
        <v>CS1031 Ivy Commons Apartments, DST</v>
      </c>
      <c r="C168" s="17" t="str">
        <f>IFERROR(__xludf.DUMMYFUNCTION("""COMPUTED_VALUE"""),"Marietta, GA")</f>
        <v>Marietta, GA</v>
      </c>
      <c r="D168" s="17" t="str">
        <f>IFERROR(__xludf.DUMMYFUNCTION("""COMPUTED_VALUE"""),"Multifamily")</f>
        <v>Multifamily</v>
      </c>
      <c r="E168" s="17">
        <f>IFERROR(__xludf.DUMMYFUNCTION("""COMPUTED_VALUE"""),4.2)</f>
        <v>4.2</v>
      </c>
      <c r="F168" s="27">
        <f>IFERROR(__xludf.DUMMYFUNCTION("""COMPUTED_VALUE"""),2.02)</f>
        <v>2.02</v>
      </c>
      <c r="G168" s="13">
        <f>IFERROR(__xludf.DUMMYFUNCTION("""COMPUTED_VALUE"""),0.2022)</f>
        <v>0.2022</v>
      </c>
    </row>
    <row r="169">
      <c r="A169" s="17" t="str">
        <f>IFERROR(__xludf.DUMMYFUNCTION("""COMPUTED_VALUE"""),"Capital Square")</f>
        <v>Capital Square</v>
      </c>
      <c r="B169" s="17" t="str">
        <f>IFERROR(__xludf.DUMMYFUNCTION("""COMPUTED_VALUE"""),"CS1031 Kay Alexander Pointe Apartments, DST")</f>
        <v>CS1031 Kay Alexander Pointe Apartments, DST</v>
      </c>
      <c r="C169" s="17" t="str">
        <f>IFERROR(__xludf.DUMMYFUNCTION("""COMPUTED_VALUE"""),"Jacksonville, FL")</f>
        <v>Jacksonville, FL</v>
      </c>
      <c r="D169" s="17" t="str">
        <f>IFERROR(__xludf.DUMMYFUNCTION("""COMPUTED_VALUE"""),"Multifamily")</f>
        <v>Multifamily</v>
      </c>
      <c r="E169" s="17">
        <f>IFERROR(__xludf.DUMMYFUNCTION("""COMPUTED_VALUE"""),4.5)</f>
        <v>4.5</v>
      </c>
      <c r="F169" s="27">
        <f>IFERROR(__xludf.DUMMYFUNCTION("""COMPUTED_VALUE"""),2.61)</f>
        <v>2.61</v>
      </c>
      <c r="G169" s="13">
        <f>IFERROR(__xludf.DUMMYFUNCTION("""COMPUTED_VALUE"""),0.2584)</f>
        <v>0.2584</v>
      </c>
    </row>
    <row r="170">
      <c r="A170" s="17" t="str">
        <f>IFERROR(__xludf.DUMMYFUNCTION("""COMPUTED_VALUE"""),"Capital Square")</f>
        <v>Capital Square</v>
      </c>
      <c r="B170" s="17" t="str">
        <f>IFERROR(__xludf.DUMMYFUNCTION("""COMPUTED_VALUE"""),"CS1031 Kay Maple Springs Apartments, DST")</f>
        <v>CS1031 Kay Maple Springs Apartments, DST</v>
      </c>
      <c r="C170" s="17" t="str">
        <f>IFERROR(__xludf.DUMMYFUNCTION("""COMPUTED_VALUE"""),"Richmond, VA")</f>
        <v>Richmond, VA</v>
      </c>
      <c r="D170" s="17" t="str">
        <f>IFERROR(__xludf.DUMMYFUNCTION("""COMPUTED_VALUE"""),"Multifamily")</f>
        <v>Multifamily</v>
      </c>
      <c r="E170" s="17">
        <f>IFERROR(__xludf.DUMMYFUNCTION("""COMPUTED_VALUE"""),4.4)</f>
        <v>4.4</v>
      </c>
      <c r="F170" s="27">
        <f>IFERROR(__xludf.DUMMYFUNCTION("""COMPUTED_VALUE"""),1.67)</f>
        <v>1.67</v>
      </c>
      <c r="G170" s="13">
        <f>IFERROR(__xludf.DUMMYFUNCTION("""COMPUTED_VALUE"""),0.1394)</f>
        <v>0.1394</v>
      </c>
    </row>
    <row r="171">
      <c r="A171" s="17" t="str">
        <f>IFERROR(__xludf.DUMMYFUNCTION("""COMPUTED_VALUE"""),"Capital Square")</f>
        <v>Capital Square</v>
      </c>
      <c r="B171" s="17" t="str">
        <f>IFERROR(__xludf.DUMMYFUNCTION("""COMPUTED_VALUE"""),"CS1031 Olde Towne Lofts Apartments, DST")</f>
        <v>CS1031 Olde Towne Lofts Apartments, DST</v>
      </c>
      <c r="C171" s="17" t="str">
        <f>IFERROR(__xludf.DUMMYFUNCTION("""COMPUTED_VALUE"""),"Petersburg, VA")</f>
        <v>Petersburg, VA</v>
      </c>
      <c r="D171" s="17" t="str">
        <f>IFERROR(__xludf.DUMMYFUNCTION("""COMPUTED_VALUE"""),"Multifamily")</f>
        <v>Multifamily</v>
      </c>
      <c r="E171" s="17">
        <f>IFERROR(__xludf.DUMMYFUNCTION("""COMPUTED_VALUE"""),6.5)</f>
        <v>6.5</v>
      </c>
      <c r="F171" s="27">
        <f>IFERROR(__xludf.DUMMYFUNCTION("""COMPUTED_VALUE"""),1.53)</f>
        <v>1.53</v>
      </c>
      <c r="G171" s="13">
        <f>IFERROR(__xludf.DUMMYFUNCTION("""COMPUTED_VALUE"""),0.0782)</f>
        <v>0.0782</v>
      </c>
    </row>
    <row r="172">
      <c r="A172" s="17" t="str">
        <f>IFERROR(__xludf.DUMMYFUNCTION("""COMPUTED_VALUE"""),"Capital Square")</f>
        <v>Capital Square</v>
      </c>
      <c r="B172" s="17" t="str">
        <f>IFERROR(__xludf.DUMMYFUNCTION("""COMPUTED_VALUE"""),"CS1031 Richmond VA Apartments, DST")</f>
        <v>CS1031 Richmond VA Apartments, DST</v>
      </c>
      <c r="C172" s="17" t="str">
        <f>IFERROR(__xludf.DUMMYFUNCTION("""COMPUTED_VALUE"""),"Chesterfield County, VA")</f>
        <v>Chesterfield County, VA</v>
      </c>
      <c r="D172" s="17" t="str">
        <f>IFERROR(__xludf.DUMMYFUNCTION("""COMPUTED_VALUE"""),"Multifamily")</f>
        <v>Multifamily</v>
      </c>
      <c r="E172" s="17">
        <f>IFERROR(__xludf.DUMMYFUNCTION("""COMPUTED_VALUE"""),5.2)</f>
        <v>5.2</v>
      </c>
      <c r="F172" s="27">
        <f>IFERROR(__xludf.DUMMYFUNCTION("""COMPUTED_VALUE"""),1.56)</f>
        <v>1.56</v>
      </c>
      <c r="G172" s="13">
        <f>IFERROR(__xludf.DUMMYFUNCTION("""COMPUTED_VALUE"""),0.1005)</f>
        <v>0.1005</v>
      </c>
    </row>
    <row r="173">
      <c r="A173" s="17" t="str">
        <f>IFERROR(__xludf.DUMMYFUNCTION("""COMPUTED_VALUE"""),"Capital Square")</f>
        <v>Capital Square</v>
      </c>
      <c r="B173" s="17" t="str">
        <f>IFERROR(__xludf.DUMMYFUNCTION("""COMPUTED_VALUE"""),"CS1031 Saltmeadow Bay Apartments, DST")</f>
        <v>CS1031 Saltmeadow Bay Apartments, DST</v>
      </c>
      <c r="C173" s="17" t="str">
        <f>IFERROR(__xludf.DUMMYFUNCTION("""COMPUTED_VALUE"""),"Virginia Beach, VA")</f>
        <v>Virginia Beach, VA</v>
      </c>
      <c r="D173" s="17" t="str">
        <f>IFERROR(__xludf.DUMMYFUNCTION("""COMPUTED_VALUE"""),"Multifamily")</f>
        <v>Multifamily</v>
      </c>
      <c r="E173" s="17">
        <f>IFERROR(__xludf.DUMMYFUNCTION("""COMPUTED_VALUE"""),3.6)</f>
        <v>3.6</v>
      </c>
      <c r="F173" s="27">
        <f>IFERROR(__xludf.DUMMYFUNCTION("""COMPUTED_VALUE"""),1.82)</f>
        <v>1.82</v>
      </c>
      <c r="G173" s="13">
        <f>IFERROR(__xludf.DUMMYFUNCTION("""COMPUTED_VALUE"""),0.2007)</f>
        <v>0.2007</v>
      </c>
    </row>
    <row r="174">
      <c r="A174" s="17" t="str">
        <f>IFERROR(__xludf.DUMMYFUNCTION("""COMPUTED_VALUE"""),"Capital Square")</f>
        <v>Capital Square</v>
      </c>
      <c r="B174" s="17" t="str">
        <f>IFERROR(__xludf.DUMMYFUNCTION("""COMPUTED_VALUE"""),"CS1031 Woodshire Apartments, DST")</f>
        <v>CS1031 Woodshire Apartments, DST</v>
      </c>
      <c r="C174" s="17" t="str">
        <f>IFERROR(__xludf.DUMMYFUNCTION("""COMPUTED_VALUE"""),"Virginia Beach, VA")</f>
        <v>Virginia Beach, VA</v>
      </c>
      <c r="D174" s="17" t="str">
        <f>IFERROR(__xludf.DUMMYFUNCTION("""COMPUTED_VALUE"""),"Multifamily")</f>
        <v>Multifamily</v>
      </c>
      <c r="E174" s="17">
        <f>IFERROR(__xludf.DUMMYFUNCTION("""COMPUTED_VALUE"""),4.0)</f>
        <v>4</v>
      </c>
      <c r="F174" s="27">
        <f>IFERROR(__xludf.DUMMYFUNCTION("""COMPUTED_VALUE"""),1.6)</f>
        <v>1.6</v>
      </c>
      <c r="G174" s="13">
        <f>IFERROR(__xludf.DUMMYFUNCTION("""COMPUTED_VALUE"""),0.1394)</f>
        <v>0.1394</v>
      </c>
    </row>
    <row r="175">
      <c r="A175" s="17" t="str">
        <f>IFERROR(__xludf.DUMMYFUNCTION("""COMPUTED_VALUE"""),"Capital Square")</f>
        <v>Capital Square</v>
      </c>
      <c r="B175" s="17" t="str">
        <f>IFERROR(__xludf.DUMMYFUNCTION("""COMPUTED_VALUE"""),"CSRA Ashford Club Apartments, DST")</f>
        <v>CSRA Ashford Club Apartments, DST</v>
      </c>
      <c r="C175" s="17" t="str">
        <f>IFERROR(__xludf.DUMMYFUNCTION("""COMPUTED_VALUE"""),"Tallahassee, FL")</f>
        <v>Tallahassee, FL</v>
      </c>
      <c r="D175" s="17" t="str">
        <f>IFERROR(__xludf.DUMMYFUNCTION("""COMPUTED_VALUE"""),"Multifamily")</f>
        <v>Multifamily</v>
      </c>
      <c r="E175" s="17">
        <f>IFERROR(__xludf.DUMMYFUNCTION("""COMPUTED_VALUE"""),6.0)</f>
        <v>6</v>
      </c>
      <c r="F175" s="27">
        <f>IFERROR(__xludf.DUMMYFUNCTION("""COMPUTED_VALUE"""),1.7)</f>
        <v>1.7</v>
      </c>
      <c r="G175" s="13">
        <f>IFERROR(__xludf.DUMMYFUNCTION("""COMPUTED_VALUE"""),0.1086)</f>
        <v>0.1086</v>
      </c>
    </row>
    <row r="176">
      <c r="A176" s="17" t="str">
        <f>IFERROR(__xludf.DUMMYFUNCTION("""COMPUTED_VALUE"""),"Capital Square")</f>
        <v>Capital Square</v>
      </c>
      <c r="B176" s="17" t="str">
        <f>IFERROR(__xludf.DUMMYFUNCTION("""COMPUTED_VALUE"""),"CSRA Bridgeview Apartments, DST")</f>
        <v>CSRA Bridgeview Apartments, DST</v>
      </c>
      <c r="C176" s="17" t="str">
        <f>IFERROR(__xludf.DUMMYFUNCTION("""COMPUTED_VALUE"""),"Tampa, FL")</f>
        <v>Tampa, FL</v>
      </c>
      <c r="D176" s="17" t="str">
        <f>IFERROR(__xludf.DUMMYFUNCTION("""COMPUTED_VALUE"""),"Multifamily")</f>
        <v>Multifamily</v>
      </c>
      <c r="E176" s="17">
        <f>IFERROR(__xludf.DUMMYFUNCTION("""COMPUTED_VALUE"""),4.8)</f>
        <v>4.8</v>
      </c>
      <c r="F176" s="27">
        <f>IFERROR(__xludf.DUMMYFUNCTION("""COMPUTED_VALUE"""),1.72)</f>
        <v>1.72</v>
      </c>
      <c r="G176" s="13">
        <f>IFERROR(__xludf.DUMMYFUNCTION("""COMPUTED_VALUE"""),0.1349)</f>
        <v>0.1349</v>
      </c>
    </row>
    <row r="177">
      <c r="A177" s="17" t="str">
        <f>IFERROR(__xludf.DUMMYFUNCTION("""COMPUTED_VALUE"""),"Capital Square")</f>
        <v>Capital Square</v>
      </c>
      <c r="B177" s="17" t="str">
        <f>IFERROR(__xludf.DUMMYFUNCTION("""COMPUTED_VALUE"""),"CSRA Candleglow Apartments, DST")</f>
        <v>CSRA Candleglow Apartments, DST</v>
      </c>
      <c r="C177" s="17" t="str">
        <f>IFERROR(__xludf.DUMMYFUNCTION("""COMPUTED_VALUE"""),"Tampa, FL")</f>
        <v>Tampa, FL</v>
      </c>
      <c r="D177" s="17" t="str">
        <f>IFERROR(__xludf.DUMMYFUNCTION("""COMPUTED_VALUE"""),"Multifamily")</f>
        <v>Multifamily</v>
      </c>
      <c r="E177" s="17">
        <f>IFERROR(__xludf.DUMMYFUNCTION("""COMPUTED_VALUE"""),5.3)</f>
        <v>5.3</v>
      </c>
      <c r="F177" s="27">
        <f>IFERROR(__xludf.DUMMYFUNCTION("""COMPUTED_VALUE"""),2.53)</f>
        <v>2.53</v>
      </c>
      <c r="G177" s="13">
        <f>IFERROR(__xludf.DUMMYFUNCTION("""COMPUTED_VALUE"""),0.2131)</f>
        <v>0.2131</v>
      </c>
    </row>
    <row r="178">
      <c r="A178" s="17" t="str">
        <f>IFERROR(__xludf.DUMMYFUNCTION("""COMPUTED_VALUE"""),"Capital Square")</f>
        <v>Capital Square</v>
      </c>
      <c r="B178" s="17" t="str">
        <f>IFERROR(__xludf.DUMMYFUNCTION("""COMPUTED_VALUE"""),"CSRA Galeria Del Rio, DST")</f>
        <v>CSRA Galeria Del Rio, DST</v>
      </c>
      <c r="C178" s="17" t="str">
        <f>IFERROR(__xludf.DUMMYFUNCTION("""COMPUTED_VALUE"""),"Tucson, AZ")</f>
        <v>Tucson, AZ</v>
      </c>
      <c r="D178" s="17" t="str">
        <f>IFERROR(__xludf.DUMMYFUNCTION("""COMPUTED_VALUE"""),"Multifamily")</f>
        <v>Multifamily</v>
      </c>
      <c r="E178" s="17">
        <f>IFERROR(__xludf.DUMMYFUNCTION("""COMPUTED_VALUE"""),5.3)</f>
        <v>5.3</v>
      </c>
      <c r="F178" s="27">
        <f>IFERROR(__xludf.DUMMYFUNCTION("""COMPUTED_VALUE"""),2.22)</f>
        <v>2.22</v>
      </c>
      <c r="G178" s="13">
        <f>IFERROR(__xludf.DUMMYFUNCTION("""COMPUTED_VALUE"""),0.1812)</f>
        <v>0.1812</v>
      </c>
    </row>
    <row r="179">
      <c r="A179" s="17" t="str">
        <f>IFERROR(__xludf.DUMMYFUNCTION("""COMPUTED_VALUE"""),"Capital Square")</f>
        <v>Capital Square</v>
      </c>
      <c r="B179" s="17" t="str">
        <f>IFERROR(__xludf.DUMMYFUNCTION("""COMPUTED_VALUE"""),"CSRA Perry Place Apartments, DST")</f>
        <v>CSRA Perry Place Apartments, DST</v>
      </c>
      <c r="C179" s="17" t="str">
        <f>IFERROR(__xludf.DUMMYFUNCTION("""COMPUTED_VALUE"""),"Richmond, VA")</f>
        <v>Richmond, VA</v>
      </c>
      <c r="D179" s="17" t="str">
        <f>IFERROR(__xludf.DUMMYFUNCTION("""COMPUTED_VALUE"""),"Multifamily")</f>
        <v>Multifamily</v>
      </c>
      <c r="E179" s="17">
        <f>IFERROR(__xludf.DUMMYFUNCTION("""COMPUTED_VALUE"""),4.8)</f>
        <v>4.8</v>
      </c>
      <c r="F179" s="27">
        <f>IFERROR(__xludf.DUMMYFUNCTION("""COMPUTED_VALUE"""),1.44)</f>
        <v>1.44</v>
      </c>
      <c r="G179" s="13">
        <f>IFERROR(__xludf.DUMMYFUNCTION("""COMPUTED_VALUE"""),0.087)</f>
        <v>0.087</v>
      </c>
    </row>
    <row r="180">
      <c r="A180" s="17" t="str">
        <f>IFERROR(__xludf.DUMMYFUNCTION("""COMPUTED_VALUE"""),"Syndicated Equities")</f>
        <v>Syndicated Equities</v>
      </c>
      <c r="B180" s="17" t="str">
        <f>IFERROR(__xludf.DUMMYFUNCTION("""COMPUTED_VALUE"""),"Curtis Hotel")</f>
        <v>Curtis Hotel</v>
      </c>
      <c r="C180" s="17" t="str">
        <f>IFERROR(__xludf.DUMMYFUNCTION("""COMPUTED_VALUE"""),"Denver, CO")</f>
        <v>Denver, CO</v>
      </c>
      <c r="D180" s="17"/>
      <c r="E180" s="17">
        <f>IFERROR(__xludf.DUMMYFUNCTION("""COMPUTED_VALUE"""),2.75)</f>
        <v>2.75</v>
      </c>
      <c r="F180" s="27">
        <f>IFERROR(__xludf.DUMMYFUNCTION("""COMPUTED_VALUE"""),1.44)</f>
        <v>1.44</v>
      </c>
      <c r="G180" s="13">
        <f>IFERROR(__xludf.DUMMYFUNCTION("""COMPUTED_VALUE"""),0.1416)</f>
        <v>0.1416</v>
      </c>
    </row>
    <row r="181">
      <c r="A181" s="17" t="str">
        <f>IFERROR(__xludf.DUMMYFUNCTION("""COMPUTED_VALUE"""),"Syndicated Equities")</f>
        <v>Syndicated Equities</v>
      </c>
      <c r="B181" s="17" t="str">
        <f>IFERROR(__xludf.DUMMYFUNCTION("""COMPUTED_VALUE"""),"Customs &amp; Border Patrol")</f>
        <v>Customs &amp; Border Patrol</v>
      </c>
      <c r="C181" s="17" t="str">
        <f>IFERROR(__xludf.DUMMYFUNCTION("""COMPUTED_VALUE"""),"Atlanta, GA")</f>
        <v>Atlanta, GA</v>
      </c>
      <c r="D181" s="17"/>
      <c r="E181" s="17">
        <f>IFERROR(__xludf.DUMMYFUNCTION("""COMPUTED_VALUE"""),6.77)</f>
        <v>6.77</v>
      </c>
      <c r="F181" s="27">
        <f>IFERROR(__xludf.DUMMYFUNCTION("""COMPUTED_VALUE"""),1.95)</f>
        <v>1.95</v>
      </c>
      <c r="G181" s="13">
        <f>IFERROR(__xludf.DUMMYFUNCTION("""COMPUTED_VALUE"""),0.1037)</f>
        <v>0.1037</v>
      </c>
    </row>
    <row r="182">
      <c r="A182" s="17" t="str">
        <f>IFERROR(__xludf.DUMMYFUNCTION("""COMPUTED_VALUE"""),"Syndicated Equities")</f>
        <v>Syndicated Equities</v>
      </c>
      <c r="B182" s="17" t="str">
        <f>IFERROR(__xludf.DUMMYFUNCTION("""COMPUTED_VALUE"""),"CVS")</f>
        <v>CVS</v>
      </c>
      <c r="C182" s="17" t="str">
        <f>IFERROR(__xludf.DUMMYFUNCTION("""COMPUTED_VALUE"""),"Weeki Wachee, FL")</f>
        <v>Weeki Wachee, FL</v>
      </c>
      <c r="D182" s="17"/>
      <c r="E182" s="17">
        <f>IFERROR(__xludf.DUMMYFUNCTION("""COMPUTED_VALUE"""),10.04)</f>
        <v>10.04</v>
      </c>
      <c r="F182" s="27">
        <f>IFERROR(__xludf.DUMMYFUNCTION("""COMPUTED_VALUE"""),2.21)</f>
        <v>2.21</v>
      </c>
      <c r="G182" s="13">
        <f>IFERROR(__xludf.DUMMYFUNCTION("""COMPUTED_VALUE"""),0.0822)</f>
        <v>0.0822</v>
      </c>
    </row>
    <row r="183">
      <c r="A183" s="17" t="str">
        <f>IFERROR(__xludf.DUMMYFUNCTION("""COMPUTED_VALUE"""),"Inland")</f>
        <v>Inland</v>
      </c>
      <c r="B183" s="17" t="str">
        <f>IFERROR(__xludf.DUMMYFUNCTION("""COMPUTED_VALUE"""),"CW Pharmacy I DST")</f>
        <v>CW Pharmacy I DST</v>
      </c>
      <c r="C183" s="17"/>
      <c r="D183" s="17" t="str">
        <f>IFERROR(__xludf.DUMMYFUNCTION("""COMPUTED_VALUE"""),"Retail")</f>
        <v>Retail</v>
      </c>
      <c r="E183" s="17">
        <f>IFERROR(__xludf.DUMMYFUNCTION("""COMPUTED_VALUE"""),6.92)</f>
        <v>6.92</v>
      </c>
      <c r="F183" s="27">
        <f>IFERROR(__xludf.DUMMYFUNCTION("""COMPUTED_VALUE"""),1.6)</f>
        <v>1.6</v>
      </c>
      <c r="G183" s="13">
        <f>IFERROR(__xludf.DUMMYFUNCTION("""COMPUTED_VALUE"""),0.0621)</f>
        <v>0.0621</v>
      </c>
    </row>
    <row r="184">
      <c r="A184" s="17" t="str">
        <f>IFERROR(__xludf.DUMMYFUNCTION("""COMPUTED_VALUE"""),"Carter Exchange")</f>
        <v>Carter Exchange</v>
      </c>
      <c r="B184" s="17" t="str">
        <f>IFERROR(__xludf.DUMMYFUNCTION("""COMPUTED_VALUE"""),"CX Retreat at the Park, DST")</f>
        <v>CX Retreat at the Park, DST</v>
      </c>
      <c r="C184" s="17" t="str">
        <f>IFERROR(__xludf.DUMMYFUNCTION("""COMPUTED_VALUE"""),"Burlington, NC")</f>
        <v>Burlington, NC</v>
      </c>
      <c r="D184" s="17" t="str">
        <f>IFERROR(__xludf.DUMMYFUNCTION("""COMPUTED_VALUE"""),"Multifamily")</f>
        <v>Multifamily</v>
      </c>
      <c r="E184" s="17">
        <f>IFERROR(__xludf.DUMMYFUNCTION("""COMPUTED_VALUE"""),5.71)</f>
        <v>5.71</v>
      </c>
      <c r="F184" s="27">
        <f>IFERROR(__xludf.DUMMYFUNCTION("""COMPUTED_VALUE"""),1.55)</f>
        <v>1.55</v>
      </c>
      <c r="G184" s="13">
        <f>IFERROR(__xludf.DUMMYFUNCTION("""COMPUTED_VALUE"""),0.0803)</f>
        <v>0.0803</v>
      </c>
    </row>
    <row r="185">
      <c r="A185" s="17" t="str">
        <f>IFERROR(__xludf.DUMMYFUNCTION("""COMPUTED_VALUE"""),"Carter Exchange")</f>
        <v>Carter Exchange</v>
      </c>
      <c r="B185" s="17" t="str">
        <f>IFERROR(__xludf.DUMMYFUNCTION("""COMPUTED_VALUE"""),"CX Station at Poplar Tent, DST")</f>
        <v>CX Station at Poplar Tent, DST</v>
      </c>
      <c r="C185" s="17" t="str">
        <f>IFERROR(__xludf.DUMMYFUNCTION("""COMPUTED_VALUE"""),"Concord, NC")</f>
        <v>Concord, NC</v>
      </c>
      <c r="D185" s="17" t="str">
        <f>IFERROR(__xludf.DUMMYFUNCTION("""COMPUTED_VALUE"""),"Multifamily")</f>
        <v>Multifamily</v>
      </c>
      <c r="E185" s="17">
        <f>IFERROR(__xludf.DUMMYFUNCTION("""COMPUTED_VALUE"""),2.87)</f>
        <v>2.87</v>
      </c>
      <c r="F185" s="27">
        <f>IFERROR(__xludf.DUMMYFUNCTION("""COMPUTED_VALUE"""),1.7)</f>
        <v>1.7</v>
      </c>
      <c r="G185" s="13">
        <f>IFERROR(__xludf.DUMMYFUNCTION("""COMPUTED_VALUE"""),0.1988)</f>
        <v>0.1988</v>
      </c>
    </row>
    <row r="186">
      <c r="A186" s="17" t="str">
        <f>IFERROR(__xludf.DUMMYFUNCTION("""COMPUTED_VALUE"""),"Carter Exchange")</f>
        <v>Carter Exchange</v>
      </c>
      <c r="B186" s="17" t="str">
        <f>IFERROR(__xludf.DUMMYFUNCTION("""COMPUTED_VALUE"""),"CX Station at Savannah Quarters, DST")</f>
        <v>CX Station at Savannah Quarters, DST</v>
      </c>
      <c r="C186" s="17" t="str">
        <f>IFERROR(__xludf.DUMMYFUNCTION("""COMPUTED_VALUE"""),"Pooler, GA")</f>
        <v>Pooler, GA</v>
      </c>
      <c r="D186" s="17" t="str">
        <f>IFERROR(__xludf.DUMMYFUNCTION("""COMPUTED_VALUE"""),"Multifamily")</f>
        <v>Multifamily</v>
      </c>
      <c r="E186" s="17">
        <f>IFERROR(__xludf.DUMMYFUNCTION("""COMPUTED_VALUE"""),2.79)</f>
        <v>2.79</v>
      </c>
      <c r="F186" s="27">
        <f>IFERROR(__xludf.DUMMYFUNCTION("""COMPUTED_VALUE"""),2.01)</f>
        <v>2.01</v>
      </c>
      <c r="G186" s="13">
        <f>IFERROR(__xludf.DUMMYFUNCTION("""COMPUTED_VALUE"""),0.323)</f>
        <v>0.323</v>
      </c>
    </row>
    <row r="187">
      <c r="A187" s="17" t="str">
        <f>IFERROR(__xludf.DUMMYFUNCTION("""COMPUTED_VALUE"""),"Denholtz")</f>
        <v>Denholtz</v>
      </c>
      <c r="B187" s="17" t="str">
        <f>IFERROR(__xludf.DUMMYFUNCTION("""COMPUTED_VALUE"""),"Cypress Park")</f>
        <v>Cypress Park</v>
      </c>
      <c r="C187" s="17" t="str">
        <f>IFERROR(__xludf.DUMMYFUNCTION("""COMPUTED_VALUE"""),"Orlando, FL")</f>
        <v>Orlando, FL</v>
      </c>
      <c r="D187" s="17" t="str">
        <f>IFERROR(__xludf.DUMMYFUNCTION("""COMPUTED_VALUE"""),"Industrial")</f>
        <v>Industrial</v>
      </c>
      <c r="E187" s="17">
        <f>IFERROR(__xludf.DUMMYFUNCTION("""COMPUTED_VALUE"""),4.25)</f>
        <v>4.25</v>
      </c>
      <c r="F187" s="27">
        <f>IFERROR(__xludf.DUMMYFUNCTION("""COMPUTED_VALUE"""),1.95)</f>
        <v>1.95</v>
      </c>
      <c r="G187" s="13">
        <f>IFERROR(__xludf.DUMMYFUNCTION("""COMPUTED_VALUE"""),0.1928)</f>
        <v>0.1928</v>
      </c>
    </row>
    <row r="188">
      <c r="A188" s="17" t="str">
        <f>IFERROR(__xludf.DUMMYFUNCTION("""COMPUTED_VALUE"""),"Inland")</f>
        <v>Inland</v>
      </c>
      <c r="B188" s="17" t="str">
        <f>IFERROR(__xludf.DUMMYFUNCTION("""COMPUTED_VALUE"""),"Dallas MSA Multifamily DST")</f>
        <v>Dallas MSA Multifamily DST</v>
      </c>
      <c r="C188" s="17"/>
      <c r="D188" s="17" t="str">
        <f>IFERROR(__xludf.DUMMYFUNCTION("""COMPUTED_VALUE"""),"Multifamily")</f>
        <v>Multifamily</v>
      </c>
      <c r="E188" s="17">
        <f>IFERROR(__xludf.DUMMYFUNCTION("""COMPUTED_VALUE"""),3.92)</f>
        <v>3.92</v>
      </c>
      <c r="F188" s="27">
        <f>IFERROR(__xludf.DUMMYFUNCTION("""COMPUTED_VALUE"""),1.26)</f>
        <v>1.26</v>
      </c>
      <c r="G188" s="13">
        <f>IFERROR(__xludf.DUMMYFUNCTION("""COMPUTED_VALUE"""),0.0676)</f>
        <v>0.0676</v>
      </c>
    </row>
    <row r="189">
      <c r="A189" s="17" t="str">
        <f>IFERROR(__xludf.DUMMYFUNCTION("""COMPUTED_VALUE"""),"Inland")</f>
        <v>Inland</v>
      </c>
      <c r="B189" s="17" t="str">
        <f>IFERROR(__xludf.DUMMYFUNCTION("""COMPUTED_VALUE"""),"Dallas Multifamily DST")</f>
        <v>Dallas Multifamily DST</v>
      </c>
      <c r="C189" s="17"/>
      <c r="D189" s="17" t="str">
        <f>IFERROR(__xludf.DUMMYFUNCTION("""COMPUTED_VALUE"""),"Multifamily")</f>
        <v>Multifamily</v>
      </c>
      <c r="E189" s="17">
        <f>IFERROR(__xludf.DUMMYFUNCTION("""COMPUTED_VALUE"""),4.75)</f>
        <v>4.75</v>
      </c>
      <c r="F189" s="27">
        <f>IFERROR(__xludf.DUMMYFUNCTION("""COMPUTED_VALUE"""),1.17)</f>
        <v>1.17</v>
      </c>
      <c r="G189" s="13">
        <f>IFERROR(__xludf.DUMMYFUNCTION("""COMPUTED_VALUE"""),0.0372)</f>
        <v>0.0372</v>
      </c>
    </row>
    <row r="190">
      <c r="A190" s="17" t="str">
        <f>IFERROR(__xludf.DUMMYFUNCTION("""COMPUTED_VALUE"""),"Inland")</f>
        <v>Inland</v>
      </c>
      <c r="B190" s="17" t="str">
        <f>IFERROR(__xludf.DUMMYFUNCTION("""COMPUTED_VALUE"""),"DC MSA Retail DST")</f>
        <v>DC MSA Retail DST</v>
      </c>
      <c r="C190" s="17"/>
      <c r="D190" s="17" t="str">
        <f>IFERROR(__xludf.DUMMYFUNCTION("""COMPUTED_VALUE"""),"Retail")</f>
        <v>Retail</v>
      </c>
      <c r="E190" s="17">
        <f>IFERROR(__xludf.DUMMYFUNCTION("""COMPUTED_VALUE"""),9.92)</f>
        <v>9.92</v>
      </c>
      <c r="F190" s="27">
        <f>IFERROR(__xludf.DUMMYFUNCTION("""COMPUTED_VALUE"""),1.94)</f>
        <v>1.94</v>
      </c>
      <c r="G190" s="13">
        <f>IFERROR(__xludf.DUMMYFUNCTION("""COMPUTED_VALUE"""),0.0884)</f>
        <v>0.0884</v>
      </c>
    </row>
    <row r="191">
      <c r="A191" s="17" t="str">
        <f>IFERROR(__xludf.DUMMYFUNCTION("""COMPUTED_VALUE"""),"Walton Global Holdings")</f>
        <v>Walton Global Holdings</v>
      </c>
      <c r="B191" s="17" t="str">
        <f>IFERROR(__xludf.DUMMYFUNCTION("""COMPUTED_VALUE"""),"Deer Hills I")</f>
        <v>Deer Hills I</v>
      </c>
      <c r="C191" s="17" t="str">
        <f>IFERROR(__xludf.DUMMYFUNCTION("""COMPUTED_VALUE"""),"Rockford, IL")</f>
        <v>Rockford, IL</v>
      </c>
      <c r="D191" s="17" t="str">
        <f>IFERROR(__xludf.DUMMYFUNCTION("""COMPUTED_VALUE"""),"Land")</f>
        <v>Land</v>
      </c>
      <c r="E191" s="17">
        <f>IFERROR(__xludf.DUMMYFUNCTION("""COMPUTED_VALUE"""),6.03)</f>
        <v>6.03</v>
      </c>
      <c r="F191" s="27">
        <f>IFERROR(__xludf.DUMMYFUNCTION("""COMPUTED_VALUE"""),0.13)</f>
        <v>0.13</v>
      </c>
      <c r="G191" s="13">
        <f>IFERROR(__xludf.DUMMYFUNCTION("""COMPUTED_VALUE"""),-0.2871)</f>
        <v>-0.2871</v>
      </c>
    </row>
    <row r="192">
      <c r="A192" s="17" t="str">
        <f>IFERROR(__xludf.DUMMYFUNCTION("""COMPUTED_VALUE"""),"Walton Global Holdings")</f>
        <v>Walton Global Holdings</v>
      </c>
      <c r="B192" s="17" t="str">
        <f>IFERROR(__xludf.DUMMYFUNCTION("""COMPUTED_VALUE"""),"Deer Hills II")</f>
        <v>Deer Hills II</v>
      </c>
      <c r="C192" s="17" t="str">
        <f>IFERROR(__xludf.DUMMYFUNCTION("""COMPUTED_VALUE"""),"Rockford, IL")</f>
        <v>Rockford, IL</v>
      </c>
      <c r="D192" s="17" t="str">
        <f>IFERROR(__xludf.DUMMYFUNCTION("""COMPUTED_VALUE"""),"Land")</f>
        <v>Land</v>
      </c>
      <c r="E192" s="17">
        <f>IFERROR(__xludf.DUMMYFUNCTION("""COMPUTED_VALUE"""),6.03)</f>
        <v>6.03</v>
      </c>
      <c r="F192" s="27">
        <f>IFERROR(__xludf.DUMMYFUNCTION("""COMPUTED_VALUE"""),0.17)</f>
        <v>0.17</v>
      </c>
      <c r="G192" s="13">
        <f>IFERROR(__xludf.DUMMYFUNCTION("""COMPUTED_VALUE"""),-0.2546)</f>
        <v>-0.2546</v>
      </c>
    </row>
    <row r="193">
      <c r="A193" s="17" t="str">
        <f>IFERROR(__xludf.DUMMYFUNCTION("""COMPUTED_VALUE"""),"Inland")</f>
        <v>Inland</v>
      </c>
      <c r="B193" s="17" t="str">
        <f>IFERROR(__xludf.DUMMYFUNCTION("""COMPUTED_VALUE"""),"Deer Park 1031 DST")</f>
        <v>Deer Park 1031 DST</v>
      </c>
      <c r="C193" s="17"/>
      <c r="D193" s="17" t="str">
        <f>IFERROR(__xludf.DUMMYFUNCTION("""COMPUTED_VALUE"""),"Industrial")</f>
        <v>Industrial</v>
      </c>
      <c r="E193" s="17">
        <f>IFERROR(__xludf.DUMMYFUNCTION("""COMPUTED_VALUE"""),9.33)</f>
        <v>9.33</v>
      </c>
      <c r="F193" s="27">
        <f>IFERROR(__xludf.DUMMYFUNCTION("""COMPUTED_VALUE"""),0.68)</f>
        <v>0.68</v>
      </c>
      <c r="G193" s="13">
        <f>IFERROR(__xludf.DUMMYFUNCTION("""COMPUTED_VALUE"""),-0.0679)</f>
        <v>-0.0679</v>
      </c>
    </row>
    <row r="194">
      <c r="A194" s="17" t="str">
        <f>IFERROR(__xludf.DUMMYFUNCTION("""COMPUTED_VALUE"""),"Bluerock")</f>
        <v>Bluerock</v>
      </c>
      <c r="B194" s="17" t="str">
        <f>IFERROR(__xludf.DUMMYFUNCTION("""COMPUTED_VALUE"""),"Deercross Apartments")</f>
        <v>Deercross Apartments</v>
      </c>
      <c r="C194" s="17" t="str">
        <f>IFERROR(__xludf.DUMMYFUNCTION("""COMPUTED_VALUE"""),"Indianapolis, IN")</f>
        <v>Indianapolis, IN</v>
      </c>
      <c r="D194" s="17" t="str">
        <f>IFERROR(__xludf.DUMMYFUNCTION("""COMPUTED_VALUE"""),"Multifamily")</f>
        <v>Multifamily</v>
      </c>
      <c r="E194" s="17">
        <f>IFERROR(__xludf.DUMMYFUNCTION("""COMPUTED_VALUE"""),1.33)</f>
        <v>1.33</v>
      </c>
      <c r="F194" s="27">
        <f>IFERROR(__xludf.DUMMYFUNCTION("""COMPUTED_VALUE"""),1.14)</f>
        <v>1.14</v>
      </c>
      <c r="G194" s="13">
        <f>IFERROR(__xludf.DUMMYFUNCTION("""COMPUTED_VALUE"""),0.1131)</f>
        <v>0.1131</v>
      </c>
    </row>
    <row r="195">
      <c r="A195" s="17" t="str">
        <f>IFERROR(__xludf.DUMMYFUNCTION("""COMPUTED_VALUE"""),"Bluerock")</f>
        <v>Bluerock</v>
      </c>
      <c r="B195" s="17" t="str">
        <f>IFERROR(__xludf.DUMMYFUNCTION("""COMPUTED_VALUE"""),"Deerwood Apartments")</f>
        <v>Deerwood Apartments</v>
      </c>
      <c r="C195" s="17" t="str">
        <f>IFERROR(__xludf.DUMMYFUNCTION("""COMPUTED_VALUE"""),"Houston, TX")</f>
        <v>Houston, TX</v>
      </c>
      <c r="D195" s="17" t="str">
        <f>IFERROR(__xludf.DUMMYFUNCTION("""COMPUTED_VALUE"""),"Multifamily")</f>
        <v>Multifamily</v>
      </c>
      <c r="E195" s="17">
        <f>IFERROR(__xludf.DUMMYFUNCTION("""COMPUTED_VALUE"""),1.33)</f>
        <v>1.33</v>
      </c>
      <c r="F195" s="27">
        <f>IFERROR(__xludf.DUMMYFUNCTION("""COMPUTED_VALUE"""),1.09)</f>
        <v>1.09</v>
      </c>
      <c r="G195" s="13">
        <f>IFERROR(__xludf.DUMMYFUNCTION("""COMPUTED_VALUE"""),0.1177)</f>
        <v>0.1177</v>
      </c>
    </row>
    <row r="196">
      <c r="A196" s="17" t="str">
        <f>IFERROR(__xludf.DUMMYFUNCTION("""COMPUTED_VALUE"""),"Bluerock")</f>
        <v>Bluerock</v>
      </c>
      <c r="B196" s="17" t="str">
        <f>IFERROR(__xludf.DUMMYFUNCTION("""COMPUTED_VALUE"""),"Denim")</f>
        <v>Denim</v>
      </c>
      <c r="C196" s="17" t="str">
        <f>IFERROR(__xludf.DUMMYFUNCTION("""COMPUTED_VALUE"""),"Scottsdale, AZ")</f>
        <v>Scottsdale, AZ</v>
      </c>
      <c r="D196" s="17" t="str">
        <f>IFERROR(__xludf.DUMMYFUNCTION("""COMPUTED_VALUE"""),"Multifamily")</f>
        <v>Multifamily</v>
      </c>
      <c r="E196" s="17">
        <f>IFERROR(__xludf.DUMMYFUNCTION("""COMPUTED_VALUE"""),3.25)</f>
        <v>3.25</v>
      </c>
      <c r="F196" s="27">
        <f>IFERROR(__xludf.DUMMYFUNCTION("""COMPUTED_VALUE"""),3.24)</f>
        <v>3.24</v>
      </c>
      <c r="G196" s="13">
        <f>IFERROR(__xludf.DUMMYFUNCTION("""COMPUTED_VALUE"""),0.5278)</f>
        <v>0.5278</v>
      </c>
    </row>
    <row r="197">
      <c r="A197" s="17" t="str">
        <f>IFERROR(__xludf.DUMMYFUNCTION("""COMPUTED_VALUE"""),"Inland")</f>
        <v>Inland</v>
      </c>
      <c r="B197" s="17" t="str">
        <f>IFERROR(__xludf.DUMMYFUNCTION("""COMPUTED_VALUE"""),"Denver MSA Multifamily DST")</f>
        <v>Denver MSA Multifamily DST</v>
      </c>
      <c r="C197" s="17"/>
      <c r="D197" s="17" t="str">
        <f>IFERROR(__xludf.DUMMYFUNCTION("""COMPUTED_VALUE"""),"Multifamily")</f>
        <v>Multifamily</v>
      </c>
      <c r="E197" s="17">
        <f>IFERROR(__xludf.DUMMYFUNCTION("""COMPUTED_VALUE"""),1.75)</f>
        <v>1.75</v>
      </c>
      <c r="F197" s="27">
        <f>IFERROR(__xludf.DUMMYFUNCTION("""COMPUTED_VALUE"""),1.39)</f>
        <v>1.39</v>
      </c>
      <c r="G197" s="13">
        <f>IFERROR(__xludf.DUMMYFUNCTION("""COMPUTED_VALUE"""),0.2178)</f>
        <v>0.2178</v>
      </c>
    </row>
    <row r="198">
      <c r="A198" s="17" t="str">
        <f>IFERROR(__xludf.DUMMYFUNCTION("""COMPUTED_VALUE"""),"Inland")</f>
        <v>Inland</v>
      </c>
      <c r="B198" s="17" t="str">
        <f>IFERROR(__xludf.DUMMYFUNCTION("""COMPUTED_VALUE"""),"Denver MSA Multifamily II DST")</f>
        <v>Denver MSA Multifamily II DST</v>
      </c>
      <c r="C198" s="17"/>
      <c r="D198" s="17" t="str">
        <f>IFERROR(__xludf.DUMMYFUNCTION("""COMPUTED_VALUE"""),"Multifamily")</f>
        <v>Multifamily</v>
      </c>
      <c r="E198" s="17">
        <f>IFERROR(__xludf.DUMMYFUNCTION("""COMPUTED_VALUE"""),4.33)</f>
        <v>4.33</v>
      </c>
      <c r="F198" s="27">
        <f>IFERROR(__xludf.DUMMYFUNCTION("""COMPUTED_VALUE"""),1.43)</f>
        <v>1.43</v>
      </c>
      <c r="G198" s="13">
        <f>IFERROR(__xludf.DUMMYFUNCTION("""COMPUTED_VALUE"""),0.0953)</f>
        <v>0.0953</v>
      </c>
    </row>
    <row r="199">
      <c r="A199" s="17" t="str">
        <f>IFERROR(__xludf.DUMMYFUNCTION("""COMPUTED_VALUE"""),"Inland")</f>
        <v>Inland</v>
      </c>
      <c r="B199" s="17" t="str">
        <f>IFERROR(__xludf.DUMMYFUNCTION("""COMPUTED_VALUE"""),"Denver Multifamily Portfolio DST")</f>
        <v>Denver Multifamily Portfolio DST</v>
      </c>
      <c r="C199" s="17"/>
      <c r="D199" s="17" t="str">
        <f>IFERROR(__xludf.DUMMYFUNCTION("""COMPUTED_VALUE"""),"Multifamily")</f>
        <v>Multifamily</v>
      </c>
      <c r="E199" s="17">
        <f>IFERROR(__xludf.DUMMYFUNCTION("""COMPUTED_VALUE"""),3.58)</f>
        <v>3.58</v>
      </c>
      <c r="F199" s="27">
        <f>IFERROR(__xludf.DUMMYFUNCTION("""COMPUTED_VALUE"""),1.31)</f>
        <v>1.31</v>
      </c>
      <c r="G199" s="13">
        <f>IFERROR(__xludf.DUMMYFUNCTION("""COMPUTED_VALUE"""),0.0866)</f>
        <v>0.0866</v>
      </c>
    </row>
    <row r="200">
      <c r="A200" s="17" t="str">
        <f>IFERROR(__xludf.DUMMYFUNCTION("""COMPUTED_VALUE"""),"Olympus Property")</f>
        <v>Olympus Property</v>
      </c>
      <c r="B200" s="17" t="str">
        <f>IFERROR(__xludf.DUMMYFUNCTION("""COMPUTED_VALUE"""),"Copperfield")</f>
        <v>Copperfield</v>
      </c>
      <c r="C200" s="17" t="str">
        <f>IFERROR(__xludf.DUMMYFUNCTION("""COMPUTED_VALUE"""),"Fort Worth, TX")</f>
        <v>Fort Worth, TX</v>
      </c>
      <c r="D200" s="17" t="str">
        <f>IFERROR(__xludf.DUMMYFUNCTION("""COMPUTED_VALUE"""),"Multifamily")</f>
        <v>Multifamily</v>
      </c>
      <c r="E200" s="17">
        <f>IFERROR(__xludf.DUMMYFUNCTION("""COMPUTED_VALUE"""),4.67)</f>
        <v>4.67</v>
      </c>
      <c r="F200" s="17"/>
      <c r="G200" s="13">
        <f>IFERROR(__xludf.DUMMYFUNCTION("""COMPUTED_VALUE"""),0.2971)</f>
        <v>0.2971</v>
      </c>
    </row>
    <row r="201">
      <c r="A201" s="17" t="str">
        <f>IFERROR(__xludf.DUMMYFUNCTION("""COMPUTED_VALUE"""),"Olympus Property")</f>
        <v>Olympus Property</v>
      </c>
      <c r="B201" s="17" t="str">
        <f>IFERROR(__xludf.DUMMYFUNCTION("""COMPUTED_VALUE"""),"Trails of Sanger")</f>
        <v>Trails of Sanger</v>
      </c>
      <c r="C201" s="17" t="str">
        <f>IFERROR(__xludf.DUMMYFUNCTION("""COMPUTED_VALUE"""),"Sanger, TX")</f>
        <v>Sanger, TX</v>
      </c>
      <c r="D201" s="17" t="str">
        <f>IFERROR(__xludf.DUMMYFUNCTION("""COMPUTED_VALUE"""),"Multifamily")</f>
        <v>Multifamily</v>
      </c>
      <c r="E201" s="17">
        <f>IFERROR(__xludf.DUMMYFUNCTION("""COMPUTED_VALUE"""),1.5)</f>
        <v>1.5</v>
      </c>
      <c r="F201" s="17"/>
      <c r="G201" s="13">
        <f>IFERROR(__xludf.DUMMYFUNCTION("""COMPUTED_VALUE"""),1.993)</f>
        <v>1.993</v>
      </c>
    </row>
    <row r="202">
      <c r="A202" s="17" t="str">
        <f>IFERROR(__xludf.DUMMYFUNCTION("""COMPUTED_VALUE"""),"Olympus Property")</f>
        <v>Olympus Property</v>
      </c>
      <c r="B202" s="17" t="str">
        <f>IFERROR(__xludf.DUMMYFUNCTION("""COMPUTED_VALUE"""),"Quail Landing")</f>
        <v>Quail Landing</v>
      </c>
      <c r="C202" s="17" t="str">
        <f>IFERROR(__xludf.DUMMYFUNCTION("""COMPUTED_VALUE"""),"Oklahoma City, OK")</f>
        <v>Oklahoma City, OK</v>
      </c>
      <c r="D202" s="17" t="str">
        <f>IFERROR(__xludf.DUMMYFUNCTION("""COMPUTED_VALUE"""),"Multifamily")</f>
        <v>Multifamily</v>
      </c>
      <c r="E202" s="17">
        <f>IFERROR(__xludf.DUMMYFUNCTION("""COMPUTED_VALUE"""),1.67)</f>
        <v>1.67</v>
      </c>
      <c r="F202" s="17"/>
      <c r="G202" s="13">
        <f>IFERROR(__xludf.DUMMYFUNCTION("""COMPUTED_VALUE"""),0.3919)</f>
        <v>0.3919</v>
      </c>
    </row>
    <row r="203">
      <c r="A203" s="17" t="str">
        <f>IFERROR(__xludf.DUMMYFUNCTION("""COMPUTED_VALUE"""),"Olympus Property")</f>
        <v>Olympus Property</v>
      </c>
      <c r="B203" s="17" t="str">
        <f>IFERROR(__xludf.DUMMYFUNCTION("""COMPUTED_VALUE"""),"Mill Valley")</f>
        <v>Mill Valley</v>
      </c>
      <c r="C203" s="17" t="str">
        <f>IFERROR(__xludf.DUMMYFUNCTION("""COMPUTED_VALUE"""),"Fort Worth, TX")</f>
        <v>Fort Worth, TX</v>
      </c>
      <c r="D203" s="17" t="str">
        <f>IFERROR(__xludf.DUMMYFUNCTION("""COMPUTED_VALUE"""),"Multifamily")</f>
        <v>Multifamily</v>
      </c>
      <c r="E203" s="17">
        <f>IFERROR(__xludf.DUMMYFUNCTION("""COMPUTED_VALUE"""),2.75)</f>
        <v>2.75</v>
      </c>
      <c r="F203" s="17"/>
      <c r="G203" s="13">
        <f>IFERROR(__xludf.DUMMYFUNCTION("""COMPUTED_VALUE"""),0.3412)</f>
        <v>0.3412</v>
      </c>
    </row>
    <row r="204">
      <c r="A204" s="17" t="str">
        <f>IFERROR(__xludf.DUMMYFUNCTION("""COMPUTED_VALUE"""),"Olympus Property")</f>
        <v>Olympus Property</v>
      </c>
      <c r="B204" s="17" t="str">
        <f>IFERROR(__xludf.DUMMYFUNCTION("""COMPUTED_VALUE"""),"Promenade at Champions Forest")</f>
        <v>Promenade at Champions Forest</v>
      </c>
      <c r="C204" s="17" t="str">
        <f>IFERROR(__xludf.DUMMYFUNCTION("""COMPUTED_VALUE"""),"Houston, TX")</f>
        <v>Houston, TX</v>
      </c>
      <c r="D204" s="17" t="str">
        <f>IFERROR(__xludf.DUMMYFUNCTION("""COMPUTED_VALUE"""),"Multifamily")</f>
        <v>Multifamily</v>
      </c>
      <c r="E204" s="17">
        <f>IFERROR(__xludf.DUMMYFUNCTION("""COMPUTED_VALUE"""),2.17)</f>
        <v>2.17</v>
      </c>
      <c r="F204" s="17"/>
      <c r="G204" s="13">
        <f>IFERROR(__xludf.DUMMYFUNCTION("""COMPUTED_VALUE"""),0.4891)</f>
        <v>0.4891</v>
      </c>
    </row>
    <row r="205">
      <c r="A205" s="17" t="str">
        <f>IFERROR(__xludf.DUMMYFUNCTION("""COMPUTED_VALUE"""),"Olympus Property")</f>
        <v>Olympus Property</v>
      </c>
      <c r="B205" s="17" t="str">
        <f>IFERROR(__xludf.DUMMYFUNCTION("""COMPUTED_VALUE"""),"Riverchase")</f>
        <v>Riverchase</v>
      </c>
      <c r="C205" s="17" t="str">
        <f>IFERROR(__xludf.DUMMYFUNCTION("""COMPUTED_VALUE"""),"Tulsa, OK")</f>
        <v>Tulsa, OK</v>
      </c>
      <c r="D205" s="17" t="str">
        <f>IFERROR(__xludf.DUMMYFUNCTION("""COMPUTED_VALUE"""),"Multifamily")</f>
        <v>Multifamily</v>
      </c>
      <c r="E205" s="17">
        <f>IFERROR(__xludf.DUMMYFUNCTION("""COMPUTED_VALUE"""),6.92)</f>
        <v>6.92</v>
      </c>
      <c r="F205" s="17"/>
      <c r="G205" s="13">
        <f>IFERROR(__xludf.DUMMYFUNCTION("""COMPUTED_VALUE"""),0.1396)</f>
        <v>0.1396</v>
      </c>
    </row>
    <row r="206">
      <c r="A206" s="17" t="str">
        <f>IFERROR(__xludf.DUMMYFUNCTION("""COMPUTED_VALUE"""),"Olympus Property")</f>
        <v>Olympus Property</v>
      </c>
      <c r="B206" s="17" t="str">
        <f>IFERROR(__xludf.DUMMYFUNCTION("""COMPUTED_VALUE"""),"Villas at LeBlanc Park")</f>
        <v>Villas at LeBlanc Park</v>
      </c>
      <c r="C206" s="17" t="str">
        <f>IFERROR(__xludf.DUMMYFUNCTION("""COMPUTED_VALUE"""),"Fort Worth, TX")</f>
        <v>Fort Worth, TX</v>
      </c>
      <c r="D206" s="17" t="str">
        <f>IFERROR(__xludf.DUMMYFUNCTION("""COMPUTED_VALUE"""),"Multifamily")</f>
        <v>Multifamily</v>
      </c>
      <c r="E206" s="17">
        <f>IFERROR(__xludf.DUMMYFUNCTION("""COMPUTED_VALUE"""),5.58)</f>
        <v>5.58</v>
      </c>
      <c r="F206" s="17"/>
      <c r="G206" s="13">
        <f>IFERROR(__xludf.DUMMYFUNCTION("""COMPUTED_VALUE"""),0.3499)</f>
        <v>0.3499</v>
      </c>
    </row>
    <row r="207">
      <c r="A207" s="17" t="str">
        <f>IFERROR(__xludf.DUMMYFUNCTION("""COMPUTED_VALUE"""),"Olympus Property")</f>
        <v>Olympus Property</v>
      </c>
      <c r="B207" s="17" t="str">
        <f>IFERROR(__xludf.DUMMYFUNCTION("""COMPUTED_VALUE"""),"Preserve at Port Royal")</f>
        <v>Preserve at Port Royal</v>
      </c>
      <c r="C207" s="17" t="str">
        <f>IFERROR(__xludf.DUMMYFUNCTION("""COMPUTED_VALUE"""),"Port Royal, SC")</f>
        <v>Port Royal, SC</v>
      </c>
      <c r="D207" s="17" t="str">
        <f>IFERROR(__xludf.DUMMYFUNCTION("""COMPUTED_VALUE"""),"Multifamily")</f>
        <v>Multifamily</v>
      </c>
      <c r="E207" s="17">
        <f>IFERROR(__xludf.DUMMYFUNCTION("""COMPUTED_VALUE"""),3.33)</f>
        <v>3.33</v>
      </c>
      <c r="F207" s="17"/>
      <c r="G207" s="13">
        <f>IFERROR(__xludf.DUMMYFUNCTION("""COMPUTED_VALUE"""),0.1958)</f>
        <v>0.1958</v>
      </c>
    </row>
    <row r="208">
      <c r="A208" s="17" t="str">
        <f>IFERROR(__xludf.DUMMYFUNCTION("""COMPUTED_VALUE"""),"Olympus Property")</f>
        <v>Olympus Property</v>
      </c>
      <c r="B208" s="17" t="str">
        <f>IFERROR(__xludf.DUMMYFUNCTION("""COMPUTED_VALUE"""),"The Overlook")</f>
        <v>The Overlook</v>
      </c>
      <c r="C208" s="17" t="str">
        <f>IFERROR(__xludf.DUMMYFUNCTION("""COMPUTED_VALUE"""),"Antioch, TN")</f>
        <v>Antioch, TN</v>
      </c>
      <c r="D208" s="17" t="str">
        <f>IFERROR(__xludf.DUMMYFUNCTION("""COMPUTED_VALUE"""),"Multifamily")</f>
        <v>Multifamily</v>
      </c>
      <c r="E208" s="17">
        <f>IFERROR(__xludf.DUMMYFUNCTION("""COMPUTED_VALUE"""),5.92)</f>
        <v>5.92</v>
      </c>
      <c r="F208" s="17"/>
      <c r="G208" s="13">
        <f>IFERROR(__xludf.DUMMYFUNCTION("""COMPUTED_VALUE"""),0.268)</f>
        <v>0.268</v>
      </c>
    </row>
    <row r="209">
      <c r="A209" s="17" t="str">
        <f>IFERROR(__xludf.DUMMYFUNCTION("""COMPUTED_VALUE"""),"Olympus Property")</f>
        <v>Olympus Property</v>
      </c>
      <c r="B209" s="17" t="str">
        <f>IFERROR(__xludf.DUMMYFUNCTION("""COMPUTED_VALUE"""),"Crossroads")</f>
        <v>Crossroads</v>
      </c>
      <c r="C209" s="17" t="str">
        <f>IFERROR(__xludf.DUMMYFUNCTION("""COMPUTED_VALUE"""),"Phoenix, AZ")</f>
        <v>Phoenix, AZ</v>
      </c>
      <c r="D209" s="17" t="str">
        <f>IFERROR(__xludf.DUMMYFUNCTION("""COMPUTED_VALUE"""),"Multifamily")</f>
        <v>Multifamily</v>
      </c>
      <c r="E209" s="17">
        <f>IFERROR(__xludf.DUMMYFUNCTION("""COMPUTED_VALUE"""),6.75)</f>
        <v>6.75</v>
      </c>
      <c r="F209" s="17"/>
      <c r="G209" s="13">
        <f>IFERROR(__xludf.DUMMYFUNCTION("""COMPUTED_VALUE"""),0.3373)</f>
        <v>0.3373</v>
      </c>
    </row>
    <row r="210">
      <c r="A210" s="17" t="str">
        <f>IFERROR(__xludf.DUMMYFUNCTION("""COMPUTED_VALUE"""),"Olympus Property")</f>
        <v>Olympus Property</v>
      </c>
      <c r="B210" s="17" t="str">
        <f>IFERROR(__xludf.DUMMYFUNCTION("""COMPUTED_VALUE"""),"Rancho Mirage")</f>
        <v>Rancho Mirage</v>
      </c>
      <c r="C210" s="17" t="str">
        <f>IFERROR(__xludf.DUMMYFUNCTION("""COMPUTED_VALUE"""),"Irving, TX")</f>
        <v>Irving, TX</v>
      </c>
      <c r="D210" s="17" t="str">
        <f>IFERROR(__xludf.DUMMYFUNCTION("""COMPUTED_VALUE"""),"Multifamily")</f>
        <v>Multifamily</v>
      </c>
      <c r="E210" s="17">
        <f>IFERROR(__xludf.DUMMYFUNCTION("""COMPUTED_VALUE"""),7.67)</f>
        <v>7.67</v>
      </c>
      <c r="F210" s="17"/>
      <c r="G210" s="13">
        <f>IFERROR(__xludf.DUMMYFUNCTION("""COMPUTED_VALUE"""),0.3224)</f>
        <v>0.3224</v>
      </c>
    </row>
    <row r="211">
      <c r="A211" s="17" t="str">
        <f>IFERROR(__xludf.DUMMYFUNCTION("""COMPUTED_VALUE"""),"Olympus Property")</f>
        <v>Olympus Property</v>
      </c>
      <c r="B211" s="17" t="str">
        <f>IFERROR(__xludf.DUMMYFUNCTION("""COMPUTED_VALUE"""),"Arborstone")</f>
        <v>Arborstone</v>
      </c>
      <c r="C211" s="17" t="str">
        <f>IFERROR(__xludf.DUMMYFUNCTION("""COMPUTED_VALUE"""),"Dallas, TX")</f>
        <v>Dallas, TX</v>
      </c>
      <c r="D211" s="17" t="str">
        <f>IFERROR(__xludf.DUMMYFUNCTION("""COMPUTED_VALUE"""),"Multifamily")</f>
        <v>Multifamily</v>
      </c>
      <c r="E211" s="17">
        <f>IFERROR(__xludf.DUMMYFUNCTION("""COMPUTED_VALUE"""),10.83)</f>
        <v>10.83</v>
      </c>
      <c r="F211" s="17"/>
      <c r="G211" s="13">
        <f>IFERROR(__xludf.DUMMYFUNCTION("""COMPUTED_VALUE"""),0.182)</f>
        <v>0.182</v>
      </c>
    </row>
    <row r="212">
      <c r="A212" s="17" t="str">
        <f>IFERROR(__xludf.DUMMYFUNCTION("""COMPUTED_VALUE"""),"Olympus Property")</f>
        <v>Olympus Property</v>
      </c>
      <c r="B212" s="17" t="str">
        <f>IFERROR(__xludf.DUMMYFUNCTION("""COMPUTED_VALUE"""),"Southport")</f>
        <v>Southport</v>
      </c>
      <c r="C212" s="17" t="str">
        <f>IFERROR(__xludf.DUMMYFUNCTION("""COMPUTED_VALUE"""),"Tulsa, OK")</f>
        <v>Tulsa, OK</v>
      </c>
      <c r="D212" s="17" t="str">
        <f>IFERROR(__xludf.DUMMYFUNCTION("""COMPUTED_VALUE"""),"Multifamily")</f>
        <v>Multifamily</v>
      </c>
      <c r="E212" s="17">
        <f>IFERROR(__xludf.DUMMYFUNCTION("""COMPUTED_VALUE"""),9.92)</f>
        <v>9.92</v>
      </c>
      <c r="F212" s="17"/>
      <c r="G212" s="13">
        <f>IFERROR(__xludf.DUMMYFUNCTION("""COMPUTED_VALUE"""),0.103)</f>
        <v>0.103</v>
      </c>
    </row>
    <row r="213">
      <c r="A213" s="17" t="str">
        <f>IFERROR(__xludf.DUMMYFUNCTION("""COMPUTED_VALUE"""),"Olympus Property")</f>
        <v>Olympus Property</v>
      </c>
      <c r="B213" s="17" t="str">
        <f>IFERROR(__xludf.DUMMYFUNCTION("""COMPUTED_VALUE"""),"4343 at the Parkway")</f>
        <v>4343 at the Parkway</v>
      </c>
      <c r="C213" s="17" t="str">
        <f>IFERROR(__xludf.DUMMYFUNCTION("""COMPUTED_VALUE"""),"Dallas, TX")</f>
        <v>Dallas, TX</v>
      </c>
      <c r="D213" s="17" t="str">
        <f>IFERROR(__xludf.DUMMYFUNCTION("""COMPUTED_VALUE"""),"Multifamily")</f>
        <v>Multifamily</v>
      </c>
      <c r="E213" s="17">
        <f>IFERROR(__xludf.DUMMYFUNCTION("""COMPUTED_VALUE"""),4.67)</f>
        <v>4.67</v>
      </c>
      <c r="F213" s="17"/>
      <c r="G213" s="13">
        <f>IFERROR(__xludf.DUMMYFUNCTION("""COMPUTED_VALUE"""),0.2998)</f>
        <v>0.2998</v>
      </c>
    </row>
    <row r="214">
      <c r="A214" s="17" t="str">
        <f>IFERROR(__xludf.DUMMYFUNCTION("""COMPUTED_VALUE"""),"Olympus Property")</f>
        <v>Olympus Property</v>
      </c>
      <c r="B214" s="17" t="str">
        <f>IFERROR(__xludf.DUMMYFUNCTION("""COMPUTED_VALUE"""),"Mandalay at Shadowlake")</f>
        <v>Mandalay at Shadowlake</v>
      </c>
      <c r="C214" s="17" t="str">
        <f>IFERROR(__xludf.DUMMYFUNCTION("""COMPUTED_VALUE"""),"Houston, TX")</f>
        <v>Houston, TX</v>
      </c>
      <c r="D214" s="17" t="str">
        <f>IFERROR(__xludf.DUMMYFUNCTION("""COMPUTED_VALUE"""),"Multifamily")</f>
        <v>Multifamily</v>
      </c>
      <c r="E214" s="17">
        <f>IFERROR(__xludf.DUMMYFUNCTION("""COMPUTED_VALUE"""),6.41)</f>
        <v>6.41</v>
      </c>
      <c r="F214" s="17"/>
      <c r="G214" s="13">
        <f>IFERROR(__xludf.DUMMYFUNCTION("""COMPUTED_VALUE"""),0.3257)</f>
        <v>0.3257</v>
      </c>
    </row>
    <row r="215">
      <c r="A215" s="17" t="str">
        <f>IFERROR(__xludf.DUMMYFUNCTION("""COMPUTED_VALUE"""),"Olympus Property")</f>
        <v>Olympus Property</v>
      </c>
      <c r="B215" s="17" t="str">
        <f>IFERROR(__xludf.DUMMYFUNCTION("""COMPUTED_VALUE"""),"Kenwood Club at the Park")</f>
        <v>Kenwood Club at the Park</v>
      </c>
      <c r="C215" s="17" t="str">
        <f>IFERROR(__xludf.DUMMYFUNCTION("""COMPUTED_VALUE"""),"Katy, TX")</f>
        <v>Katy, TX</v>
      </c>
      <c r="D215" s="17" t="str">
        <f>IFERROR(__xludf.DUMMYFUNCTION("""COMPUTED_VALUE"""),"Multifamily")</f>
        <v>Multifamily</v>
      </c>
      <c r="E215" s="17">
        <f>IFERROR(__xludf.DUMMYFUNCTION("""COMPUTED_VALUE"""),3.75)</f>
        <v>3.75</v>
      </c>
      <c r="F215" s="17"/>
      <c r="G215" s="13">
        <f>IFERROR(__xludf.DUMMYFUNCTION("""COMPUTED_VALUE"""),0.2463)</f>
        <v>0.2463</v>
      </c>
    </row>
    <row r="216">
      <c r="A216" s="17" t="str">
        <f>IFERROR(__xludf.DUMMYFUNCTION("""COMPUTED_VALUE"""),"Olympus Property")</f>
        <v>Olympus Property</v>
      </c>
      <c r="B216" s="17" t="str">
        <f>IFERROR(__xludf.DUMMYFUNCTION("""COMPUTED_VALUE"""),"Westchase Forrest")</f>
        <v>Westchase Forrest</v>
      </c>
      <c r="C216" s="17" t="str">
        <f>IFERROR(__xludf.DUMMYFUNCTION("""COMPUTED_VALUE"""),"Houston, TX")</f>
        <v>Houston, TX</v>
      </c>
      <c r="D216" s="17" t="str">
        <f>IFERROR(__xludf.DUMMYFUNCTION("""COMPUTED_VALUE"""),"Multifamily")</f>
        <v>Multifamily</v>
      </c>
      <c r="E216" s="17">
        <f>IFERROR(__xludf.DUMMYFUNCTION("""COMPUTED_VALUE"""),8.83)</f>
        <v>8.83</v>
      </c>
      <c r="F216" s="17"/>
      <c r="G216" s="13">
        <f>IFERROR(__xludf.DUMMYFUNCTION("""COMPUTED_VALUE"""),0.2187)</f>
        <v>0.2187</v>
      </c>
    </row>
    <row r="217">
      <c r="A217" s="17" t="str">
        <f>IFERROR(__xludf.DUMMYFUNCTION("""COMPUTED_VALUE"""),"Olympus Property")</f>
        <v>Olympus Property</v>
      </c>
      <c r="B217" s="17" t="str">
        <f>IFERROR(__xludf.DUMMYFUNCTION("""COMPUTED_VALUE"""),"Presidio at Northeast Heights")</f>
        <v>Presidio at Northeast Heights</v>
      </c>
      <c r="C217" s="17" t="str">
        <f>IFERROR(__xludf.DUMMYFUNCTION("""COMPUTED_VALUE"""),"Albuquerque, NM")</f>
        <v>Albuquerque, NM</v>
      </c>
      <c r="D217" s="17" t="str">
        <f>IFERROR(__xludf.DUMMYFUNCTION("""COMPUTED_VALUE"""),"Multifamily")</f>
        <v>Multifamily</v>
      </c>
      <c r="E217" s="17">
        <f>IFERROR(__xludf.DUMMYFUNCTION("""COMPUTED_VALUE"""),2.58)</f>
        <v>2.58</v>
      </c>
      <c r="F217" s="17"/>
      <c r="G217" s="13">
        <f>IFERROR(__xludf.DUMMYFUNCTION("""COMPUTED_VALUE"""),0.2228)</f>
        <v>0.2228</v>
      </c>
    </row>
    <row r="218">
      <c r="A218" s="17" t="str">
        <f>IFERROR(__xludf.DUMMYFUNCTION("""COMPUTED_VALUE"""),"Olympus Property")</f>
        <v>Olympus Property</v>
      </c>
      <c r="B218" s="17" t="str">
        <f>IFERROR(__xludf.DUMMYFUNCTION("""COMPUTED_VALUE"""),"The Woodlands")</f>
        <v>The Woodlands</v>
      </c>
      <c r="C218" s="17" t="str">
        <f>IFERROR(__xludf.DUMMYFUNCTION("""COMPUTED_VALUE"""),"Tyler, TX")</f>
        <v>Tyler, TX</v>
      </c>
      <c r="D218" s="17" t="str">
        <f>IFERROR(__xludf.DUMMYFUNCTION("""COMPUTED_VALUE"""),"Multifamily")</f>
        <v>Multifamily</v>
      </c>
      <c r="E218" s="17">
        <f>IFERROR(__xludf.DUMMYFUNCTION("""COMPUTED_VALUE"""),4.17)</f>
        <v>4.17</v>
      </c>
      <c r="F218" s="17"/>
      <c r="G218" s="13">
        <f>IFERROR(__xludf.DUMMYFUNCTION("""COMPUTED_VALUE"""),0.2741)</f>
        <v>0.2741</v>
      </c>
    </row>
    <row r="219">
      <c r="A219" s="17" t="str">
        <f>IFERROR(__xludf.DUMMYFUNCTION("""COMPUTED_VALUE"""),"Olympus Property")</f>
        <v>Olympus Property</v>
      </c>
      <c r="B219" s="17" t="str">
        <f>IFERROR(__xludf.DUMMYFUNCTION("""COMPUTED_VALUE"""),"Legends at Ridgeview Ranch")</f>
        <v>Legends at Ridgeview Ranch</v>
      </c>
      <c r="C219" s="17" t="str">
        <f>IFERROR(__xludf.DUMMYFUNCTION("""COMPUTED_VALUE"""),"Plano, TX")</f>
        <v>Plano, TX</v>
      </c>
      <c r="D219" s="17" t="str">
        <f>IFERROR(__xludf.DUMMYFUNCTION("""COMPUTED_VALUE"""),"Multifamily")</f>
        <v>Multifamily</v>
      </c>
      <c r="E219" s="17">
        <f>IFERROR(__xludf.DUMMYFUNCTION("""COMPUTED_VALUE"""),4.0)</f>
        <v>4</v>
      </c>
      <c r="F219" s="17"/>
      <c r="G219" s="13">
        <f>IFERROR(__xludf.DUMMYFUNCTION("""COMPUTED_VALUE"""),0.256)</f>
        <v>0.256</v>
      </c>
    </row>
    <row r="220">
      <c r="A220" s="17" t="str">
        <f>IFERROR(__xludf.DUMMYFUNCTION("""COMPUTED_VALUE"""),"Olympus Property")</f>
        <v>Olympus Property</v>
      </c>
      <c r="B220" s="17" t="str">
        <f>IFERROR(__xludf.DUMMYFUNCTION("""COMPUTED_VALUE"""),"Sandshell at Fossil Creek")</f>
        <v>Sandshell at Fossil Creek</v>
      </c>
      <c r="C220" s="17" t="str">
        <f>IFERROR(__xludf.DUMMYFUNCTION("""COMPUTED_VALUE"""),"Fort Worth, TX")</f>
        <v>Fort Worth, TX</v>
      </c>
      <c r="D220" s="17" t="str">
        <f>IFERROR(__xludf.DUMMYFUNCTION("""COMPUTED_VALUE"""),"Multifamily")</f>
        <v>Multifamily</v>
      </c>
      <c r="E220" s="17">
        <f>IFERROR(__xludf.DUMMYFUNCTION("""COMPUTED_VALUE"""),4.92)</f>
        <v>4.92</v>
      </c>
      <c r="F220" s="17"/>
      <c r="G220" s="13">
        <f>IFERROR(__xludf.DUMMYFUNCTION("""COMPUTED_VALUE"""),0.2553)</f>
        <v>0.2553</v>
      </c>
    </row>
    <row r="221">
      <c r="A221" s="17" t="str">
        <f>IFERROR(__xludf.DUMMYFUNCTION("""COMPUTED_VALUE"""),"Olympus Property")</f>
        <v>Olympus Property</v>
      </c>
      <c r="B221" s="17" t="str">
        <f>IFERROR(__xludf.DUMMYFUNCTION("""COMPUTED_VALUE"""),"Steeplechase")</f>
        <v>Steeplechase</v>
      </c>
      <c r="C221" s="17" t="str">
        <f>IFERROR(__xludf.DUMMYFUNCTION("""COMPUTED_VALUE"""),"Knoxville, TN")</f>
        <v>Knoxville, TN</v>
      </c>
      <c r="D221" s="17" t="str">
        <f>IFERROR(__xludf.DUMMYFUNCTION("""COMPUTED_VALUE"""),"Multifamily")</f>
        <v>Multifamily</v>
      </c>
      <c r="E221" s="17">
        <f>IFERROR(__xludf.DUMMYFUNCTION("""COMPUTED_VALUE"""),4.91)</f>
        <v>4.91</v>
      </c>
      <c r="F221" s="17"/>
      <c r="G221" s="13">
        <f>IFERROR(__xludf.DUMMYFUNCTION("""COMPUTED_VALUE"""),0.1452)</f>
        <v>0.1452</v>
      </c>
    </row>
    <row r="222">
      <c r="A222" s="17" t="str">
        <f>IFERROR(__xludf.DUMMYFUNCTION("""COMPUTED_VALUE"""),"Olympus Property")</f>
        <v>Olympus Property</v>
      </c>
      <c r="B222" s="17" t="str">
        <f>IFERROR(__xludf.DUMMYFUNCTION("""COMPUTED_VALUE"""),"Elevation Plaza del Rio")</f>
        <v>Elevation Plaza del Rio</v>
      </c>
      <c r="C222" s="17" t="str">
        <f>IFERROR(__xludf.DUMMYFUNCTION("""COMPUTED_VALUE"""),"Phoenix, AZ")</f>
        <v>Phoenix, AZ</v>
      </c>
      <c r="D222" s="17" t="str">
        <f>IFERROR(__xludf.DUMMYFUNCTION("""COMPUTED_VALUE"""),"Multifamily")</f>
        <v>Multifamily</v>
      </c>
      <c r="E222" s="17">
        <f>IFERROR(__xludf.DUMMYFUNCTION("""COMPUTED_VALUE"""),1.25)</f>
        <v>1.25</v>
      </c>
      <c r="F222" s="17"/>
      <c r="G222" s="13">
        <f>IFERROR(__xludf.DUMMYFUNCTION("""COMPUTED_VALUE"""),0.2952)</f>
        <v>0.2952</v>
      </c>
    </row>
    <row r="223">
      <c r="A223" s="17" t="str">
        <f>IFERROR(__xludf.DUMMYFUNCTION("""COMPUTED_VALUE"""),"Olympus Property")</f>
        <v>Olympus Property</v>
      </c>
      <c r="B223" s="17" t="str">
        <f>IFERROR(__xludf.DUMMYFUNCTION("""COMPUTED_VALUE"""),"Tradewinds at Willowbrook")</f>
        <v>Tradewinds at Willowbrook</v>
      </c>
      <c r="C223" s="17" t="str">
        <f>IFERROR(__xludf.DUMMYFUNCTION("""COMPUTED_VALUE"""),"Houston, TX")</f>
        <v>Houston, TX</v>
      </c>
      <c r="D223" s="17" t="str">
        <f>IFERROR(__xludf.DUMMYFUNCTION("""COMPUTED_VALUE"""),"Multifamily")</f>
        <v>Multifamily</v>
      </c>
      <c r="E223" s="17">
        <f>IFERROR(__xludf.DUMMYFUNCTION("""COMPUTED_VALUE"""),6.58)</f>
        <v>6.58</v>
      </c>
      <c r="F223" s="17"/>
      <c r="G223" s="13">
        <f>IFERROR(__xludf.DUMMYFUNCTION("""COMPUTED_VALUE"""),0.2307)</f>
        <v>0.2307</v>
      </c>
    </row>
    <row r="224">
      <c r="A224" s="17" t="str">
        <f>IFERROR(__xludf.DUMMYFUNCTION("""COMPUTED_VALUE"""),"Olympus Property")</f>
        <v>Olympus Property</v>
      </c>
      <c r="B224" s="17" t="str">
        <f>IFERROR(__xludf.DUMMYFUNCTION("""COMPUTED_VALUE"""),"Promenade Jersey Village")</f>
        <v>Promenade Jersey Village</v>
      </c>
      <c r="C224" s="17" t="str">
        <f>IFERROR(__xludf.DUMMYFUNCTION("""COMPUTED_VALUE"""),"Houston, TX")</f>
        <v>Houston, TX</v>
      </c>
      <c r="D224" s="17" t="str">
        <f>IFERROR(__xludf.DUMMYFUNCTION("""COMPUTED_VALUE"""),"Multifamily")</f>
        <v>Multifamily</v>
      </c>
      <c r="E224" s="17">
        <f>IFERROR(__xludf.DUMMYFUNCTION("""COMPUTED_VALUE"""),5.08)</f>
        <v>5.08</v>
      </c>
      <c r="F224" s="17"/>
      <c r="G224" s="13">
        <f>IFERROR(__xludf.DUMMYFUNCTION("""COMPUTED_VALUE"""),0.217)</f>
        <v>0.217</v>
      </c>
    </row>
    <row r="225">
      <c r="A225" s="17" t="str">
        <f>IFERROR(__xludf.DUMMYFUNCTION("""COMPUTED_VALUE"""),"Olympus Property")</f>
        <v>Olympus Property</v>
      </c>
      <c r="B225" s="17" t="str">
        <f>IFERROR(__xludf.DUMMYFUNCTION("""COMPUTED_VALUE"""),"1400 Chestnut")</f>
        <v>1400 Chestnut</v>
      </c>
      <c r="C225" s="17" t="str">
        <f>IFERROR(__xludf.DUMMYFUNCTION("""COMPUTED_VALUE"""),"Chattanooga, TN")</f>
        <v>Chattanooga, TN</v>
      </c>
      <c r="D225" s="17" t="str">
        <f>IFERROR(__xludf.DUMMYFUNCTION("""COMPUTED_VALUE"""),"Multifamily")</f>
        <v>Multifamily</v>
      </c>
      <c r="E225" s="17">
        <f>IFERROR(__xludf.DUMMYFUNCTION("""COMPUTED_VALUE"""),3.0)</f>
        <v>3</v>
      </c>
      <c r="F225" s="17"/>
      <c r="G225" s="13">
        <f>IFERROR(__xludf.DUMMYFUNCTION("""COMPUTED_VALUE"""),0.2159)</f>
        <v>0.2159</v>
      </c>
    </row>
    <row r="226">
      <c r="A226" s="17" t="str">
        <f>IFERROR(__xludf.DUMMYFUNCTION("""COMPUTED_VALUE"""),"Olympus Property")</f>
        <v>Olympus Property</v>
      </c>
      <c r="B226" s="17" t="str">
        <f>IFERROR(__xludf.DUMMYFUNCTION("""COMPUTED_VALUE"""),"Somerset Park")</f>
        <v>Somerset Park</v>
      </c>
      <c r="C226" s="17" t="str">
        <f>IFERROR(__xludf.DUMMYFUNCTION("""COMPUTED_VALUE"""),"Tulsa, OK")</f>
        <v>Tulsa, OK</v>
      </c>
      <c r="D226" s="17" t="str">
        <f>IFERROR(__xludf.DUMMYFUNCTION("""COMPUTED_VALUE"""),"Multifamily")</f>
        <v>Multifamily</v>
      </c>
      <c r="E226" s="17">
        <f>IFERROR(__xludf.DUMMYFUNCTION("""COMPUTED_VALUE"""),11.33)</f>
        <v>11.33</v>
      </c>
      <c r="F226" s="17"/>
      <c r="G226" s="13">
        <f>IFERROR(__xludf.DUMMYFUNCTION("""COMPUTED_VALUE"""),0.1677)</f>
        <v>0.1677</v>
      </c>
    </row>
    <row r="227">
      <c r="A227" s="17" t="str">
        <f>IFERROR(__xludf.DUMMYFUNCTION("""COMPUTED_VALUE"""),"Olympus Property")</f>
        <v>Olympus Property</v>
      </c>
      <c r="B227" s="17" t="str">
        <f>IFERROR(__xludf.DUMMYFUNCTION("""COMPUTED_VALUE"""),"Olympus Chenal Valley")</f>
        <v>Olympus Chenal Valley</v>
      </c>
      <c r="C227" s="17" t="str">
        <f>IFERROR(__xludf.DUMMYFUNCTION("""COMPUTED_VALUE"""),"Little Rock, AR")</f>
        <v>Little Rock, AR</v>
      </c>
      <c r="D227" s="17" t="str">
        <f>IFERROR(__xludf.DUMMYFUNCTION("""COMPUTED_VALUE"""),"Multifamily")</f>
        <v>Multifamily</v>
      </c>
      <c r="E227" s="17">
        <f>IFERROR(__xludf.DUMMYFUNCTION("""COMPUTED_VALUE"""),2.33)</f>
        <v>2.33</v>
      </c>
      <c r="F227" s="17"/>
      <c r="G227" s="13">
        <f>IFERROR(__xludf.DUMMYFUNCTION("""COMPUTED_VALUE"""),0.1055)</f>
        <v>0.1055</v>
      </c>
    </row>
    <row r="228">
      <c r="A228" s="17" t="str">
        <f>IFERROR(__xludf.DUMMYFUNCTION("""COMPUTED_VALUE"""),"Olympus Property")</f>
        <v>Olympus Property</v>
      </c>
      <c r="B228" s="17" t="str">
        <f>IFERROR(__xludf.DUMMYFUNCTION("""COMPUTED_VALUE"""),"Sycamore Farms")</f>
        <v>Sycamore Farms</v>
      </c>
      <c r="C228" s="17" t="str">
        <f>IFERROR(__xludf.DUMMYFUNCTION("""COMPUTED_VALUE"""),"Oklahoma City, OK")</f>
        <v>Oklahoma City, OK</v>
      </c>
      <c r="D228" s="17" t="str">
        <f>IFERROR(__xludf.DUMMYFUNCTION("""COMPUTED_VALUE"""),"Multifamily")</f>
        <v>Multifamily</v>
      </c>
      <c r="E228" s="17">
        <f>IFERROR(__xludf.DUMMYFUNCTION("""COMPUTED_VALUE"""),12.08)</f>
        <v>12.08</v>
      </c>
      <c r="F228" s="17"/>
      <c r="G228" s="13">
        <f>IFERROR(__xludf.DUMMYFUNCTION("""COMPUTED_VALUE"""),0.1602)</f>
        <v>0.1602</v>
      </c>
    </row>
    <row r="229">
      <c r="A229" s="17" t="str">
        <f>IFERROR(__xludf.DUMMYFUNCTION("""COMPUTED_VALUE"""),"Olympus Property")</f>
        <v>Olympus Property</v>
      </c>
      <c r="B229" s="17" t="str">
        <f>IFERROR(__xludf.DUMMYFUNCTION("""COMPUTED_VALUE"""),"Olympus on Main")</f>
        <v>Olympus on Main</v>
      </c>
      <c r="C229" s="17" t="str">
        <f>IFERROR(__xludf.DUMMYFUNCTION("""COMPUTED_VALUE"""),"Fort Worth, TX")</f>
        <v>Fort Worth, TX</v>
      </c>
      <c r="D229" s="17" t="str">
        <f>IFERROR(__xludf.DUMMYFUNCTION("""COMPUTED_VALUE"""),"Multifamily")</f>
        <v>Multifamily</v>
      </c>
      <c r="E229" s="17">
        <f>IFERROR(__xludf.DUMMYFUNCTION("""COMPUTED_VALUE"""),2.83)</f>
        <v>2.83</v>
      </c>
      <c r="F229" s="17"/>
      <c r="G229" s="13">
        <f>IFERROR(__xludf.DUMMYFUNCTION("""COMPUTED_VALUE"""),0.1622)</f>
        <v>0.1622</v>
      </c>
    </row>
    <row r="230">
      <c r="A230" s="17" t="str">
        <f>IFERROR(__xludf.DUMMYFUNCTION("""COMPUTED_VALUE"""),"Olympus Property")</f>
        <v>Olympus Property</v>
      </c>
      <c r="B230" s="17" t="str">
        <f>IFERROR(__xludf.DUMMYFUNCTION("""COMPUTED_VALUE"""),"Walden at Chatham Center")</f>
        <v>Walden at Chatham Center</v>
      </c>
      <c r="C230" s="17" t="str">
        <f>IFERROR(__xludf.DUMMYFUNCTION("""COMPUTED_VALUE"""),"Savannah, GA")</f>
        <v>Savannah, GA</v>
      </c>
      <c r="D230" s="17" t="str">
        <f>IFERROR(__xludf.DUMMYFUNCTION("""COMPUTED_VALUE"""),"Multifamily")</f>
        <v>Multifamily</v>
      </c>
      <c r="E230" s="17">
        <f>IFERROR(__xludf.DUMMYFUNCTION("""COMPUTED_VALUE"""),8.34)</f>
        <v>8.34</v>
      </c>
      <c r="F230" s="17"/>
      <c r="G230" s="13">
        <f>IFERROR(__xludf.DUMMYFUNCTION("""COMPUTED_VALUE"""),0.177)</f>
        <v>0.177</v>
      </c>
    </row>
    <row r="231">
      <c r="A231" s="17" t="str">
        <f>IFERROR(__xludf.DUMMYFUNCTION("""COMPUTED_VALUE"""),"Olympus Property")</f>
        <v>Olympus Property</v>
      </c>
      <c r="B231" s="17" t="str">
        <f>IFERROR(__xludf.DUMMYFUNCTION("""COMPUTED_VALUE"""),"Cactus Forty-2")</f>
        <v>Cactus Forty-2</v>
      </c>
      <c r="C231" s="17" t="str">
        <f>IFERROR(__xludf.DUMMYFUNCTION("""COMPUTED_VALUE"""),"Phoenix, AZ")</f>
        <v>Phoenix, AZ</v>
      </c>
      <c r="D231" s="17" t="str">
        <f>IFERROR(__xludf.DUMMYFUNCTION("""COMPUTED_VALUE"""),"Multifamily")</f>
        <v>Multifamily</v>
      </c>
      <c r="E231" s="17">
        <f>IFERROR(__xludf.DUMMYFUNCTION("""COMPUTED_VALUE"""),5.83)</f>
        <v>5.83</v>
      </c>
      <c r="F231" s="17"/>
      <c r="G231" s="13">
        <f>IFERROR(__xludf.DUMMYFUNCTION("""COMPUTED_VALUE"""),0.1764)</f>
        <v>0.1764</v>
      </c>
    </row>
    <row r="232">
      <c r="A232" s="17" t="str">
        <f>IFERROR(__xludf.DUMMYFUNCTION("""COMPUTED_VALUE"""),"Olympus Property")</f>
        <v>Olympus Property</v>
      </c>
      <c r="B232" s="17" t="str">
        <f>IFERROR(__xludf.DUMMYFUNCTION("""COMPUTED_VALUE"""),"Olympus at Ross")</f>
        <v>Olympus at Ross</v>
      </c>
      <c r="C232" s="17" t="str">
        <f>IFERROR(__xludf.DUMMYFUNCTION("""COMPUTED_VALUE"""),"Dallas, TX")</f>
        <v>Dallas, TX</v>
      </c>
      <c r="D232" s="17" t="str">
        <f>IFERROR(__xludf.DUMMYFUNCTION("""COMPUTED_VALUE"""),"Multifamily")</f>
        <v>Multifamily</v>
      </c>
      <c r="E232" s="17">
        <f>IFERROR(__xludf.DUMMYFUNCTION("""COMPUTED_VALUE"""),5.75)</f>
        <v>5.75</v>
      </c>
      <c r="F232" s="17"/>
      <c r="G232" s="13">
        <f>IFERROR(__xludf.DUMMYFUNCTION("""COMPUTED_VALUE"""),0.035)</f>
        <v>0.035</v>
      </c>
    </row>
    <row r="233">
      <c r="A233" s="17" t="str">
        <f>IFERROR(__xludf.DUMMYFUNCTION("""COMPUTED_VALUE"""),"Olympus Property")</f>
        <v>Olympus Property</v>
      </c>
      <c r="B233" s="17" t="str">
        <f>IFERROR(__xludf.DUMMYFUNCTION("""COMPUTED_VALUE"""),"Elevation")</f>
        <v>Elevation</v>
      </c>
      <c r="C233" s="17" t="str">
        <f>IFERROR(__xludf.DUMMYFUNCTION("""COMPUTED_VALUE"""),"Chandler, AZ")</f>
        <v>Chandler, AZ</v>
      </c>
      <c r="D233" s="17" t="str">
        <f>IFERROR(__xludf.DUMMYFUNCTION("""COMPUTED_VALUE"""),"Multifamily")</f>
        <v>Multifamily</v>
      </c>
      <c r="E233" s="17">
        <f>IFERROR(__xludf.DUMMYFUNCTION("""COMPUTED_VALUE"""),5.83)</f>
        <v>5.83</v>
      </c>
      <c r="F233" s="17"/>
      <c r="G233" s="13">
        <f>IFERROR(__xludf.DUMMYFUNCTION("""COMPUTED_VALUE"""),0.2097)</f>
        <v>0.2097</v>
      </c>
    </row>
    <row r="234">
      <c r="A234" s="17" t="str">
        <f>IFERROR(__xludf.DUMMYFUNCTION("""COMPUTED_VALUE"""),"Olympus Property")</f>
        <v>Olympus Property</v>
      </c>
      <c r="B234" s="17" t="str">
        <f>IFERROR(__xludf.DUMMYFUNCTION("""COMPUTED_VALUE"""),"Olympus on Broadway")</f>
        <v>Olympus on Broadway</v>
      </c>
      <c r="C234" s="17" t="str">
        <f>IFERROR(__xludf.DUMMYFUNCTION("""COMPUTED_VALUE"""),"Carrollton, TX")</f>
        <v>Carrollton, TX</v>
      </c>
      <c r="D234" s="17" t="str">
        <f>IFERROR(__xludf.DUMMYFUNCTION("""COMPUTED_VALUE"""),"Multifamily")</f>
        <v>Multifamily</v>
      </c>
      <c r="E234" s="17">
        <f>IFERROR(__xludf.DUMMYFUNCTION("""COMPUTED_VALUE"""),2.58)</f>
        <v>2.58</v>
      </c>
      <c r="F234" s="17"/>
      <c r="G234" s="13">
        <f>IFERROR(__xludf.DUMMYFUNCTION("""COMPUTED_VALUE"""),0.3059)</f>
        <v>0.3059</v>
      </c>
    </row>
    <row r="235">
      <c r="A235" s="17" t="str">
        <f>IFERROR(__xludf.DUMMYFUNCTION("""COMPUTED_VALUE"""),"Olympus Property")</f>
        <v>Olympus Property</v>
      </c>
      <c r="B235" s="17" t="str">
        <f>IFERROR(__xludf.DUMMYFUNCTION("""COMPUTED_VALUE"""),"The Ranch at Shadow Lake")</f>
        <v>The Ranch at Shadow Lake</v>
      </c>
      <c r="C235" s="17" t="str">
        <f>IFERROR(__xludf.DUMMYFUNCTION("""COMPUTED_VALUE"""),"Houston, TX")</f>
        <v>Houston, TX</v>
      </c>
      <c r="D235" s="17" t="str">
        <f>IFERROR(__xludf.DUMMYFUNCTION("""COMPUTED_VALUE"""),"Multifamily")</f>
        <v>Multifamily</v>
      </c>
      <c r="E235" s="17">
        <f>IFERROR(__xludf.DUMMYFUNCTION("""COMPUTED_VALUE"""),6.59)</f>
        <v>6.59</v>
      </c>
      <c r="F235" s="17"/>
      <c r="G235" s="13">
        <f>IFERROR(__xludf.DUMMYFUNCTION("""COMPUTED_VALUE"""),0.1736)</f>
        <v>0.1736</v>
      </c>
    </row>
    <row r="236">
      <c r="A236" s="17" t="str">
        <f>IFERROR(__xludf.DUMMYFUNCTION("""COMPUTED_VALUE"""),"Olympus Property")</f>
        <v>Olympus Property</v>
      </c>
      <c r="B236" s="17" t="str">
        <f>IFERROR(__xludf.DUMMYFUNCTION("""COMPUTED_VALUE"""),"Broadstone Solaire")</f>
        <v>Broadstone Solaire</v>
      </c>
      <c r="C236" s="17" t="str">
        <f>IFERROR(__xludf.DUMMYFUNCTION("""COMPUTED_VALUE"""),"Albuquerque, NM")</f>
        <v>Albuquerque, NM</v>
      </c>
      <c r="D236" s="17" t="str">
        <f>IFERROR(__xludf.DUMMYFUNCTION("""COMPUTED_VALUE"""),"Multifamily")</f>
        <v>Multifamily</v>
      </c>
      <c r="E236" s="17">
        <f>IFERROR(__xludf.DUMMYFUNCTION("""COMPUTED_VALUE"""),4.33)</f>
        <v>4.33</v>
      </c>
      <c r="F236" s="17"/>
      <c r="G236" s="13">
        <f>IFERROR(__xludf.DUMMYFUNCTION("""COMPUTED_VALUE"""),0.4364)</f>
        <v>0.4364</v>
      </c>
    </row>
    <row r="237">
      <c r="A237" s="17" t="str">
        <f>IFERROR(__xludf.DUMMYFUNCTION("""COMPUTED_VALUE"""),"Olympus Property")</f>
        <v>Olympus Property</v>
      </c>
      <c r="B237" s="17" t="str">
        <f>IFERROR(__xludf.DUMMYFUNCTION("""COMPUTED_VALUE"""),"Vintage Station North")</f>
        <v>Vintage Station North</v>
      </c>
      <c r="C237" s="17" t="str">
        <f>IFERROR(__xludf.DUMMYFUNCTION("""COMPUTED_VALUE"""),"Mount Juliet, TN")</f>
        <v>Mount Juliet, TN</v>
      </c>
      <c r="D237" s="17" t="str">
        <f>IFERROR(__xludf.DUMMYFUNCTION("""COMPUTED_VALUE"""),"Multifamily")</f>
        <v>Multifamily</v>
      </c>
      <c r="E237" s="17">
        <f>IFERROR(__xludf.DUMMYFUNCTION("""COMPUTED_VALUE"""),3.59)</f>
        <v>3.59</v>
      </c>
      <c r="F237" s="17"/>
      <c r="G237" s="13">
        <f>IFERROR(__xludf.DUMMYFUNCTION("""COMPUTED_VALUE"""),0.6622)</f>
        <v>0.6622</v>
      </c>
    </row>
    <row r="238">
      <c r="A238" s="17" t="str">
        <f>IFERROR(__xludf.DUMMYFUNCTION("""COMPUTED_VALUE"""),"Olympus Property")</f>
        <v>Olympus Property</v>
      </c>
      <c r="B238" s="17" t="str">
        <f>IFERROR(__xludf.DUMMYFUNCTION("""COMPUTED_VALUE"""),"Echo at Katy Ranch")</f>
        <v>Echo at Katy Ranch</v>
      </c>
      <c r="C238" s="17" t="str">
        <f>IFERROR(__xludf.DUMMYFUNCTION("""COMPUTED_VALUE"""),"Katy, TX")</f>
        <v>Katy, TX</v>
      </c>
      <c r="D238" s="17" t="str">
        <f>IFERROR(__xludf.DUMMYFUNCTION("""COMPUTED_VALUE"""),"Multifamily")</f>
        <v>Multifamily</v>
      </c>
      <c r="E238" s="17">
        <f>IFERROR(__xludf.DUMMYFUNCTION("""COMPUTED_VALUE"""),3.41)</f>
        <v>3.41</v>
      </c>
      <c r="F238" s="17"/>
      <c r="G238" s="13">
        <f>IFERROR(__xludf.DUMMYFUNCTION("""COMPUTED_VALUE"""),0.1941)</f>
        <v>0.1941</v>
      </c>
    </row>
    <row r="239">
      <c r="A239" s="17" t="str">
        <f>IFERROR(__xludf.DUMMYFUNCTION("""COMPUTED_VALUE"""),"Olympus Property")</f>
        <v>Olympus Property</v>
      </c>
      <c r="B239" s="17" t="str">
        <f>IFERROR(__xludf.DUMMYFUNCTION("""COMPUTED_VALUE"""),"The Mosaic")</f>
        <v>The Mosaic</v>
      </c>
      <c r="C239" s="17" t="str">
        <f>IFERROR(__xludf.DUMMYFUNCTION("""COMPUTED_VALUE"""),"Dallas, TX")</f>
        <v>Dallas, TX</v>
      </c>
      <c r="D239" s="17" t="str">
        <f>IFERROR(__xludf.DUMMYFUNCTION("""COMPUTED_VALUE"""),"Multifamily")</f>
        <v>Multifamily</v>
      </c>
      <c r="E239" s="17">
        <f>IFERROR(__xludf.DUMMYFUNCTION("""COMPUTED_VALUE"""),7.66)</f>
        <v>7.66</v>
      </c>
      <c r="F239" s="17"/>
      <c r="G239" s="13">
        <f>IFERROR(__xludf.DUMMYFUNCTION("""COMPUTED_VALUE"""),0.1755)</f>
        <v>0.1755</v>
      </c>
    </row>
    <row r="240">
      <c r="A240" s="17" t="str">
        <f>IFERROR(__xludf.DUMMYFUNCTION("""COMPUTED_VALUE"""),"Olympus Property")</f>
        <v>Olympus Property</v>
      </c>
      <c r="B240" s="17" t="str">
        <f>IFERROR(__xludf.DUMMYFUNCTION("""COMPUTED_VALUE"""),"Fusion")</f>
        <v>Fusion</v>
      </c>
      <c r="C240" s="17" t="str">
        <f>IFERROR(__xludf.DUMMYFUNCTION("""COMPUTED_VALUE"""),"Irvine, CA")</f>
        <v>Irvine, CA</v>
      </c>
      <c r="D240" s="17" t="str">
        <f>IFERROR(__xludf.DUMMYFUNCTION("""COMPUTED_VALUE"""),"Multifamily")</f>
        <v>Multifamily</v>
      </c>
      <c r="E240" s="17">
        <f>IFERROR(__xludf.DUMMYFUNCTION("""COMPUTED_VALUE"""),3.92)</f>
        <v>3.92</v>
      </c>
      <c r="F240" s="17"/>
      <c r="G240" s="13">
        <f>IFERROR(__xludf.DUMMYFUNCTION("""COMPUTED_VALUE"""),0.1113)</f>
        <v>0.1113</v>
      </c>
    </row>
    <row r="241">
      <c r="A241" s="17" t="str">
        <f>IFERROR(__xludf.DUMMYFUNCTION("""COMPUTED_VALUE"""),"Olympus Property")</f>
        <v>Olympus Property</v>
      </c>
      <c r="B241" s="17" t="str">
        <f>IFERROR(__xludf.DUMMYFUNCTION("""COMPUTED_VALUE"""),"Olympus Waterford")</f>
        <v>Olympus Waterford</v>
      </c>
      <c r="C241" s="17" t="str">
        <f>IFERROR(__xludf.DUMMYFUNCTION("""COMPUTED_VALUE"""),"Keller, TX")</f>
        <v>Keller, TX</v>
      </c>
      <c r="D241" s="17" t="str">
        <f>IFERROR(__xludf.DUMMYFUNCTION("""COMPUTED_VALUE"""),"Multifamily")</f>
        <v>Multifamily</v>
      </c>
      <c r="E241" s="17">
        <f>IFERROR(__xludf.DUMMYFUNCTION("""COMPUTED_VALUE"""),6.0)</f>
        <v>6</v>
      </c>
      <c r="F241" s="17"/>
      <c r="G241" s="13">
        <f>IFERROR(__xludf.DUMMYFUNCTION("""COMPUTED_VALUE"""),0.1642)</f>
        <v>0.1642</v>
      </c>
    </row>
    <row r="242">
      <c r="A242" s="17" t="str">
        <f>IFERROR(__xludf.DUMMYFUNCTION("""COMPUTED_VALUE"""),"Olympus Property")</f>
        <v>Olympus Property</v>
      </c>
      <c r="B242" s="17" t="str">
        <f>IFERROR(__xludf.DUMMYFUNCTION("""COMPUTED_VALUE"""),"Olympus Stone Glen")</f>
        <v>Olympus Stone Glen</v>
      </c>
      <c r="C242" s="17" t="str">
        <f>IFERROR(__xludf.DUMMYFUNCTION("""COMPUTED_VALUE"""),"Keller, TX")</f>
        <v>Keller, TX</v>
      </c>
      <c r="D242" s="17" t="str">
        <f>IFERROR(__xludf.DUMMYFUNCTION("""COMPUTED_VALUE"""),"Multifamily")</f>
        <v>Multifamily</v>
      </c>
      <c r="E242" s="17">
        <f>IFERROR(__xludf.DUMMYFUNCTION("""COMPUTED_VALUE"""),5.91)</f>
        <v>5.91</v>
      </c>
      <c r="F242" s="17"/>
      <c r="G242" s="13">
        <f>IFERROR(__xludf.DUMMYFUNCTION("""COMPUTED_VALUE"""),0.1642)</f>
        <v>0.1642</v>
      </c>
    </row>
    <row r="243">
      <c r="A243" s="17" t="str">
        <f>IFERROR(__xludf.DUMMYFUNCTION("""COMPUTED_VALUE"""),"Olympus Property")</f>
        <v>Olympus Property</v>
      </c>
      <c r="B243" s="17" t="str">
        <f>IFERROR(__xludf.DUMMYFUNCTION("""COMPUTED_VALUE"""),"Olympus Town Center")</f>
        <v>Olympus Town Center</v>
      </c>
      <c r="C243" s="17" t="str">
        <f>IFERROR(__xludf.DUMMYFUNCTION("""COMPUTED_VALUE"""),"Keller, TX")</f>
        <v>Keller, TX</v>
      </c>
      <c r="D243" s="17" t="str">
        <f>IFERROR(__xludf.DUMMYFUNCTION("""COMPUTED_VALUE"""),"Multifamily")</f>
        <v>Multifamily</v>
      </c>
      <c r="E243" s="17">
        <f>IFERROR(__xludf.DUMMYFUNCTION("""COMPUTED_VALUE"""),5.91)</f>
        <v>5.91</v>
      </c>
      <c r="F243" s="17"/>
      <c r="G243" s="13">
        <f>IFERROR(__xludf.DUMMYFUNCTION("""COMPUTED_VALUE"""),0.1642)</f>
        <v>0.1642</v>
      </c>
    </row>
    <row r="244">
      <c r="A244" s="17" t="str">
        <f>IFERROR(__xludf.DUMMYFUNCTION("""COMPUTED_VALUE"""),"Olympus Property")</f>
        <v>Olympus Property</v>
      </c>
      <c r="B244" s="17" t="str">
        <f>IFERROR(__xludf.DUMMYFUNCTION("""COMPUTED_VALUE"""),"Olympus Carrington")</f>
        <v>Olympus Carrington</v>
      </c>
      <c r="C244" s="17" t="str">
        <f>IFERROR(__xludf.DUMMYFUNCTION("""COMPUTED_VALUE"""),"Pooler, GA")</f>
        <v>Pooler, GA</v>
      </c>
      <c r="D244" s="17" t="str">
        <f>IFERROR(__xludf.DUMMYFUNCTION("""COMPUTED_VALUE"""),"Multifamily")</f>
        <v>Multifamily</v>
      </c>
      <c r="E244" s="17">
        <f>IFERROR(__xludf.DUMMYFUNCTION("""COMPUTED_VALUE"""),6.17)</f>
        <v>6.17</v>
      </c>
      <c r="F244" s="17"/>
      <c r="G244" s="13">
        <f>IFERROR(__xludf.DUMMYFUNCTION("""COMPUTED_VALUE"""),0.1803)</f>
        <v>0.1803</v>
      </c>
    </row>
    <row r="245">
      <c r="A245" s="17" t="str">
        <f>IFERROR(__xludf.DUMMYFUNCTION("""COMPUTED_VALUE"""),"Olympus Property")</f>
        <v>Olympus Property</v>
      </c>
      <c r="B245" s="17" t="str">
        <f>IFERROR(__xludf.DUMMYFUNCTION("""COMPUTED_VALUE"""),"Olympus Hillwood")</f>
        <v>Olympus Hillwood</v>
      </c>
      <c r="C245" s="17" t="str">
        <f>IFERROR(__xludf.DUMMYFUNCTION("""COMPUTED_VALUE"""),"Murfreesboro, TN")</f>
        <v>Murfreesboro, TN</v>
      </c>
      <c r="D245" s="17" t="str">
        <f>IFERROR(__xludf.DUMMYFUNCTION("""COMPUTED_VALUE"""),"Multifamily")</f>
        <v>Multifamily</v>
      </c>
      <c r="E245" s="17">
        <f>IFERROR(__xludf.DUMMYFUNCTION("""COMPUTED_VALUE"""),7.33)</f>
        <v>7.33</v>
      </c>
      <c r="F245" s="17"/>
      <c r="G245" s="13">
        <f>IFERROR(__xludf.DUMMYFUNCTION("""COMPUTED_VALUE"""),0.1941)</f>
        <v>0.1941</v>
      </c>
    </row>
    <row r="246">
      <c r="A246" s="17" t="str">
        <f>IFERROR(__xludf.DUMMYFUNCTION("""COMPUTED_VALUE"""),"Olympus Property")</f>
        <v>Olympus Property</v>
      </c>
      <c r="B246" s="17" t="str">
        <f>IFERROR(__xludf.DUMMYFUNCTION("""COMPUTED_VALUE"""),"Wimberly at Deerwood")</f>
        <v>Wimberly at Deerwood</v>
      </c>
      <c r="C246" s="17" t="str">
        <f>IFERROR(__xludf.DUMMYFUNCTION("""COMPUTED_VALUE"""),"Jacksonville, FL")</f>
        <v>Jacksonville, FL</v>
      </c>
      <c r="D246" s="17" t="str">
        <f>IFERROR(__xludf.DUMMYFUNCTION("""COMPUTED_VALUE"""),"Multifamily")</f>
        <v>Multifamily</v>
      </c>
      <c r="E246" s="17">
        <f>IFERROR(__xludf.DUMMYFUNCTION("""COMPUTED_VALUE"""),7.92)</f>
        <v>7.92</v>
      </c>
      <c r="F246" s="17"/>
      <c r="G246" s="13">
        <f>IFERROR(__xludf.DUMMYFUNCTION("""COMPUTED_VALUE"""),0.1415)</f>
        <v>0.1415</v>
      </c>
    </row>
    <row r="247">
      <c r="A247" s="17" t="str">
        <f>IFERROR(__xludf.DUMMYFUNCTION("""COMPUTED_VALUE"""),"Olympus Property")</f>
        <v>Olympus Property</v>
      </c>
      <c r="B247" s="17" t="str">
        <f>IFERROR(__xludf.DUMMYFUNCTION("""COMPUTED_VALUE"""),"Olympus Fenwick")</f>
        <v>Olympus Fenwick</v>
      </c>
      <c r="C247" s="17" t="str">
        <f>IFERROR(__xludf.DUMMYFUNCTION("""COMPUTED_VALUE"""),"Savannah, GA")</f>
        <v>Savannah, GA</v>
      </c>
      <c r="D247" s="17" t="str">
        <f>IFERROR(__xludf.DUMMYFUNCTION("""COMPUTED_VALUE"""),"Multifamily")</f>
        <v>Multifamily</v>
      </c>
      <c r="E247" s="17">
        <f>IFERROR(__xludf.DUMMYFUNCTION("""COMPUTED_VALUE"""),6.83)</f>
        <v>6.83</v>
      </c>
      <c r="F247" s="17"/>
      <c r="G247" s="13">
        <f>IFERROR(__xludf.DUMMYFUNCTION("""COMPUTED_VALUE"""),0.1622)</f>
        <v>0.1622</v>
      </c>
    </row>
    <row r="248">
      <c r="A248" s="17" t="str">
        <f>IFERROR(__xludf.DUMMYFUNCTION("""COMPUTED_VALUE"""),"Olympus Property")</f>
        <v>Olympus Property</v>
      </c>
      <c r="B248" s="17" t="str">
        <f>IFERROR(__xludf.DUMMYFUNCTION("""COMPUTED_VALUE"""),"Olympus at Team Ranch")</f>
        <v>Olympus at Team Ranch</v>
      </c>
      <c r="C248" s="17" t="str">
        <f>IFERROR(__xludf.DUMMYFUNCTION("""COMPUTED_VALUE"""),"Benbrook, TX")</f>
        <v>Benbrook, TX</v>
      </c>
      <c r="D248" s="17" t="str">
        <f>IFERROR(__xludf.DUMMYFUNCTION("""COMPUTED_VALUE"""),"Multifamily")</f>
        <v>Multifamily</v>
      </c>
      <c r="E248" s="17">
        <f>IFERROR(__xludf.DUMMYFUNCTION("""COMPUTED_VALUE"""),4.5)</f>
        <v>4.5</v>
      </c>
      <c r="F248" s="17"/>
      <c r="G248" s="13">
        <f>IFERROR(__xludf.DUMMYFUNCTION("""COMPUTED_VALUE"""),0.1376)</f>
        <v>0.1376</v>
      </c>
    </row>
    <row r="249">
      <c r="A249" s="17" t="str">
        <f>IFERROR(__xludf.DUMMYFUNCTION("""COMPUTED_VALUE"""),"Olympus Property")</f>
        <v>Olympus Property</v>
      </c>
      <c r="B249" s="17" t="str">
        <f>IFERROR(__xludf.DUMMYFUNCTION("""COMPUTED_VALUE"""),"Elevation at the Village")</f>
        <v>Elevation at the Village</v>
      </c>
      <c r="C249" s="17" t="str">
        <f>IFERROR(__xludf.DUMMYFUNCTION("""COMPUTED_VALUE"""),"Gilbert, AZ")</f>
        <v>Gilbert, AZ</v>
      </c>
      <c r="D249" s="17" t="str">
        <f>IFERROR(__xludf.DUMMYFUNCTION("""COMPUTED_VALUE"""),"Multifamily")</f>
        <v>Multifamily</v>
      </c>
      <c r="E249" s="17">
        <f>IFERROR(__xludf.DUMMYFUNCTION("""COMPUTED_VALUE"""),2.83)</f>
        <v>2.83</v>
      </c>
      <c r="F249" s="17"/>
      <c r="G249" s="13">
        <f>IFERROR(__xludf.DUMMYFUNCTION("""COMPUTED_VALUE"""),0.1886)</f>
        <v>0.1886</v>
      </c>
    </row>
    <row r="250">
      <c r="A250" s="17" t="str">
        <f>IFERROR(__xludf.DUMMYFUNCTION("""COMPUTED_VALUE"""),"Olympus Property")</f>
        <v>Olympus Property</v>
      </c>
      <c r="B250" s="17" t="str">
        <f>IFERROR(__xludf.DUMMYFUNCTION("""COMPUTED_VALUE"""),"Mirador at River City")</f>
        <v>Mirador at River City</v>
      </c>
      <c r="C250" s="17" t="str">
        <f>IFERROR(__xludf.DUMMYFUNCTION("""COMPUTED_VALUE"""),"Jacksonville, FL")</f>
        <v>Jacksonville, FL</v>
      </c>
      <c r="D250" s="17" t="str">
        <f>IFERROR(__xludf.DUMMYFUNCTION("""COMPUTED_VALUE"""),"Multifamily")</f>
        <v>Multifamily</v>
      </c>
      <c r="E250" s="17">
        <f>IFERROR(__xludf.DUMMYFUNCTION("""COMPUTED_VALUE"""),10.09)</f>
        <v>10.09</v>
      </c>
      <c r="F250" s="17"/>
      <c r="G250" s="13">
        <f>IFERROR(__xludf.DUMMYFUNCTION("""COMPUTED_VALUE"""),0.1345)</f>
        <v>0.1345</v>
      </c>
    </row>
    <row r="251">
      <c r="A251" s="17" t="str">
        <f>IFERROR(__xludf.DUMMYFUNCTION("""COMPUTED_VALUE"""),"Olympus Property")</f>
        <v>Olympus Property</v>
      </c>
      <c r="B251" s="17" t="str">
        <f>IFERROR(__xludf.DUMMYFUNCTION("""COMPUTED_VALUE"""),"Stovall at River City")</f>
        <v>Stovall at River City</v>
      </c>
      <c r="C251" s="17" t="str">
        <f>IFERROR(__xludf.DUMMYFUNCTION("""COMPUTED_VALUE"""),"Jacksonville, FL")</f>
        <v>Jacksonville, FL</v>
      </c>
      <c r="D251" s="17" t="str">
        <f>IFERROR(__xludf.DUMMYFUNCTION("""COMPUTED_VALUE"""),"Multifamily")</f>
        <v>Multifamily</v>
      </c>
      <c r="E251" s="17">
        <f>IFERROR(__xludf.DUMMYFUNCTION("""COMPUTED_VALUE"""),10.09)</f>
        <v>10.09</v>
      </c>
      <c r="F251" s="17"/>
      <c r="G251" s="13">
        <f>IFERROR(__xludf.DUMMYFUNCTION("""COMPUTED_VALUE"""),0.1345)</f>
        <v>0.1345</v>
      </c>
    </row>
    <row r="252">
      <c r="A252" s="17" t="str">
        <f>IFERROR(__xludf.DUMMYFUNCTION("""COMPUTED_VALUE"""),"Olympus Property")</f>
        <v>Olympus Property</v>
      </c>
      <c r="B252" s="17" t="str">
        <f>IFERROR(__xludf.DUMMYFUNCTION("""COMPUTED_VALUE"""),"Redstone at SanTan Village")</f>
        <v>Redstone at SanTan Village</v>
      </c>
      <c r="C252" s="17" t="str">
        <f>IFERROR(__xludf.DUMMYFUNCTION("""COMPUTED_VALUE"""),"Gilbert, AZ")</f>
        <v>Gilbert, AZ</v>
      </c>
      <c r="D252" s="17" t="str">
        <f>IFERROR(__xludf.DUMMYFUNCTION("""COMPUTED_VALUE"""),"Multifamily")</f>
        <v>Multifamily</v>
      </c>
      <c r="E252" s="17">
        <f>IFERROR(__xludf.DUMMYFUNCTION("""COMPUTED_VALUE"""),7.83)</f>
        <v>7.83</v>
      </c>
      <c r="F252" s="17"/>
      <c r="G252" s="13">
        <f>IFERROR(__xludf.DUMMYFUNCTION("""COMPUTED_VALUE"""),0.136)</f>
        <v>0.136</v>
      </c>
    </row>
    <row r="253">
      <c r="A253" s="17" t="str">
        <f>IFERROR(__xludf.DUMMYFUNCTION("""COMPUTED_VALUE"""),"Olympus Property")</f>
        <v>Olympus Property</v>
      </c>
      <c r="B253" s="17" t="str">
        <f>IFERROR(__xludf.DUMMYFUNCTION("""COMPUTED_VALUE"""),"Vistara at SanTan Village")</f>
        <v>Vistara at SanTan Village</v>
      </c>
      <c r="C253" s="17" t="str">
        <f>IFERROR(__xludf.DUMMYFUNCTION("""COMPUTED_VALUE"""),"Gilbert, AZ")</f>
        <v>Gilbert, AZ</v>
      </c>
      <c r="D253" s="17" t="str">
        <f>IFERROR(__xludf.DUMMYFUNCTION("""COMPUTED_VALUE"""),"Multifamily")</f>
        <v>Multifamily</v>
      </c>
      <c r="E253" s="17">
        <f>IFERROR(__xludf.DUMMYFUNCTION("""COMPUTED_VALUE"""),7.92)</f>
        <v>7.92</v>
      </c>
      <c r="F253" s="17"/>
      <c r="G253" s="13">
        <f>IFERROR(__xludf.DUMMYFUNCTION("""COMPUTED_VALUE"""),0.136)</f>
        <v>0.136</v>
      </c>
    </row>
    <row r="254">
      <c r="A254" s="17" t="str">
        <f>IFERROR(__xludf.DUMMYFUNCTION("""COMPUTED_VALUE"""),"Four Springs Capital")</f>
        <v>Four Springs Capital</v>
      </c>
      <c r="B254" s="17" t="str">
        <f>IFERROR(__xludf.DUMMYFUNCTION("""COMPUTED_VALUE"""),"Dollar General – Charlotte, NC")</f>
        <v>Dollar General – Charlotte, NC</v>
      </c>
      <c r="C254" s="17" t="str">
        <f>IFERROR(__xludf.DUMMYFUNCTION("""COMPUTED_VALUE"""),"Charlotte, NC")</f>
        <v>Charlotte, NC</v>
      </c>
      <c r="D254" s="17" t="str">
        <f>IFERROR(__xludf.DUMMYFUNCTION("""COMPUTED_VALUE"""),"Retail")</f>
        <v>Retail</v>
      </c>
      <c r="E254" s="17">
        <f>IFERROR(__xludf.DUMMYFUNCTION("""COMPUTED_VALUE"""),1.99)</f>
        <v>1.99</v>
      </c>
      <c r="F254" s="27">
        <f>IFERROR(__xludf.DUMMYFUNCTION("""COMPUTED_VALUE"""),1.15)</f>
        <v>1.15</v>
      </c>
      <c r="G254" s="13">
        <f>IFERROR(__xludf.DUMMYFUNCTION("""COMPUTED_VALUE"""),0.0775)</f>
        <v>0.0775</v>
      </c>
    </row>
    <row r="255">
      <c r="A255" s="17" t="str">
        <f>IFERROR(__xludf.DUMMYFUNCTION("""COMPUTED_VALUE"""),"Four Springs Capital")</f>
        <v>Four Springs Capital</v>
      </c>
      <c r="B255" s="17" t="str">
        <f>IFERROR(__xludf.DUMMYFUNCTION("""COMPUTED_VALUE"""),"Dollar General – Eden, NC")</f>
        <v>Dollar General – Eden, NC</v>
      </c>
      <c r="C255" s="17" t="str">
        <f>IFERROR(__xludf.DUMMYFUNCTION("""COMPUTED_VALUE"""),"Eden, NC")</f>
        <v>Eden, NC</v>
      </c>
      <c r="D255" s="17" t="str">
        <f>IFERROR(__xludf.DUMMYFUNCTION("""COMPUTED_VALUE"""),"Retail")</f>
        <v>Retail</v>
      </c>
      <c r="E255" s="17">
        <f>IFERROR(__xludf.DUMMYFUNCTION("""COMPUTED_VALUE"""),1.47)</f>
        <v>1.47</v>
      </c>
      <c r="F255" s="27">
        <f>IFERROR(__xludf.DUMMYFUNCTION("""COMPUTED_VALUE"""),1.18)</f>
        <v>1.18</v>
      </c>
      <c r="G255" s="13">
        <f>IFERROR(__xludf.DUMMYFUNCTION("""COMPUTED_VALUE"""),0.08)</f>
        <v>0.08</v>
      </c>
    </row>
    <row r="256">
      <c r="A256" s="17" t="str">
        <f>IFERROR(__xludf.DUMMYFUNCTION("""COMPUTED_VALUE"""),"Four Springs Capital")</f>
        <v>Four Springs Capital</v>
      </c>
      <c r="B256" s="17" t="str">
        <f>IFERROR(__xludf.DUMMYFUNCTION("""COMPUTED_VALUE"""),"Dollar General – Elizabeth City, NC")</f>
        <v>Dollar General – Elizabeth City, NC</v>
      </c>
      <c r="C256" s="17" t="str">
        <f>IFERROR(__xludf.DUMMYFUNCTION("""COMPUTED_VALUE"""),"Elizabeth City, NC")</f>
        <v>Elizabeth City, NC</v>
      </c>
      <c r="D256" s="17" t="str">
        <f>IFERROR(__xludf.DUMMYFUNCTION("""COMPUTED_VALUE"""),"Retail")</f>
        <v>Retail</v>
      </c>
      <c r="E256" s="17">
        <f>IFERROR(__xludf.DUMMYFUNCTION("""COMPUTED_VALUE"""),1.68)</f>
        <v>1.68</v>
      </c>
      <c r="F256" s="27">
        <f>IFERROR(__xludf.DUMMYFUNCTION("""COMPUTED_VALUE"""),1.13)</f>
        <v>1.13</v>
      </c>
      <c r="G256" s="13">
        <f>IFERROR(__xludf.DUMMYFUNCTION("""COMPUTED_VALUE"""),0.075)</f>
        <v>0.075</v>
      </c>
    </row>
    <row r="257">
      <c r="A257" s="17" t="str">
        <f>IFERROR(__xludf.DUMMYFUNCTION("""COMPUTED_VALUE"""),"Four Springs Capital")</f>
        <v>Four Springs Capital</v>
      </c>
      <c r="B257" s="17" t="str">
        <f>IFERROR(__xludf.DUMMYFUNCTION("""COMPUTED_VALUE"""),"Dollar General – Fort Braden, FL")</f>
        <v>Dollar General – Fort Braden, FL</v>
      </c>
      <c r="C257" s="17" t="str">
        <f>IFERROR(__xludf.DUMMYFUNCTION("""COMPUTED_VALUE"""),"Fort Braden, FL")</f>
        <v>Fort Braden, FL</v>
      </c>
      <c r="D257" s="17" t="str">
        <f>IFERROR(__xludf.DUMMYFUNCTION("""COMPUTED_VALUE"""),"Retail")</f>
        <v>Retail</v>
      </c>
      <c r="E257" s="17">
        <f>IFERROR(__xludf.DUMMYFUNCTION("""COMPUTED_VALUE"""),1.05)</f>
        <v>1.05</v>
      </c>
      <c r="F257" s="27">
        <f>IFERROR(__xludf.DUMMYFUNCTION("""COMPUTED_VALUE"""),1.07)</f>
        <v>1.07</v>
      </c>
      <c r="G257" s="13">
        <f>IFERROR(__xludf.DUMMYFUNCTION("""COMPUTED_VALUE"""),0.07)</f>
        <v>0.07</v>
      </c>
    </row>
    <row r="258">
      <c r="A258" s="17" t="str">
        <f>IFERROR(__xludf.DUMMYFUNCTION("""COMPUTED_VALUE"""),"Four Springs Capital")</f>
        <v>Four Springs Capital</v>
      </c>
      <c r="B258" s="17" t="str">
        <f>IFERROR(__xludf.DUMMYFUNCTION("""COMPUTED_VALUE"""),"Dollar General – Midway, GA")</f>
        <v>Dollar General – Midway, GA</v>
      </c>
      <c r="C258" s="17" t="str">
        <f>IFERROR(__xludf.DUMMYFUNCTION("""COMPUTED_VALUE"""),"Midway, GA")</f>
        <v>Midway, GA</v>
      </c>
      <c r="D258" s="17" t="str">
        <f>IFERROR(__xludf.DUMMYFUNCTION("""COMPUTED_VALUE"""),"Retail")</f>
        <v>Retail</v>
      </c>
      <c r="E258" s="17">
        <f>IFERROR(__xludf.DUMMYFUNCTION("""COMPUTED_VALUE"""),2.21)</f>
        <v>2.21</v>
      </c>
      <c r="F258" s="27">
        <f>IFERROR(__xludf.DUMMYFUNCTION("""COMPUTED_VALUE"""),1.17)</f>
        <v>1.17</v>
      </c>
      <c r="G258" s="13">
        <f>IFERROR(__xludf.DUMMYFUNCTION("""COMPUTED_VALUE"""),0.0775)</f>
        <v>0.0775</v>
      </c>
    </row>
    <row r="259">
      <c r="A259" s="17" t="str">
        <f>IFERROR(__xludf.DUMMYFUNCTION("""COMPUTED_VALUE"""),"Four Springs Capital")</f>
        <v>Four Springs Capital</v>
      </c>
      <c r="B259" s="17" t="str">
        <f>IFERROR(__xludf.DUMMYFUNCTION("""COMPUTED_VALUE"""),"Dollar General – Pensacola, FL")</f>
        <v>Dollar General – Pensacola, FL</v>
      </c>
      <c r="C259" s="17" t="str">
        <f>IFERROR(__xludf.DUMMYFUNCTION("""COMPUTED_VALUE"""),"Pensacola, FL")</f>
        <v>Pensacola, FL</v>
      </c>
      <c r="D259" s="17" t="str">
        <f>IFERROR(__xludf.DUMMYFUNCTION("""COMPUTED_VALUE"""),"Retail")</f>
        <v>Retail</v>
      </c>
      <c r="E259" s="17">
        <f>IFERROR(__xludf.DUMMYFUNCTION("""COMPUTED_VALUE"""),0.86)</f>
        <v>0.86</v>
      </c>
      <c r="F259" s="27">
        <f>IFERROR(__xludf.DUMMYFUNCTION("""COMPUTED_VALUE"""),1.06)</f>
        <v>1.06</v>
      </c>
      <c r="G259" s="13">
        <f>IFERROR(__xludf.DUMMYFUNCTION("""COMPUTED_VALUE"""),0.07)</f>
        <v>0.07</v>
      </c>
    </row>
    <row r="260">
      <c r="A260" s="17" t="str">
        <f>IFERROR(__xludf.DUMMYFUNCTION("""COMPUTED_VALUE"""),"Four Springs Capital")</f>
        <v>Four Springs Capital</v>
      </c>
      <c r="B260" s="17" t="str">
        <f>IFERROR(__xludf.DUMMYFUNCTION("""COMPUTED_VALUE"""),"Dollar General – Savannah, GA")</f>
        <v>Dollar General – Savannah, GA</v>
      </c>
      <c r="C260" s="17" t="str">
        <f>IFERROR(__xludf.DUMMYFUNCTION("""COMPUTED_VALUE"""),"Savannah, GA")</f>
        <v>Savannah, GA</v>
      </c>
      <c r="D260" s="17" t="str">
        <f>IFERROR(__xludf.DUMMYFUNCTION("""COMPUTED_VALUE"""),"Retail")</f>
        <v>Retail</v>
      </c>
      <c r="E260" s="17">
        <f>IFERROR(__xludf.DUMMYFUNCTION("""COMPUTED_VALUE"""),1.29)</f>
        <v>1.29</v>
      </c>
      <c r="F260" s="27">
        <f>IFERROR(__xludf.DUMMYFUNCTION("""COMPUTED_VALUE"""),1.09)</f>
        <v>1.09</v>
      </c>
      <c r="G260" s="13">
        <f>IFERROR(__xludf.DUMMYFUNCTION("""COMPUTED_VALUE"""),0.0726)</f>
        <v>0.0726</v>
      </c>
    </row>
    <row r="261">
      <c r="A261" s="17" t="str">
        <f>IFERROR(__xludf.DUMMYFUNCTION("""COMPUTED_VALUE"""),"Four Springs Capital")</f>
        <v>Four Springs Capital</v>
      </c>
      <c r="B261" s="17" t="str">
        <f>IFERROR(__xludf.DUMMYFUNCTION("""COMPUTED_VALUE"""),"Dollar General – Winter Haven, FL")</f>
        <v>Dollar General – Winter Haven, FL</v>
      </c>
      <c r="C261" s="17" t="str">
        <f>IFERROR(__xludf.DUMMYFUNCTION("""COMPUTED_VALUE"""),"Winter Haven, FL")</f>
        <v>Winter Haven, FL</v>
      </c>
      <c r="D261" s="17" t="str">
        <f>IFERROR(__xludf.DUMMYFUNCTION("""COMPUTED_VALUE"""),"Retail")</f>
        <v>Retail</v>
      </c>
      <c r="E261" s="17">
        <f>IFERROR(__xludf.DUMMYFUNCTION("""COMPUTED_VALUE"""),1.84)</f>
        <v>1.84</v>
      </c>
      <c r="F261" s="27">
        <f>IFERROR(__xludf.DUMMYFUNCTION("""COMPUTED_VALUE"""),1.14)</f>
        <v>1.14</v>
      </c>
      <c r="G261" s="13">
        <f>IFERROR(__xludf.DUMMYFUNCTION("""COMPUTED_VALUE"""),0.077)</f>
        <v>0.077</v>
      </c>
    </row>
    <row r="262">
      <c r="A262" s="17" t="str">
        <f>IFERROR(__xludf.DUMMYFUNCTION("""COMPUTED_VALUE"""),"Bluerock")</f>
        <v>Bluerock</v>
      </c>
      <c r="B262" s="17" t="str">
        <f>IFERROR(__xludf.DUMMYFUNCTION("""COMPUTED_VALUE"""),"Domain at the One Forty")</f>
        <v>Domain at the One Forty</v>
      </c>
      <c r="C262" s="17" t="str">
        <f>IFERROR(__xludf.DUMMYFUNCTION("""COMPUTED_VALUE"""),"Garland, TX")</f>
        <v>Garland, TX</v>
      </c>
      <c r="D262" s="17" t="str">
        <f>IFERROR(__xludf.DUMMYFUNCTION("""COMPUTED_VALUE"""),"Multifamily")</f>
        <v>Multifamily</v>
      </c>
      <c r="E262" s="17">
        <f>IFERROR(__xludf.DUMMYFUNCTION("""COMPUTED_VALUE"""),6.42)</f>
        <v>6.42</v>
      </c>
      <c r="F262" s="27">
        <f>IFERROR(__xludf.DUMMYFUNCTION("""COMPUTED_VALUE"""),2.0)</f>
        <v>2</v>
      </c>
      <c r="G262" s="13">
        <f>IFERROR(__xludf.DUMMYFUNCTION("""COMPUTED_VALUE"""),0.1289)</f>
        <v>0.1289</v>
      </c>
    </row>
    <row r="263">
      <c r="A263" s="17" t="str">
        <f>IFERROR(__xludf.DUMMYFUNCTION("""COMPUTED_VALUE"""),"Peachtree Group")</f>
        <v>Peachtree Group</v>
      </c>
      <c r="B263" s="17" t="str">
        <f>IFERROR(__xludf.DUMMYFUNCTION("""COMPUTED_VALUE"""),"DoubleTree – Biloxi, MS")</f>
        <v>DoubleTree – Biloxi, MS</v>
      </c>
      <c r="C263" s="17" t="str">
        <f>IFERROR(__xludf.DUMMYFUNCTION("""COMPUTED_VALUE"""),"Biloxi, MS")</f>
        <v>Biloxi, MS</v>
      </c>
      <c r="D263" s="17" t="str">
        <f>IFERROR(__xludf.DUMMYFUNCTION("""COMPUTED_VALUE"""),"Hotel")</f>
        <v>Hotel</v>
      </c>
      <c r="E263" s="17">
        <f>IFERROR(__xludf.DUMMYFUNCTION("""COMPUTED_VALUE"""),8.11)</f>
        <v>8.11</v>
      </c>
      <c r="F263" s="27">
        <f>IFERROR(__xludf.DUMMYFUNCTION("""COMPUTED_VALUE"""),2.19)</f>
        <v>2.19</v>
      </c>
      <c r="G263" s="13">
        <f>IFERROR(__xludf.DUMMYFUNCTION("""COMPUTED_VALUE"""),0.111)</f>
        <v>0.111</v>
      </c>
    </row>
    <row r="264">
      <c r="A264" s="17" t="str">
        <f>IFERROR(__xludf.DUMMYFUNCTION("""COMPUTED_VALUE"""),"Syndicated Equities")</f>
        <v>Syndicated Equities</v>
      </c>
      <c r="B264" s="17" t="str">
        <f>IFERROR(__xludf.DUMMYFUNCTION("""COMPUTED_VALUE"""),"DoubleTree &amp; Embassy Suites")</f>
        <v>DoubleTree &amp; Embassy Suites</v>
      </c>
      <c r="C264" s="17" t="str">
        <f>IFERROR(__xludf.DUMMYFUNCTION("""COMPUTED_VALUE"""),"Rosemont, IL")</f>
        <v>Rosemont, IL</v>
      </c>
      <c r="D264" s="17"/>
      <c r="E264" s="17">
        <f>IFERROR(__xludf.DUMMYFUNCTION("""COMPUTED_VALUE"""),1.99)</f>
        <v>1.99</v>
      </c>
      <c r="F264" s="27">
        <f>IFERROR(__xludf.DUMMYFUNCTION("""COMPUTED_VALUE"""),0.32)</f>
        <v>0.32</v>
      </c>
      <c r="G264" s="13">
        <f>IFERROR(__xludf.DUMMYFUNCTION("""COMPUTED_VALUE"""),-0.4363)</f>
        <v>-0.4363</v>
      </c>
    </row>
    <row r="265">
      <c r="A265" s="17" t="str">
        <f>IFERROR(__xludf.DUMMYFUNCTION("""COMPUTED_VALUE"""),"Inland")</f>
        <v>Inland</v>
      </c>
      <c r="B265" s="17" t="str">
        <f>IFERROR(__xludf.DUMMYFUNCTION("""COMPUTED_VALUE"""),"Downers Grove Retail DST")</f>
        <v>Downers Grove Retail DST</v>
      </c>
      <c r="C265" s="17"/>
      <c r="D265" s="17" t="str">
        <f>IFERROR(__xludf.DUMMYFUNCTION("""COMPUTED_VALUE"""),"Retail")</f>
        <v>Retail</v>
      </c>
      <c r="E265" s="17">
        <f>IFERROR(__xludf.DUMMYFUNCTION("""COMPUTED_VALUE"""),11.0)</f>
        <v>11</v>
      </c>
      <c r="F265" s="27">
        <f>IFERROR(__xludf.DUMMYFUNCTION("""COMPUTED_VALUE"""),1.75)</f>
        <v>1.75</v>
      </c>
      <c r="G265" s="13">
        <f>IFERROR(__xludf.DUMMYFUNCTION("""COMPUTED_VALUE"""),0.0627)</f>
        <v>0.0627</v>
      </c>
    </row>
    <row r="266">
      <c r="A266" s="17" t="str">
        <f>IFERROR(__xludf.DUMMYFUNCTION("""COMPUTED_VALUE"""),"Inland")</f>
        <v>Inland</v>
      </c>
      <c r="B266" s="17" t="str">
        <f>IFERROR(__xludf.DUMMYFUNCTION("""COMPUTED_VALUE"""),"East Coast Wholesale DST")</f>
        <v>East Coast Wholesale DST</v>
      </c>
      <c r="C266" s="17"/>
      <c r="D266" s="17" t="str">
        <f>IFERROR(__xludf.DUMMYFUNCTION("""COMPUTED_VALUE"""),"Retail")</f>
        <v>Retail</v>
      </c>
      <c r="E266" s="17">
        <f>IFERROR(__xludf.DUMMYFUNCTION("""COMPUTED_VALUE"""),5.75)</f>
        <v>5.75</v>
      </c>
      <c r="F266" s="27">
        <f>IFERROR(__xludf.DUMMYFUNCTION("""COMPUTED_VALUE"""),1.56)</f>
        <v>1.56</v>
      </c>
      <c r="G266" s="13">
        <f>IFERROR(__xludf.DUMMYFUNCTION("""COMPUTED_VALUE"""),0.0946)</f>
        <v>0.0946</v>
      </c>
    </row>
    <row r="267">
      <c r="A267" s="17" t="str">
        <f>IFERROR(__xludf.DUMMYFUNCTION("""COMPUTED_VALUE"""),"Walton Global Holdings")</f>
        <v>Walton Global Holdings</v>
      </c>
      <c r="B267" s="17" t="str">
        <f>IFERROR(__xludf.DUMMYFUNCTION("""COMPUTED_VALUE"""),"Edenwood")</f>
        <v>Edenwood</v>
      </c>
      <c r="C267" s="17" t="str">
        <f>IFERROR(__xludf.DUMMYFUNCTION("""COMPUTED_VALUE"""),"Atlanta, GA")</f>
        <v>Atlanta, GA</v>
      </c>
      <c r="D267" s="17" t="str">
        <f>IFERROR(__xludf.DUMMYFUNCTION("""COMPUTED_VALUE"""),"Land")</f>
        <v>Land</v>
      </c>
      <c r="E267" s="17">
        <f>IFERROR(__xludf.DUMMYFUNCTION("""COMPUTED_VALUE"""),7.94)</f>
        <v>7.94</v>
      </c>
      <c r="F267" s="27">
        <f>IFERROR(__xludf.DUMMYFUNCTION("""COMPUTED_VALUE"""),2.42)</f>
        <v>2.42</v>
      </c>
      <c r="G267" s="13">
        <f>IFERROR(__xludf.DUMMYFUNCTION("""COMPUTED_VALUE"""),0.3005)</f>
        <v>0.3005</v>
      </c>
    </row>
    <row r="268">
      <c r="A268" s="17" t="str">
        <f>IFERROR(__xludf.DUMMYFUNCTION("""COMPUTED_VALUE"""),"Bluerock")</f>
        <v>Bluerock</v>
      </c>
      <c r="B268" s="17" t="str">
        <f>IFERROR(__xludf.DUMMYFUNCTION("""COMPUTED_VALUE"""),"Elan Apartments")</f>
        <v>Elan Apartments</v>
      </c>
      <c r="C268" s="17" t="str">
        <f>IFERROR(__xludf.DUMMYFUNCTION("""COMPUTED_VALUE"""),"Austin, TX")</f>
        <v>Austin, TX</v>
      </c>
      <c r="D268" s="17" t="str">
        <f>IFERROR(__xludf.DUMMYFUNCTION("""COMPUTED_VALUE"""),"Multifamily")</f>
        <v>Multifamily</v>
      </c>
      <c r="E268" s="17">
        <f>IFERROR(__xludf.DUMMYFUNCTION("""COMPUTED_VALUE"""),1.83)</f>
        <v>1.83</v>
      </c>
      <c r="F268" s="27">
        <f>IFERROR(__xludf.DUMMYFUNCTION("""COMPUTED_VALUE"""),2.23)</f>
        <v>2.23</v>
      </c>
      <c r="G268" s="13">
        <f>IFERROR(__xludf.DUMMYFUNCTION("""COMPUTED_VALUE"""),0.7675)</f>
        <v>0.7675</v>
      </c>
    </row>
    <row r="269">
      <c r="A269" s="17" t="str">
        <f>IFERROR(__xludf.DUMMYFUNCTION("""COMPUTED_VALUE"""),"Bluerock")</f>
        <v>Bluerock</v>
      </c>
      <c r="B269" s="17" t="str">
        <f>IFERROR(__xludf.DUMMYFUNCTION("""COMPUTED_VALUE"""),"Element")</f>
        <v>Element</v>
      </c>
      <c r="C269" s="17" t="str">
        <f>IFERROR(__xludf.DUMMYFUNCTION("""COMPUTED_VALUE"""),"Las Vegas, NV")</f>
        <v>Las Vegas, NV</v>
      </c>
      <c r="D269" s="17" t="str">
        <f>IFERROR(__xludf.DUMMYFUNCTION("""COMPUTED_VALUE"""),"Multifamily")</f>
        <v>Multifamily</v>
      </c>
      <c r="E269" s="17">
        <f>IFERROR(__xludf.DUMMYFUNCTION("""COMPUTED_VALUE"""),3.33)</f>
        <v>3.33</v>
      </c>
      <c r="F269" s="27">
        <f>IFERROR(__xludf.DUMMYFUNCTION("""COMPUTED_VALUE"""),3.25)</f>
        <v>3.25</v>
      </c>
      <c r="G269" s="13">
        <f>IFERROR(__xludf.DUMMYFUNCTION("""COMPUTED_VALUE"""),0.4893)</f>
        <v>0.4893</v>
      </c>
    </row>
    <row r="270">
      <c r="A270" s="17" t="str">
        <f>IFERROR(__xludf.DUMMYFUNCTION("""COMPUTED_VALUE"""),"Walton Global Holdings")</f>
        <v>Walton Global Holdings</v>
      </c>
      <c r="B270" s="17" t="str">
        <f>IFERROR(__xludf.DUMMYFUNCTION("""COMPUTED_VALUE"""),"Elm Creek - Dev LP")</f>
        <v>Elm Creek - Dev LP</v>
      </c>
      <c r="C270" s="17" t="str">
        <f>IFERROR(__xludf.DUMMYFUNCTION("""COMPUTED_VALUE"""),"Dallas-Fort Worth, TX")</f>
        <v>Dallas-Fort Worth, TX</v>
      </c>
      <c r="D270" s="17" t="str">
        <f>IFERROR(__xludf.DUMMYFUNCTION("""COMPUTED_VALUE"""),"Land")</f>
        <v>Land</v>
      </c>
      <c r="E270" s="17">
        <f>IFERROR(__xludf.DUMMYFUNCTION("""COMPUTED_VALUE"""),12.06)</f>
        <v>12.06</v>
      </c>
      <c r="F270" s="27">
        <f>IFERROR(__xludf.DUMMYFUNCTION("""COMPUTED_VALUE"""),1.52)</f>
        <v>1.52</v>
      </c>
      <c r="G270" s="13">
        <f>IFERROR(__xludf.DUMMYFUNCTION("""COMPUTED_VALUE"""),0.035)</f>
        <v>0.035</v>
      </c>
    </row>
    <row r="271">
      <c r="A271" s="17" t="str">
        <f>IFERROR(__xludf.DUMMYFUNCTION("""COMPUTED_VALUE"""),"Walton Global Holdings")</f>
        <v>Walton Global Holdings</v>
      </c>
      <c r="B271" s="17" t="str">
        <f>IFERROR(__xludf.DUMMYFUNCTION("""COMPUTED_VALUE"""),"Elm Creek - LP")</f>
        <v>Elm Creek - LP</v>
      </c>
      <c r="C271" s="17" t="str">
        <f>IFERROR(__xludf.DUMMYFUNCTION("""COMPUTED_VALUE"""),"Dallas-Fort Worth, TX")</f>
        <v>Dallas-Fort Worth, TX</v>
      </c>
      <c r="D271" s="17" t="str">
        <f>IFERROR(__xludf.DUMMYFUNCTION("""COMPUTED_VALUE"""),"Land")</f>
        <v>Land</v>
      </c>
      <c r="E271" s="17">
        <f>IFERROR(__xludf.DUMMYFUNCTION("""COMPUTED_VALUE"""),12.06)</f>
        <v>12.06</v>
      </c>
      <c r="F271" s="27">
        <f>IFERROR(__xludf.DUMMYFUNCTION("""COMPUTED_VALUE"""),1.54)</f>
        <v>1.54</v>
      </c>
      <c r="G271" s="13">
        <f>IFERROR(__xludf.DUMMYFUNCTION("""COMPUTED_VALUE"""),0.0356)</f>
        <v>0.0356</v>
      </c>
    </row>
    <row r="272">
      <c r="A272" s="17" t="str">
        <f>IFERROR(__xludf.DUMMYFUNCTION("""COMPUTED_VALUE"""),"Peachtree Group")</f>
        <v>Peachtree Group</v>
      </c>
      <c r="B272" s="17" t="str">
        <f>IFERROR(__xludf.DUMMYFUNCTION("""COMPUTED_VALUE"""),"Embassy Suites – Williamsburg, VA")</f>
        <v>Embassy Suites – Williamsburg, VA</v>
      </c>
      <c r="C272" s="17" t="str">
        <f>IFERROR(__xludf.DUMMYFUNCTION("""COMPUTED_VALUE"""),"Williamsburg, VA")</f>
        <v>Williamsburg, VA</v>
      </c>
      <c r="D272" s="17" t="str">
        <f>IFERROR(__xludf.DUMMYFUNCTION("""COMPUTED_VALUE"""),"Hotel")</f>
        <v>Hotel</v>
      </c>
      <c r="E272" s="17">
        <f>IFERROR(__xludf.DUMMYFUNCTION("""COMPUTED_VALUE"""),4.29)</f>
        <v>4.29</v>
      </c>
      <c r="F272" s="27">
        <f>IFERROR(__xludf.DUMMYFUNCTION("""COMPUTED_VALUE"""),1.41)</f>
        <v>1.41</v>
      </c>
      <c r="G272" s="13">
        <f>IFERROR(__xludf.DUMMYFUNCTION("""COMPUTED_VALUE"""),0.087)</f>
        <v>0.087</v>
      </c>
    </row>
    <row r="273">
      <c r="A273" s="17" t="str">
        <f>IFERROR(__xludf.DUMMYFUNCTION("""COMPUTED_VALUE"""),"Passco")</f>
        <v>Passco</v>
      </c>
      <c r="B273" s="17" t="str">
        <f>IFERROR(__xludf.DUMMYFUNCTION("""COMPUTED_VALUE"""),"Enclave at Rivergate")</f>
        <v>Enclave at Rivergate</v>
      </c>
      <c r="C273" s="17" t="str">
        <f>IFERROR(__xludf.DUMMYFUNCTION("""COMPUTED_VALUE"""),"Charlotte, NC")</f>
        <v>Charlotte, NC</v>
      </c>
      <c r="D273" s="17" t="str">
        <f>IFERROR(__xludf.DUMMYFUNCTION("""COMPUTED_VALUE"""),"Multifamily")</f>
        <v>Multifamily</v>
      </c>
      <c r="E273" s="17">
        <f>IFERROR(__xludf.DUMMYFUNCTION("""COMPUTED_VALUE"""),6.0)</f>
        <v>6</v>
      </c>
      <c r="F273" s="27">
        <f>IFERROR(__xludf.DUMMYFUNCTION("""COMPUTED_VALUE"""),2.01)</f>
        <v>2.01</v>
      </c>
      <c r="G273" s="13">
        <f>IFERROR(__xludf.DUMMYFUNCTION("""COMPUTED_VALUE"""),0.1235)</f>
        <v>0.1235</v>
      </c>
    </row>
    <row r="274">
      <c r="A274" s="17" t="str">
        <f>IFERROR(__xludf.DUMMYFUNCTION("""COMPUTED_VALUE"""),"Passco")</f>
        <v>Passco</v>
      </c>
      <c r="B274" s="17" t="str">
        <f>IFERROR(__xludf.DUMMYFUNCTION("""COMPUTED_VALUE"""),"Encore at the Park")</f>
        <v>Encore at the Park</v>
      </c>
      <c r="C274" s="17" t="str">
        <f>IFERROR(__xludf.DUMMYFUNCTION("""COMPUTED_VALUE"""),"Durham, NC")</f>
        <v>Durham, NC</v>
      </c>
      <c r="D274" s="17" t="str">
        <f>IFERROR(__xludf.DUMMYFUNCTION("""COMPUTED_VALUE"""),"Multifamily")</f>
        <v>Multifamily</v>
      </c>
      <c r="E274" s="17">
        <f>IFERROR(__xludf.DUMMYFUNCTION("""COMPUTED_VALUE"""),5.0)</f>
        <v>5</v>
      </c>
      <c r="F274" s="27">
        <f>IFERROR(__xludf.DUMMYFUNCTION("""COMPUTED_VALUE"""),1.61)</f>
        <v>1.61</v>
      </c>
      <c r="G274" s="13">
        <f>IFERROR(__xludf.DUMMYFUNCTION("""COMPUTED_VALUE"""),0.1004)</f>
        <v>0.1004</v>
      </c>
    </row>
    <row r="275">
      <c r="A275" s="17" t="str">
        <f>IFERROR(__xludf.DUMMYFUNCTION("""COMPUTED_VALUE"""),"Bluerock")</f>
        <v>Bluerock</v>
      </c>
      <c r="B275" s="17" t="str">
        <f>IFERROR(__xludf.DUMMYFUNCTION("""COMPUTED_VALUE"""),"Encore Chandler Development")</f>
        <v>Encore Chandler Development</v>
      </c>
      <c r="C275" s="17" t="str">
        <f>IFERROR(__xludf.DUMMYFUNCTION("""COMPUTED_VALUE"""),"Chandler, AZ")</f>
        <v>Chandler, AZ</v>
      </c>
      <c r="D275" s="17" t="str">
        <f>IFERROR(__xludf.DUMMYFUNCTION("""COMPUTED_VALUE"""),"Multifamily")</f>
        <v>Multifamily</v>
      </c>
      <c r="E275" s="17">
        <f>IFERROR(__xludf.DUMMYFUNCTION("""COMPUTED_VALUE"""),1.83)</f>
        <v>1.83</v>
      </c>
      <c r="F275" s="27">
        <f>IFERROR(__xludf.DUMMYFUNCTION("""COMPUTED_VALUE"""),1.3)</f>
        <v>1.3</v>
      </c>
      <c r="G275" s="13">
        <f>IFERROR(__xludf.DUMMYFUNCTION("""COMPUTED_VALUE"""),0.5524)</f>
        <v>0.5524</v>
      </c>
    </row>
    <row r="276">
      <c r="A276" s="17" t="str">
        <f>IFERROR(__xludf.DUMMYFUNCTION("""COMPUTED_VALUE"""),"Bluerock")</f>
        <v>Bluerock</v>
      </c>
      <c r="B276" s="17" t="str">
        <f>IFERROR(__xludf.DUMMYFUNCTION("""COMPUTED_VALUE"""),"Enders Place")</f>
        <v>Enders Place</v>
      </c>
      <c r="C276" s="17" t="str">
        <f>IFERROR(__xludf.DUMMYFUNCTION("""COMPUTED_VALUE"""),"Orlando, FL")</f>
        <v>Orlando, FL</v>
      </c>
      <c r="D276" s="17" t="str">
        <f>IFERROR(__xludf.DUMMYFUNCTION("""COMPUTED_VALUE"""),"Multifamily")</f>
        <v>Multifamily</v>
      </c>
      <c r="E276" s="17">
        <f>IFERROR(__xludf.DUMMYFUNCTION("""COMPUTED_VALUE"""),7.67)</f>
        <v>7.67</v>
      </c>
      <c r="F276" s="27">
        <f>IFERROR(__xludf.DUMMYFUNCTION("""COMPUTED_VALUE"""),1.96)</f>
        <v>1.96</v>
      </c>
      <c r="G276" s="13">
        <f>IFERROR(__xludf.DUMMYFUNCTION("""COMPUTED_VALUE"""),0.194)</f>
        <v>0.194</v>
      </c>
    </row>
    <row r="277">
      <c r="A277" s="17" t="str">
        <f>IFERROR(__xludf.DUMMYFUNCTION("""COMPUTED_VALUE"""),"Bluerock")</f>
        <v>Bluerock</v>
      </c>
      <c r="B277" s="17" t="str">
        <f>IFERROR(__xludf.DUMMYFUNCTION("""COMPUTED_VALUE"""),"EOS")</f>
        <v>EOS</v>
      </c>
      <c r="C277" s="17" t="str">
        <f>IFERROR(__xludf.DUMMYFUNCTION("""COMPUTED_VALUE"""),"Orlando, FL")</f>
        <v>Orlando, FL</v>
      </c>
      <c r="D277" s="17" t="str">
        <f>IFERROR(__xludf.DUMMYFUNCTION("""COMPUTED_VALUE"""),"Multifamily")</f>
        <v>Multifamily</v>
      </c>
      <c r="E277" s="17">
        <f>IFERROR(__xludf.DUMMYFUNCTION("""COMPUTED_VALUE"""),2.5)</f>
        <v>2.5</v>
      </c>
      <c r="F277" s="27">
        <f>IFERROR(__xludf.DUMMYFUNCTION("""COMPUTED_VALUE"""),1.77)</f>
        <v>1.77</v>
      </c>
      <c r="G277" s="13">
        <f>IFERROR(__xludf.DUMMYFUNCTION("""COMPUTED_VALUE"""),0.266)</f>
        <v>0.266</v>
      </c>
    </row>
    <row r="278">
      <c r="A278" s="17" t="str">
        <f>IFERROR(__xludf.DUMMYFUNCTION("""COMPUTED_VALUE"""),"Walton Global Holdings")</f>
        <v>Walton Global Holdings</v>
      </c>
      <c r="B278" s="17" t="str">
        <f>IFERROR(__xludf.DUMMYFUNCTION("""COMPUTED_VALUE"""),"Escondida")</f>
        <v>Escondida</v>
      </c>
      <c r="C278" s="17" t="str">
        <f>IFERROR(__xludf.DUMMYFUNCTION("""COMPUTED_VALUE"""),"Riverside, CA")</f>
        <v>Riverside, CA</v>
      </c>
      <c r="D278" s="17" t="str">
        <f>IFERROR(__xludf.DUMMYFUNCTION("""COMPUTED_VALUE"""),"Land")</f>
        <v>Land</v>
      </c>
      <c r="E278" s="17">
        <f>IFERROR(__xludf.DUMMYFUNCTION("""COMPUTED_VALUE"""),8.66)</f>
        <v>8.66</v>
      </c>
      <c r="F278" s="27">
        <f>IFERROR(__xludf.DUMMYFUNCTION("""COMPUTED_VALUE"""),1.57)</f>
        <v>1.57</v>
      </c>
      <c r="G278" s="13">
        <f>IFERROR(__xludf.DUMMYFUNCTION("""COMPUTED_VALUE"""),0.08)</f>
        <v>0.08</v>
      </c>
    </row>
    <row r="279">
      <c r="A279" s="17" t="str">
        <f>IFERROR(__xludf.DUMMYFUNCTION("""COMPUTED_VALUE"""),"Passco")</f>
        <v>Passco</v>
      </c>
      <c r="B279" s="17" t="str">
        <f>IFERROR(__xludf.DUMMYFUNCTION("""COMPUTED_VALUE"""),"Estates at Crossroads")</f>
        <v>Estates at Crossroads</v>
      </c>
      <c r="C279" s="17" t="str">
        <f>IFERROR(__xludf.DUMMYFUNCTION("""COMPUTED_VALUE"""),"Duluth, GA")</f>
        <v>Duluth, GA</v>
      </c>
      <c r="D279" s="17" t="str">
        <f>IFERROR(__xludf.DUMMYFUNCTION("""COMPUTED_VALUE"""),"Multifamily")</f>
        <v>Multifamily</v>
      </c>
      <c r="E279" s="17">
        <f>IFERROR(__xludf.DUMMYFUNCTION("""COMPUTED_VALUE"""),6.0)</f>
        <v>6</v>
      </c>
      <c r="F279" s="27">
        <f>IFERROR(__xludf.DUMMYFUNCTION("""COMPUTED_VALUE"""),3.17)</f>
        <v>3.17</v>
      </c>
      <c r="G279" s="13">
        <f>IFERROR(__xludf.DUMMYFUNCTION("""COMPUTED_VALUE"""),0.212)</f>
        <v>0.212</v>
      </c>
    </row>
    <row r="280">
      <c r="A280" s="17" t="str">
        <f>IFERROR(__xludf.DUMMYFUNCTION("""COMPUTED_VALUE"""),"Bluerock")</f>
        <v>Bluerock</v>
      </c>
      <c r="B280" s="17" t="str">
        <f>IFERROR(__xludf.DUMMYFUNCTION("""COMPUTED_VALUE"""),"Estates at Perimeter")</f>
        <v>Estates at Perimeter</v>
      </c>
      <c r="C280" s="17" t="str">
        <f>IFERROR(__xludf.DUMMYFUNCTION("""COMPUTED_VALUE"""),"Augusta, GA")</f>
        <v>Augusta, GA</v>
      </c>
      <c r="D280" s="17" t="str">
        <f>IFERROR(__xludf.DUMMYFUNCTION("""COMPUTED_VALUE"""),"Multifamily")</f>
        <v>Multifamily</v>
      </c>
      <c r="E280" s="17">
        <f>IFERROR(__xludf.DUMMYFUNCTION("""COMPUTED_VALUE"""),4.17)</f>
        <v>4.17</v>
      </c>
      <c r="F280" s="27">
        <f>IFERROR(__xludf.DUMMYFUNCTION("""COMPUTED_VALUE"""),1.25)</f>
        <v>1.25</v>
      </c>
      <c r="G280" s="13">
        <f>IFERROR(__xludf.DUMMYFUNCTION("""COMPUTED_VALUE"""),0.025)</f>
        <v>0.025</v>
      </c>
    </row>
    <row r="281">
      <c r="A281" s="17" t="str">
        <f>IFERROR(__xludf.DUMMYFUNCTION("""COMPUTED_VALUE"""),"Peachtree Group")</f>
        <v>Peachtree Group</v>
      </c>
      <c r="B281" s="17" t="str">
        <f>IFERROR(__xludf.DUMMYFUNCTION("""COMPUTED_VALUE"""),"Fairfield Inn – Valdosta, GA")</f>
        <v>Fairfield Inn – Valdosta, GA</v>
      </c>
      <c r="C281" s="17" t="str">
        <f>IFERROR(__xludf.DUMMYFUNCTION("""COMPUTED_VALUE"""),"Valdosta, GA")</f>
        <v>Valdosta, GA</v>
      </c>
      <c r="D281" s="17" t="str">
        <f>IFERROR(__xludf.DUMMYFUNCTION("""COMPUTED_VALUE"""),"Hotel")</f>
        <v>Hotel</v>
      </c>
      <c r="E281" s="17">
        <f>IFERROR(__xludf.DUMMYFUNCTION("""COMPUTED_VALUE"""),3.72)</f>
        <v>3.72</v>
      </c>
      <c r="F281" s="27">
        <f>IFERROR(__xludf.DUMMYFUNCTION("""COMPUTED_VALUE"""),2.11)</f>
        <v>2.11</v>
      </c>
      <c r="G281" s="13">
        <f>IFERROR(__xludf.DUMMYFUNCTION("""COMPUTED_VALUE"""),0.27)</f>
        <v>0.27</v>
      </c>
    </row>
    <row r="282">
      <c r="A282" s="17" t="str">
        <f>IFERROR(__xludf.DUMMYFUNCTION("""COMPUTED_VALUE"""),"Peachtree Group")</f>
        <v>Peachtree Group</v>
      </c>
      <c r="B282" s="17" t="str">
        <f>IFERROR(__xludf.DUMMYFUNCTION("""COMPUTED_VALUE"""),"Fairfield Inn &amp; Suites – Indianapolis, IN")</f>
        <v>Fairfield Inn &amp; Suites – Indianapolis, IN</v>
      </c>
      <c r="C282" s="17" t="str">
        <f>IFERROR(__xludf.DUMMYFUNCTION("""COMPUTED_VALUE"""),"Indianapolis, IN")</f>
        <v>Indianapolis, IN</v>
      </c>
      <c r="D282" s="17" t="str">
        <f>IFERROR(__xludf.DUMMYFUNCTION("""COMPUTED_VALUE"""),"Hotel")</f>
        <v>Hotel</v>
      </c>
      <c r="E282" s="17">
        <f>IFERROR(__xludf.DUMMYFUNCTION("""COMPUTED_VALUE"""),11.68)</f>
        <v>11.68</v>
      </c>
      <c r="F282" s="27">
        <f>IFERROR(__xludf.DUMMYFUNCTION("""COMPUTED_VALUE"""),3.32)</f>
        <v>3.32</v>
      </c>
      <c r="G282" s="13">
        <f>IFERROR(__xludf.DUMMYFUNCTION("""COMPUTED_VALUE"""),0.135)</f>
        <v>0.135</v>
      </c>
    </row>
    <row r="283">
      <c r="A283" s="17" t="str">
        <f>IFERROR(__xludf.DUMMYFUNCTION("""COMPUTED_VALUE"""),"Peachtree Group")</f>
        <v>Peachtree Group</v>
      </c>
      <c r="B283" s="17" t="str">
        <f>IFERROR(__xludf.DUMMYFUNCTION("""COMPUTED_VALUE"""),"Fairfield Inn &amp; Suites – Lewisville, TX")</f>
        <v>Fairfield Inn &amp; Suites – Lewisville, TX</v>
      </c>
      <c r="C283" s="17" t="str">
        <f>IFERROR(__xludf.DUMMYFUNCTION("""COMPUTED_VALUE"""),"Lewisville, TX")</f>
        <v>Lewisville, TX</v>
      </c>
      <c r="D283" s="17" t="str">
        <f>IFERROR(__xludf.DUMMYFUNCTION("""COMPUTED_VALUE"""),"Hotel")</f>
        <v>Hotel</v>
      </c>
      <c r="E283" s="17">
        <f>IFERROR(__xludf.DUMMYFUNCTION("""COMPUTED_VALUE"""),1.19)</f>
        <v>1.19</v>
      </c>
      <c r="F283" s="27">
        <f>IFERROR(__xludf.DUMMYFUNCTION("""COMPUTED_VALUE"""),1.69)</f>
        <v>1.69</v>
      </c>
      <c r="G283" s="13">
        <f>IFERROR(__xludf.DUMMYFUNCTION("""COMPUTED_VALUE"""),0.553)</f>
        <v>0.553</v>
      </c>
    </row>
    <row r="284">
      <c r="A284" s="17" t="str">
        <f>IFERROR(__xludf.DUMMYFUNCTION("""COMPUTED_VALUE"""),"Denholtz")</f>
        <v>Denholtz</v>
      </c>
      <c r="B284" s="17" t="str">
        <f>IFERROR(__xludf.DUMMYFUNCTION("""COMPUTED_VALUE"""),"Falcon Three Pak")</f>
        <v>Falcon Three Pak</v>
      </c>
      <c r="C284" s="17" t="str">
        <f>IFERROR(__xludf.DUMMYFUNCTION("""COMPUTED_VALUE"""),"Various, NJ")</f>
        <v>Various, NJ</v>
      </c>
      <c r="D284" s="17" t="str">
        <f>IFERROR(__xludf.DUMMYFUNCTION("""COMPUTED_VALUE"""),"Industrial")</f>
        <v>Industrial</v>
      </c>
      <c r="E284" s="17">
        <f>IFERROR(__xludf.DUMMYFUNCTION("""COMPUTED_VALUE"""),9.0)</f>
        <v>9</v>
      </c>
      <c r="F284" s="27">
        <f>IFERROR(__xludf.DUMMYFUNCTION("""COMPUTED_VALUE"""),9.5)</f>
        <v>9.5</v>
      </c>
      <c r="G284" s="13">
        <f>IFERROR(__xludf.DUMMYFUNCTION("""COMPUTED_VALUE"""),0.3323)</f>
        <v>0.3323</v>
      </c>
    </row>
    <row r="285">
      <c r="A285" s="17" t="str">
        <f>IFERROR(__xludf.DUMMYFUNCTION("""COMPUTED_VALUE"""),"Bluerock")</f>
        <v>Bluerock</v>
      </c>
      <c r="B285" s="17" t="str">
        <f>IFERROR(__xludf.DUMMYFUNCTION("""COMPUTED_VALUE"""),"Falls at Forsyth")</f>
        <v>Falls at Forsyth</v>
      </c>
      <c r="C285" s="17" t="str">
        <f>IFERROR(__xludf.DUMMYFUNCTION("""COMPUTED_VALUE"""),"Cumming, GA")</f>
        <v>Cumming, GA</v>
      </c>
      <c r="D285" s="17" t="str">
        <f>IFERROR(__xludf.DUMMYFUNCTION("""COMPUTED_VALUE"""),"Multifamily")</f>
        <v>Multifamily</v>
      </c>
      <c r="E285" s="17">
        <f>IFERROR(__xludf.DUMMYFUNCTION("""COMPUTED_VALUE"""),2.75)</f>
        <v>2.75</v>
      </c>
      <c r="F285" s="27">
        <f>IFERROR(__xludf.DUMMYFUNCTION("""COMPUTED_VALUE"""),0.9)</f>
        <v>0.9</v>
      </c>
      <c r="G285" s="13">
        <f>IFERROR(__xludf.DUMMYFUNCTION("""COMPUTED_VALUE"""),0.2968)</f>
        <v>0.2968</v>
      </c>
    </row>
    <row r="286">
      <c r="A286" s="17" t="str">
        <f>IFERROR(__xludf.DUMMYFUNCTION("""COMPUTED_VALUE"""),"Four Springs Capital")</f>
        <v>Four Springs Capital</v>
      </c>
      <c r="B286" s="17" t="str">
        <f>IFERROR(__xludf.DUMMYFUNCTION("""COMPUTED_VALUE"""),"Family Dollar – Memphis, TN")</f>
        <v>Family Dollar – Memphis, TN</v>
      </c>
      <c r="C286" s="17" t="str">
        <f>IFERROR(__xludf.DUMMYFUNCTION("""COMPUTED_VALUE"""),"Memphis, TN")</f>
        <v>Memphis, TN</v>
      </c>
      <c r="D286" s="17" t="str">
        <f>IFERROR(__xludf.DUMMYFUNCTION("""COMPUTED_VALUE"""),"Retail")</f>
        <v>Retail</v>
      </c>
      <c r="E286" s="17">
        <f>IFERROR(__xludf.DUMMYFUNCTION("""COMPUTED_VALUE"""),0.4)</f>
        <v>0.4</v>
      </c>
      <c r="F286" s="27">
        <f>IFERROR(__xludf.DUMMYFUNCTION("""COMPUTED_VALUE"""),1.03)</f>
        <v>1.03</v>
      </c>
      <c r="G286" s="13">
        <f>IFERROR(__xludf.DUMMYFUNCTION("""COMPUTED_VALUE"""),0.0712)</f>
        <v>0.0712</v>
      </c>
    </row>
    <row r="287">
      <c r="A287" s="17" t="str">
        <f>IFERROR(__xludf.DUMMYFUNCTION("""COMPUTED_VALUE"""),"Four Springs Capital")</f>
        <v>Four Springs Capital</v>
      </c>
      <c r="B287" s="17" t="str">
        <f>IFERROR(__xludf.DUMMYFUNCTION("""COMPUTED_VALUE"""),"Family Dollar – Milledgeville, GA")</f>
        <v>Family Dollar – Milledgeville, GA</v>
      </c>
      <c r="C287" s="17" t="str">
        <f>IFERROR(__xludf.DUMMYFUNCTION("""COMPUTED_VALUE"""),"Milledgeville, GA")</f>
        <v>Milledgeville, GA</v>
      </c>
      <c r="D287" s="17" t="str">
        <f>IFERROR(__xludf.DUMMYFUNCTION("""COMPUTED_VALUE"""),"Retail")</f>
        <v>Retail</v>
      </c>
      <c r="E287" s="17">
        <f>IFERROR(__xludf.DUMMYFUNCTION("""COMPUTED_VALUE"""),0.53)</f>
        <v>0.53</v>
      </c>
      <c r="F287" s="27">
        <f>IFERROR(__xludf.DUMMYFUNCTION("""COMPUTED_VALUE"""),1.04)</f>
        <v>1.04</v>
      </c>
      <c r="G287" s="13">
        <f>IFERROR(__xludf.DUMMYFUNCTION("""COMPUTED_VALUE"""),0.0775)</f>
        <v>0.0775</v>
      </c>
    </row>
    <row r="288">
      <c r="A288" s="17" t="str">
        <f>IFERROR(__xludf.DUMMYFUNCTION("""COMPUTED_VALUE"""),"Four Springs Capital")</f>
        <v>Four Springs Capital</v>
      </c>
      <c r="B288" s="17" t="str">
        <f>IFERROR(__xludf.DUMMYFUNCTION("""COMPUTED_VALUE"""),"Family Dollar – Verona, PA")</f>
        <v>Family Dollar – Verona, PA</v>
      </c>
      <c r="C288" s="17" t="str">
        <f>IFERROR(__xludf.DUMMYFUNCTION("""COMPUTED_VALUE"""),"Verona, PA")</f>
        <v>Verona, PA</v>
      </c>
      <c r="D288" s="17" t="str">
        <f>IFERROR(__xludf.DUMMYFUNCTION("""COMPUTED_VALUE"""),"Retail")</f>
        <v>Retail</v>
      </c>
      <c r="E288" s="17">
        <f>IFERROR(__xludf.DUMMYFUNCTION("""COMPUTED_VALUE"""),0.89)</f>
        <v>0.89</v>
      </c>
      <c r="F288" s="27">
        <f>IFERROR(__xludf.DUMMYFUNCTION("""COMPUTED_VALUE"""),1.06)</f>
        <v>1.06</v>
      </c>
      <c r="G288" s="13">
        <f>IFERROR(__xludf.DUMMYFUNCTION("""COMPUTED_VALUE"""),0.0725)</f>
        <v>0.0725</v>
      </c>
    </row>
    <row r="289">
      <c r="A289" s="17" t="str">
        <f>IFERROR(__xludf.DUMMYFUNCTION("""COMPUTED_VALUE"""),"Syndicated Equities")</f>
        <v>Syndicated Equities</v>
      </c>
      <c r="B289" s="17" t="str">
        <f>IFERROR(__xludf.DUMMYFUNCTION("""COMPUTED_VALUE"""),"Fashion Outlet Center")</f>
        <v>Fashion Outlet Center</v>
      </c>
      <c r="C289" s="17" t="str">
        <f>IFERROR(__xludf.DUMMYFUNCTION("""COMPUTED_VALUE"""),"Las Vegas, NV")</f>
        <v>Las Vegas, NV</v>
      </c>
      <c r="D289" s="17"/>
      <c r="E289" s="17">
        <f>IFERROR(__xludf.DUMMYFUNCTION("""COMPUTED_VALUE"""),3.43)</f>
        <v>3.43</v>
      </c>
      <c r="F289" s="27">
        <f>IFERROR(__xludf.DUMMYFUNCTION("""COMPUTED_VALUE"""),0.19)</f>
        <v>0.19</v>
      </c>
      <c r="G289" s="13">
        <f>IFERROR(__xludf.DUMMYFUNCTION("""COMPUTED_VALUE"""),-0.3842)</f>
        <v>-0.3842</v>
      </c>
    </row>
    <row r="290">
      <c r="A290" s="17" t="str">
        <f>IFERROR(__xludf.DUMMYFUNCTION("""COMPUTED_VALUE"""),"Syndicated Equities")</f>
        <v>Syndicated Equities</v>
      </c>
      <c r="B290" s="17" t="str">
        <f>IFERROR(__xludf.DUMMYFUNCTION("""COMPUTED_VALUE"""),"Fashion Outlet Center")</f>
        <v>Fashion Outlet Center</v>
      </c>
      <c r="C290" s="17" t="str">
        <f>IFERROR(__xludf.DUMMYFUNCTION("""COMPUTED_VALUE"""),"Rosemont, IL")</f>
        <v>Rosemont, IL</v>
      </c>
      <c r="D290" s="17"/>
      <c r="E290" s="17">
        <f>IFERROR(__xludf.DUMMYFUNCTION("""COMPUTED_VALUE"""),5.67)</f>
        <v>5.67</v>
      </c>
      <c r="F290" s="27">
        <f>IFERROR(__xludf.DUMMYFUNCTION("""COMPUTED_VALUE"""),3.97)</f>
        <v>3.97</v>
      </c>
      <c r="G290" s="13">
        <f>IFERROR(__xludf.DUMMYFUNCTION("""COMPUTED_VALUE"""),0.2751)</f>
        <v>0.2751</v>
      </c>
    </row>
    <row r="291">
      <c r="A291" s="17" t="str">
        <f>IFERROR(__xludf.DUMMYFUNCTION("""COMPUTED_VALUE"""),"Walton Global Holdings")</f>
        <v>Walton Global Holdings</v>
      </c>
      <c r="B291" s="17" t="str">
        <f>IFERROR(__xludf.DUMMYFUNCTION("""COMPUTED_VALUE"""),"Fields at Walnut Creek")</f>
        <v>Fields at Walnut Creek</v>
      </c>
      <c r="C291" s="17" t="str">
        <f>IFERROR(__xludf.DUMMYFUNCTION("""COMPUTED_VALUE"""),"Atlanta, GA")</f>
        <v>Atlanta, GA</v>
      </c>
      <c r="D291" s="17" t="str">
        <f>IFERROR(__xludf.DUMMYFUNCTION("""COMPUTED_VALUE"""),"Land")</f>
        <v>Land</v>
      </c>
      <c r="E291" s="17">
        <f>IFERROR(__xludf.DUMMYFUNCTION("""COMPUTED_VALUE"""),7.68)</f>
        <v>7.68</v>
      </c>
      <c r="F291" s="27">
        <f>IFERROR(__xludf.DUMMYFUNCTION("""COMPUTED_VALUE"""),1.02)</f>
        <v>1.02</v>
      </c>
      <c r="G291" s="13">
        <f>IFERROR(__xludf.DUMMYFUNCTION("""COMPUTED_VALUE"""),0.0024)</f>
        <v>0.0024</v>
      </c>
    </row>
    <row r="292">
      <c r="A292" s="17" t="str">
        <f>IFERROR(__xludf.DUMMYFUNCTION("""COMPUTED_VALUE"""),"Denholtz")</f>
        <v>Denholtz</v>
      </c>
      <c r="B292" s="17" t="str">
        <f>IFERROR(__xludf.DUMMYFUNCTION("""COMPUTED_VALUE"""),"Five Pak")</f>
        <v>Five Pak</v>
      </c>
      <c r="C292" s="17" t="str">
        <f>IFERROR(__xludf.DUMMYFUNCTION("""COMPUTED_VALUE"""),"Various (FL &amp; IL)")</f>
        <v>Various (FL &amp; IL)</v>
      </c>
      <c r="D292" s="17" t="str">
        <f>IFERROR(__xludf.DUMMYFUNCTION("""COMPUTED_VALUE"""),"Office")</f>
        <v>Office</v>
      </c>
      <c r="E292" s="17">
        <f>IFERROR(__xludf.DUMMYFUNCTION("""COMPUTED_VALUE"""),5.0)</f>
        <v>5</v>
      </c>
      <c r="F292" s="27">
        <f>IFERROR(__xludf.DUMMYFUNCTION("""COMPUTED_VALUE"""),1.54)</f>
        <v>1.54</v>
      </c>
      <c r="G292" s="13">
        <f>IFERROR(__xludf.DUMMYFUNCTION("""COMPUTED_VALUE"""),0.1023)</f>
        <v>0.1023</v>
      </c>
    </row>
    <row r="293">
      <c r="A293" s="17" t="str">
        <f>IFERROR(__xludf.DUMMYFUNCTION("""COMPUTED_VALUE"""),"Denholtz")</f>
        <v>Denholtz</v>
      </c>
      <c r="B293" s="17" t="str">
        <f>IFERROR(__xludf.DUMMYFUNCTION("""COMPUTED_VALUE"""),"FL &amp; IND TT LLC (Investcorp Portfolio)")</f>
        <v>FL &amp; IND TT LLC (Investcorp Portfolio)</v>
      </c>
      <c r="C293" s="17" t="str">
        <f>IFERROR(__xludf.DUMMYFUNCTION("""COMPUTED_VALUE"""),"Various (FL &amp; NJ)")</f>
        <v>Various (FL &amp; NJ)</v>
      </c>
      <c r="D293" s="17" t="str">
        <f>IFERROR(__xludf.DUMMYFUNCTION("""COMPUTED_VALUE"""),"Industrial")</f>
        <v>Industrial</v>
      </c>
      <c r="E293" s="17">
        <f>IFERROR(__xludf.DUMMYFUNCTION("""COMPUTED_VALUE"""),3.08)</f>
        <v>3.08</v>
      </c>
      <c r="F293" s="27">
        <f>IFERROR(__xludf.DUMMYFUNCTION("""COMPUTED_VALUE"""),1.76)</f>
        <v>1.76</v>
      </c>
      <c r="G293" s="13">
        <f>IFERROR(__xludf.DUMMYFUNCTION("""COMPUTED_VALUE"""),0.2411)</f>
        <v>0.2411</v>
      </c>
    </row>
    <row r="294">
      <c r="A294" s="17" t="str">
        <f>IFERROR(__xludf.DUMMYFUNCTION("""COMPUTED_VALUE"""),"Inland")</f>
        <v>Inland</v>
      </c>
      <c r="B294" s="17" t="str">
        <f>IFERROR(__xludf.DUMMYFUNCTION("""COMPUTED_VALUE"""),"FL-NY Multifamily Portfolio DST")</f>
        <v>FL-NY Multifamily Portfolio DST</v>
      </c>
      <c r="C294" s="17"/>
      <c r="D294" s="17" t="str">
        <f>IFERROR(__xludf.DUMMYFUNCTION("""COMPUTED_VALUE"""),"Multifamily")</f>
        <v>Multifamily</v>
      </c>
      <c r="E294" s="17">
        <f>IFERROR(__xludf.DUMMYFUNCTION("""COMPUTED_VALUE"""),5.75)</f>
        <v>5.75</v>
      </c>
      <c r="F294" s="27">
        <f>IFERROR(__xludf.DUMMYFUNCTION("""COMPUTED_VALUE"""),2.19)</f>
        <v>2.19</v>
      </c>
      <c r="G294" s="13">
        <f>IFERROR(__xludf.DUMMYFUNCTION("""COMPUTED_VALUE"""),0.1626)</f>
        <v>0.1626</v>
      </c>
    </row>
    <row r="295">
      <c r="A295" s="17" t="str">
        <f>IFERROR(__xludf.DUMMYFUNCTION("""COMPUTED_VALUE"""),"Syndicated Equities")</f>
        <v>Syndicated Equities</v>
      </c>
      <c r="B295" s="17" t="str">
        <f>IFERROR(__xludf.DUMMYFUNCTION("""COMPUTED_VALUE"""),"Flatiron Athletic Club")</f>
        <v>Flatiron Athletic Club</v>
      </c>
      <c r="C295" s="17" t="str">
        <f>IFERROR(__xludf.DUMMYFUNCTION("""COMPUTED_VALUE"""),"Broomfield, CO")</f>
        <v>Broomfield, CO</v>
      </c>
      <c r="D295" s="17"/>
      <c r="E295" s="17">
        <f>IFERROR(__xludf.DUMMYFUNCTION("""COMPUTED_VALUE"""),13.64)</f>
        <v>13.64</v>
      </c>
      <c r="F295" s="27">
        <f>IFERROR(__xludf.DUMMYFUNCTION("""COMPUTED_VALUE"""),0.22)</f>
        <v>0.22</v>
      </c>
      <c r="G295" s="13">
        <f>IFERROR(__xludf.DUMMYFUNCTION("""COMPUTED_VALUE"""),-0.1051)</f>
        <v>-0.1051</v>
      </c>
    </row>
    <row r="296">
      <c r="A296" s="17" t="str">
        <f>IFERROR(__xludf.DUMMYFUNCTION("""COMPUTED_VALUE"""),"Inland")</f>
        <v>Inland</v>
      </c>
      <c r="B296" s="17" t="str">
        <f>IFERROR(__xludf.DUMMYFUNCTION("""COMPUTED_VALUE"""),"Fort Myers Multifamily DST")</f>
        <v>Fort Myers Multifamily DST</v>
      </c>
      <c r="C296" s="17"/>
      <c r="D296" s="17" t="str">
        <f>IFERROR(__xludf.DUMMYFUNCTION("""COMPUTED_VALUE"""),"Multifamily")</f>
        <v>Multifamily</v>
      </c>
      <c r="E296" s="17">
        <f>IFERROR(__xludf.DUMMYFUNCTION("""COMPUTED_VALUE"""),5.5)</f>
        <v>5.5</v>
      </c>
      <c r="F296" s="27">
        <f>IFERROR(__xludf.DUMMYFUNCTION("""COMPUTED_VALUE"""),1.37)</f>
        <v>1.37</v>
      </c>
      <c r="G296" s="13">
        <f>IFERROR(__xludf.DUMMYFUNCTION("""COMPUTED_VALUE"""),0.0645)</f>
        <v>0.0645</v>
      </c>
    </row>
    <row r="297">
      <c r="A297" s="17" t="str">
        <f>IFERROR(__xludf.DUMMYFUNCTION("""COMPUTED_VALUE"""),"Bluerock")</f>
        <v>Bluerock</v>
      </c>
      <c r="B297" s="17" t="str">
        <f>IFERROR(__xludf.DUMMYFUNCTION("""COMPUTED_VALUE"""),"Four Corners")</f>
        <v>Four Corners</v>
      </c>
      <c r="C297" s="17" t="str">
        <f>IFERROR(__xludf.DUMMYFUNCTION("""COMPUTED_VALUE"""),"Orlando, FL")</f>
        <v>Orlando, FL</v>
      </c>
      <c r="D297" s="17" t="str">
        <f>IFERROR(__xludf.DUMMYFUNCTION("""COMPUTED_VALUE"""),"Multifamily")</f>
        <v>Multifamily</v>
      </c>
      <c r="E297" s="17">
        <f>IFERROR(__xludf.DUMMYFUNCTION("""COMPUTED_VALUE"""),3.42)</f>
        <v>3.42</v>
      </c>
      <c r="F297" s="27">
        <f>IFERROR(__xludf.DUMMYFUNCTION("""COMPUTED_VALUE"""),1.66)</f>
        <v>1.66</v>
      </c>
      <c r="G297" s="13">
        <f>IFERROR(__xludf.DUMMYFUNCTION("""COMPUTED_VALUE"""),0.224)</f>
        <v>0.224</v>
      </c>
    </row>
    <row r="298">
      <c r="A298" s="17" t="str">
        <f>IFERROR(__xludf.DUMMYFUNCTION("""COMPUTED_VALUE"""),"Syndicated Equities")</f>
        <v>Syndicated Equities</v>
      </c>
      <c r="B298" s="17" t="str">
        <f>IFERROR(__xludf.DUMMYFUNCTION("""COMPUTED_VALUE"""),"Four Seasons Hotel")</f>
        <v>Four Seasons Hotel</v>
      </c>
      <c r="C298" s="17" t="str">
        <f>IFERROR(__xludf.DUMMYFUNCTION("""COMPUTED_VALUE"""),"Austin, TX")</f>
        <v>Austin, TX</v>
      </c>
      <c r="D298" s="17"/>
      <c r="E298" s="17">
        <f>IFERROR(__xludf.DUMMYFUNCTION("""COMPUTED_VALUE"""),5.86)</f>
        <v>5.86</v>
      </c>
      <c r="F298" s="27">
        <f>IFERROR(__xludf.DUMMYFUNCTION("""COMPUTED_VALUE"""),1.94)</f>
        <v>1.94</v>
      </c>
      <c r="G298" s="13">
        <f>IFERROR(__xludf.DUMMYFUNCTION("""COMPUTED_VALUE"""),0.1196)</f>
        <v>0.1196</v>
      </c>
    </row>
    <row r="299">
      <c r="A299" s="17" t="str">
        <f>IFERROR(__xludf.DUMMYFUNCTION("""COMPUTED_VALUE"""),"Bluerock")</f>
        <v>Bluerock</v>
      </c>
      <c r="B299" s="17" t="str">
        <f>IFERROR(__xludf.DUMMYFUNCTION("""COMPUTED_VALUE"""),"Fox Hill")</f>
        <v>Fox Hill</v>
      </c>
      <c r="C299" s="17" t="str">
        <f>IFERROR(__xludf.DUMMYFUNCTION("""COMPUTED_VALUE"""),"Austin, TX")</f>
        <v>Austin, TX</v>
      </c>
      <c r="D299" s="17" t="str">
        <f>IFERROR(__xludf.DUMMYFUNCTION("""COMPUTED_VALUE"""),"Multifamily")</f>
        <v>Multifamily</v>
      </c>
      <c r="E299" s="17">
        <f>IFERROR(__xludf.DUMMYFUNCTION("""COMPUTED_VALUE"""),2.0)</f>
        <v>2</v>
      </c>
      <c r="F299" s="27">
        <f>IFERROR(__xludf.DUMMYFUNCTION("""COMPUTED_VALUE"""),1.62)</f>
        <v>1.62</v>
      </c>
      <c r="G299" s="13">
        <f>IFERROR(__xludf.DUMMYFUNCTION("""COMPUTED_VALUE"""),0.192)</f>
        <v>0.192</v>
      </c>
    </row>
    <row r="300">
      <c r="A300" s="17" t="str">
        <f>IFERROR(__xludf.DUMMYFUNCTION("""COMPUTED_VALUE"""),"Four Springs Capital")</f>
        <v>Four Springs Capital</v>
      </c>
      <c r="B300" s="17" t="str">
        <f>IFERROR(__xludf.DUMMYFUNCTION("""COMPUTED_VALUE"""),"FSC AS Jonesboro AR, DST")</f>
        <v>FSC AS Jonesboro AR, DST</v>
      </c>
      <c r="C300" s="17" t="str">
        <f>IFERROR(__xludf.DUMMYFUNCTION("""COMPUTED_VALUE"""),"Academy Sports")</f>
        <v>Academy Sports</v>
      </c>
      <c r="D300" s="17" t="str">
        <f>IFERROR(__xludf.DUMMYFUNCTION("""COMPUTED_VALUE"""),"Retail")</f>
        <v>Retail</v>
      </c>
      <c r="E300" s="17">
        <f>IFERROR(__xludf.DUMMYFUNCTION("""COMPUTED_VALUE"""),6.99)</f>
        <v>6.99</v>
      </c>
      <c r="F300" s="27">
        <f>IFERROR(__xludf.DUMMYFUNCTION("""COMPUTED_VALUE"""),2.44)</f>
        <v>2.44</v>
      </c>
      <c r="G300" s="13">
        <f>IFERROR(__xludf.DUMMYFUNCTION("""COMPUTED_VALUE"""),0.0627)</f>
        <v>0.0627</v>
      </c>
    </row>
    <row r="301">
      <c r="A301" s="17" t="str">
        <f>IFERROR(__xludf.DUMMYFUNCTION("""COMPUTED_VALUE"""),"Four Springs Capital")</f>
        <v>Four Springs Capital</v>
      </c>
      <c r="B301" s="17" t="str">
        <f>IFERROR(__xludf.DUMMYFUNCTION("""COMPUTED_VALUE"""),"FSC AS Mt. Juliet TN, DST")</f>
        <v>FSC AS Mt. Juliet TN, DST</v>
      </c>
      <c r="C301" s="17" t="str">
        <f>IFERROR(__xludf.DUMMYFUNCTION("""COMPUTED_VALUE"""),"Academy Sports")</f>
        <v>Academy Sports</v>
      </c>
      <c r="D301" s="17" t="str">
        <f>IFERROR(__xludf.DUMMYFUNCTION("""COMPUTED_VALUE"""),"Retail")</f>
        <v>Retail</v>
      </c>
      <c r="E301" s="17">
        <f>IFERROR(__xludf.DUMMYFUNCTION("""COMPUTED_VALUE"""),7.82)</f>
        <v>7.82</v>
      </c>
      <c r="F301" s="27">
        <f>IFERROR(__xludf.DUMMYFUNCTION("""COMPUTED_VALUE"""),2.37)</f>
        <v>2.37</v>
      </c>
      <c r="G301" s="13">
        <f>IFERROR(__xludf.DUMMYFUNCTION("""COMPUTED_VALUE"""),0.0475)</f>
        <v>0.0475</v>
      </c>
    </row>
    <row r="302">
      <c r="A302" s="17" t="str">
        <f>IFERROR(__xludf.DUMMYFUNCTION("""COMPUTED_VALUE"""),"Four Springs Capital")</f>
        <v>Four Springs Capital</v>
      </c>
      <c r="B302" s="17" t="str">
        <f>IFERROR(__xludf.DUMMYFUNCTION("""COMPUTED_VALUE"""),"FSC BJ Tilton NH, DST")</f>
        <v>FSC BJ Tilton NH, DST</v>
      </c>
      <c r="C302" s="17" t="str">
        <f>IFERROR(__xludf.DUMMYFUNCTION("""COMPUTED_VALUE"""),"BJ's Wholesale Club")</f>
        <v>BJ's Wholesale Club</v>
      </c>
      <c r="D302" s="17" t="str">
        <f>IFERROR(__xludf.DUMMYFUNCTION("""COMPUTED_VALUE"""),"Retail")</f>
        <v>Retail</v>
      </c>
      <c r="E302" s="17">
        <f>IFERROR(__xludf.DUMMYFUNCTION("""COMPUTED_VALUE"""),8.25)</f>
        <v>8.25</v>
      </c>
      <c r="F302" s="27">
        <f>IFERROR(__xludf.DUMMYFUNCTION("""COMPUTED_VALUE"""),2.64)</f>
        <v>2.64</v>
      </c>
      <c r="G302" s="13">
        <f>IFERROR(__xludf.DUMMYFUNCTION("""COMPUTED_VALUE"""),0.0774)</f>
        <v>0.0774</v>
      </c>
    </row>
    <row r="303">
      <c r="A303" s="17" t="str">
        <f>IFERROR(__xludf.DUMMYFUNCTION("""COMPUTED_VALUE"""),"Four Springs Capital")</f>
        <v>Four Springs Capital</v>
      </c>
      <c r="B303" s="17" t="str">
        <f>IFERROR(__xludf.DUMMYFUNCTION("""COMPUTED_VALUE"""),"FSC GM Lebanon IN, DST")</f>
        <v>FSC GM Lebanon IN, DST</v>
      </c>
      <c r="C303" s="17" t="str">
        <f>IFERROR(__xludf.DUMMYFUNCTION("""COMPUTED_VALUE"""),"Gander Mountain (bankrupt; reworkout)")</f>
        <v>Gander Mountain (bankrupt; reworkout)</v>
      </c>
      <c r="D303" s="17" t="str">
        <f>IFERROR(__xludf.DUMMYFUNCTION("""COMPUTED_VALUE"""),"Industrial")</f>
        <v>Industrial</v>
      </c>
      <c r="E303" s="17">
        <f>IFERROR(__xludf.DUMMYFUNCTION("""COMPUTED_VALUE"""),11.57)</f>
        <v>11.57</v>
      </c>
      <c r="F303" s="27">
        <f>IFERROR(__xludf.DUMMYFUNCTION("""COMPUTED_VALUE"""),2.42)</f>
        <v>2.42</v>
      </c>
      <c r="G303" s="13">
        <f>IFERROR(__xludf.DUMMYFUNCTION("""COMPUTED_VALUE"""),0.0366)</f>
        <v>0.0366</v>
      </c>
    </row>
    <row r="304">
      <c r="A304" s="17" t="str">
        <f>IFERROR(__xludf.DUMMYFUNCTION("""COMPUTED_VALUE"""),"Four Springs Capital")</f>
        <v>Four Springs Capital</v>
      </c>
      <c r="B304" s="17" t="str">
        <f>IFERROR(__xludf.DUMMYFUNCTION("""COMPUTED_VALUE"""),"FSC Healthcare II, DST")</f>
        <v>FSC Healthcare II, DST</v>
      </c>
      <c r="C304" s="17" t="str">
        <f>IFERROR(__xludf.DUMMYFUNCTION("""COMPUTED_VALUE"""),"Medical Office tenant")</f>
        <v>Medical Office tenant</v>
      </c>
      <c r="D304" s="17" t="str">
        <f>IFERROR(__xludf.DUMMYFUNCTION("""COMPUTED_VALUE"""),"Healthcare")</f>
        <v>Healthcare</v>
      </c>
      <c r="E304" s="17">
        <f>IFERROR(__xludf.DUMMYFUNCTION("""COMPUTED_VALUE"""),7.28)</f>
        <v>7.28</v>
      </c>
      <c r="F304" s="27">
        <f>IFERROR(__xludf.DUMMYFUNCTION("""COMPUTED_VALUE"""),2.41)</f>
        <v>2.41</v>
      </c>
      <c r="G304" s="13">
        <f>IFERROR(__xludf.DUMMYFUNCTION("""COMPUTED_VALUE"""),0.0561)</f>
        <v>0.0561</v>
      </c>
    </row>
    <row r="305">
      <c r="A305" s="17" t="str">
        <f>IFERROR(__xludf.DUMMYFUNCTION("""COMPUTED_VALUE"""),"Four Springs Capital")</f>
        <v>Four Springs Capital</v>
      </c>
      <c r="B305" s="17" t="str">
        <f>IFERROR(__xludf.DUMMYFUNCTION("""COMPUTED_VALUE"""),"FSC MRC Odessa TX, DST")</f>
        <v>FSC MRC Odessa TX, DST</v>
      </c>
      <c r="C305" s="17" t="str">
        <f>IFERROR(__xludf.DUMMYFUNCTION("""COMPUTED_VALUE"""),"MRC Global")</f>
        <v>MRC Global</v>
      </c>
      <c r="D305" s="17" t="str">
        <f>IFERROR(__xludf.DUMMYFUNCTION("""COMPUTED_VALUE"""),"Industrial")</f>
        <v>Industrial</v>
      </c>
      <c r="E305" s="17">
        <f>IFERROR(__xludf.DUMMYFUNCTION("""COMPUTED_VALUE"""),8.47)</f>
        <v>8.47</v>
      </c>
      <c r="F305" s="27">
        <f>IFERROR(__xludf.DUMMYFUNCTION("""COMPUTED_VALUE"""),2.79)</f>
        <v>2.79</v>
      </c>
      <c r="G305" s="13">
        <f>IFERROR(__xludf.DUMMYFUNCTION("""COMPUTED_VALUE"""),0.0927)</f>
        <v>0.0927</v>
      </c>
    </row>
    <row r="306">
      <c r="A306" s="17" t="str">
        <f>IFERROR(__xludf.DUMMYFUNCTION("""COMPUTED_VALUE"""),"Inland")</f>
        <v>Inland</v>
      </c>
      <c r="B306" s="17" t="str">
        <f>IFERROR(__xludf.DUMMYFUNCTION("""COMPUTED_VALUE"""),"Ft. Collins Multifamily III DST")</f>
        <v>Ft. Collins Multifamily III DST</v>
      </c>
      <c r="C306" s="17"/>
      <c r="D306" s="17" t="str">
        <f>IFERROR(__xludf.DUMMYFUNCTION("""COMPUTED_VALUE"""),"Multifamily")</f>
        <v>Multifamily</v>
      </c>
      <c r="E306" s="17">
        <f>IFERROR(__xludf.DUMMYFUNCTION("""COMPUTED_VALUE"""),5.12)</f>
        <v>5.12</v>
      </c>
      <c r="F306" s="27">
        <f>IFERROR(__xludf.DUMMYFUNCTION("""COMPUTED_VALUE"""),1.67)</f>
        <v>1.67</v>
      </c>
      <c r="G306" s="13">
        <f>IFERROR(__xludf.DUMMYFUNCTION("""COMPUTED_VALUE"""),0.1181)</f>
        <v>0.1181</v>
      </c>
    </row>
    <row r="307">
      <c r="A307" s="17" t="str">
        <f>IFERROR(__xludf.DUMMYFUNCTION("""COMPUTED_VALUE"""),"Inland")</f>
        <v>Inland</v>
      </c>
      <c r="B307" s="17" t="str">
        <f>IFERROR(__xludf.DUMMYFUNCTION("""COMPUTED_VALUE"""),"Ft. Collins Multifamily Portfolio DST")</f>
        <v>Ft. Collins Multifamily Portfolio DST</v>
      </c>
      <c r="C307" s="17"/>
      <c r="D307" s="17" t="str">
        <f>IFERROR(__xludf.DUMMYFUNCTION("""COMPUTED_VALUE"""),"Multifamily")</f>
        <v>Multifamily</v>
      </c>
      <c r="E307" s="17">
        <f>IFERROR(__xludf.DUMMYFUNCTION("""COMPUTED_VALUE"""),5.55)</f>
        <v>5.55</v>
      </c>
      <c r="F307" s="27">
        <f>IFERROR(__xludf.DUMMYFUNCTION("""COMPUTED_VALUE"""),1.66)</f>
        <v>1.66</v>
      </c>
      <c r="G307" s="13">
        <f>IFERROR(__xludf.DUMMYFUNCTION("""COMPUTED_VALUE"""),0.1029)</f>
        <v>0.1029</v>
      </c>
    </row>
    <row r="308">
      <c r="A308" s="17" t="str">
        <f>IFERROR(__xludf.DUMMYFUNCTION("""COMPUTED_VALUE"""),"AEI Capital Corporation")</f>
        <v>AEI Capital Corporation</v>
      </c>
      <c r="B308" s="17" t="str">
        <f>IFERROR(__xludf.DUMMYFUNCTION("""COMPUTED_VALUE"""),"Fuddruckers")</f>
        <v>Fuddruckers</v>
      </c>
      <c r="C308" s="17" t="str">
        <f>IFERROR(__xludf.DUMMYFUNCTION("""COMPUTED_VALUE"""),"Thornton, CO")</f>
        <v>Thornton, CO</v>
      </c>
      <c r="D308" s="17" t="str">
        <f>IFERROR(__xludf.DUMMYFUNCTION("""COMPUTED_VALUE"""),"Net Lease")</f>
        <v>Net Lease</v>
      </c>
      <c r="E308" s="17">
        <f>IFERROR(__xludf.DUMMYFUNCTION("""COMPUTED_VALUE"""),10.66)</f>
        <v>10.66</v>
      </c>
      <c r="F308" s="27">
        <f>IFERROR(__xludf.DUMMYFUNCTION("""COMPUTED_VALUE"""),1.24)</f>
        <v>1.24</v>
      </c>
      <c r="G308" s="13">
        <f>IFERROR(__xludf.DUMMYFUNCTION("""COMPUTED_VALUE"""),0.0888)</f>
        <v>0.0888</v>
      </c>
    </row>
    <row r="309">
      <c r="A309" s="17" t="str">
        <f>IFERROR(__xludf.DUMMYFUNCTION("""COMPUTED_VALUE"""),"AEI Capital Corporation")</f>
        <v>AEI Capital Corporation</v>
      </c>
      <c r="B309" s="17" t="str">
        <f>IFERROR(__xludf.DUMMYFUNCTION("""COMPUTED_VALUE"""),"Garden Ridge")</f>
        <v>Garden Ridge</v>
      </c>
      <c r="C309" s="17" t="str">
        <f>IFERROR(__xludf.DUMMYFUNCTION("""COMPUTED_VALUE"""),"Conroe, TX")</f>
        <v>Conroe, TX</v>
      </c>
      <c r="D309" s="17" t="str">
        <f>IFERROR(__xludf.DUMMYFUNCTION("""COMPUTED_VALUE"""),"Net Lease")</f>
        <v>Net Lease</v>
      </c>
      <c r="E309" s="17">
        <f>IFERROR(__xludf.DUMMYFUNCTION("""COMPUTED_VALUE"""),2.87)</f>
        <v>2.87</v>
      </c>
      <c r="F309" s="27">
        <f>IFERROR(__xludf.DUMMYFUNCTION("""COMPUTED_VALUE"""),1.08)</f>
        <v>1.08</v>
      </c>
      <c r="G309" s="13">
        <f>IFERROR(__xludf.DUMMYFUNCTION("""COMPUTED_VALUE"""),0.0659)</f>
        <v>0.0659</v>
      </c>
    </row>
    <row r="310">
      <c r="A310" s="17" t="str">
        <f>IFERROR(__xludf.DUMMYFUNCTION("""COMPUTED_VALUE"""),"Walton Global Holdings")</f>
        <v>Walton Global Holdings</v>
      </c>
      <c r="B310" s="17" t="str">
        <f>IFERROR(__xludf.DUMMYFUNCTION("""COMPUTED_VALUE"""),"Garrett Sagewood")</f>
        <v>Garrett Sagewood</v>
      </c>
      <c r="C310" s="17" t="str">
        <f>IFERROR(__xludf.DUMMYFUNCTION("""COMPUTED_VALUE"""),"Riverside, CA")</f>
        <v>Riverside, CA</v>
      </c>
      <c r="D310" s="17" t="str">
        <f>IFERROR(__xludf.DUMMYFUNCTION("""COMPUTED_VALUE"""),"Land")</f>
        <v>Land</v>
      </c>
      <c r="E310" s="17">
        <f>IFERROR(__xludf.DUMMYFUNCTION("""COMPUTED_VALUE"""),2.77)</f>
        <v>2.77</v>
      </c>
      <c r="F310" s="27">
        <f>IFERROR(__xludf.DUMMYFUNCTION("""COMPUTED_VALUE"""),1.15)</f>
        <v>1.15</v>
      </c>
      <c r="G310" s="13">
        <f>IFERROR(__xludf.DUMMYFUNCTION("""COMPUTED_VALUE"""),0.0772)</f>
        <v>0.0772</v>
      </c>
    </row>
    <row r="311">
      <c r="A311" s="17" t="str">
        <f>IFERROR(__xludf.DUMMYFUNCTION("""COMPUTED_VALUE"""),"Bluerock")</f>
        <v>Bluerock</v>
      </c>
      <c r="B311" s="17" t="str">
        <f>IFERROR(__xludf.DUMMYFUNCTION("""COMPUTED_VALUE"""),"Georgetown Crossing")</f>
        <v>Georgetown Crossing</v>
      </c>
      <c r="C311" s="17" t="str">
        <f>IFERROR(__xludf.DUMMYFUNCTION("""COMPUTED_VALUE"""),"Savannah, GA")</f>
        <v>Savannah, GA</v>
      </c>
      <c r="D311" s="17" t="str">
        <f>IFERROR(__xludf.DUMMYFUNCTION("""COMPUTED_VALUE"""),"Multifamily")</f>
        <v>Multifamily</v>
      </c>
      <c r="E311" s="17">
        <f>IFERROR(__xludf.DUMMYFUNCTION("""COMPUTED_VALUE"""),2.25)</f>
        <v>2.25</v>
      </c>
      <c r="F311" s="27">
        <f>IFERROR(__xludf.DUMMYFUNCTION("""COMPUTED_VALUE"""),1.22)</f>
        <v>1.22</v>
      </c>
      <c r="G311" s="13">
        <f>IFERROR(__xludf.DUMMYFUNCTION("""COMPUTED_VALUE"""),0.1138)</f>
        <v>0.1138</v>
      </c>
    </row>
    <row r="312">
      <c r="A312" s="17" t="str">
        <f>IFERROR(__xludf.DUMMYFUNCTION("""COMPUTED_VALUE"""),"AEI Capital Corporation")</f>
        <v>AEI Capital Corporation</v>
      </c>
      <c r="B312" s="17" t="str">
        <f>IFERROR(__xludf.DUMMYFUNCTION("""COMPUTED_VALUE"""),"Gingham's")</f>
        <v>Gingham's</v>
      </c>
      <c r="C312" s="17" t="str">
        <f>IFERROR(__xludf.DUMMYFUNCTION("""COMPUTED_VALUE"""),"St. Charles, MO")</f>
        <v>St. Charles, MO</v>
      </c>
      <c r="D312" s="17" t="str">
        <f>IFERROR(__xludf.DUMMYFUNCTION("""COMPUTED_VALUE"""),"Net Lease")</f>
        <v>Net Lease</v>
      </c>
      <c r="E312" s="17">
        <f>IFERROR(__xludf.DUMMYFUNCTION("""COMPUTED_VALUE"""),23.29)</f>
        <v>23.29</v>
      </c>
      <c r="F312" s="27">
        <f>IFERROR(__xludf.DUMMYFUNCTION("""COMPUTED_VALUE"""),2.27)</f>
        <v>2.27</v>
      </c>
      <c r="G312" s="13">
        <f>IFERROR(__xludf.DUMMYFUNCTION("""COMPUTED_VALUE"""),0.0918)</f>
        <v>0.0918</v>
      </c>
    </row>
    <row r="313">
      <c r="A313" s="17" t="str">
        <f>IFERROR(__xludf.DUMMYFUNCTION("""COMPUTED_VALUE"""),"Passco")</f>
        <v>Passco</v>
      </c>
      <c r="B313" s="17" t="str">
        <f>IFERROR(__xludf.DUMMYFUNCTION("""COMPUTED_VALUE"""),"Glen at Alexander")</f>
        <v>Glen at Alexander</v>
      </c>
      <c r="C313" s="17" t="str">
        <f>IFERROR(__xludf.DUMMYFUNCTION("""COMPUTED_VALUE"""),"Augusta, GA")</f>
        <v>Augusta, GA</v>
      </c>
      <c r="D313" s="17" t="str">
        <f>IFERROR(__xludf.DUMMYFUNCTION("""COMPUTED_VALUE"""),"Multifamily")</f>
        <v>Multifamily</v>
      </c>
      <c r="E313" s="17">
        <f>IFERROR(__xludf.DUMMYFUNCTION("""COMPUTED_VALUE"""),7.0)</f>
        <v>7</v>
      </c>
      <c r="F313" s="27">
        <f>IFERROR(__xludf.DUMMYFUNCTION("""COMPUTED_VALUE"""),1.97)</f>
        <v>1.97</v>
      </c>
      <c r="G313" s="13">
        <f>IFERROR(__xludf.DUMMYFUNCTION("""COMPUTED_VALUE"""),0.1016)</f>
        <v>0.1016</v>
      </c>
    </row>
    <row r="314">
      <c r="A314" s="17" t="str">
        <f>IFERROR(__xludf.DUMMYFUNCTION("""COMPUTED_VALUE"""),"Time Equities")</f>
        <v>Time Equities</v>
      </c>
      <c r="B314" s="17" t="str">
        <f>IFERROR(__xludf.DUMMYFUNCTION("""COMPUTED_VALUE"""),"Glenmore Commerce Court")</f>
        <v>Glenmore Commerce Court</v>
      </c>
      <c r="C314" s="17" t="str">
        <f>IFERROR(__xludf.DUMMYFUNCTION("""COMPUTED_VALUE"""),"Calgary, Alberta")</f>
        <v>Calgary, Alberta</v>
      </c>
      <c r="D314" s="17" t="str">
        <f>IFERROR(__xludf.DUMMYFUNCTION("""COMPUTED_VALUE"""),"Office")</f>
        <v>Office</v>
      </c>
      <c r="E314" s="17">
        <f>IFERROR(__xludf.DUMMYFUNCTION("""COMPUTED_VALUE"""),2.83)</f>
        <v>2.83</v>
      </c>
      <c r="F314" s="27">
        <f>IFERROR(__xludf.DUMMYFUNCTION("""COMPUTED_VALUE"""),2.4)</f>
        <v>2.4</v>
      </c>
      <c r="G314" s="13">
        <f>IFERROR(__xludf.DUMMYFUNCTION("""COMPUTED_VALUE"""),0.5607)</f>
        <v>0.5607</v>
      </c>
    </row>
    <row r="315">
      <c r="A315" s="17" t="str">
        <f>IFERROR(__xludf.DUMMYFUNCTION("""COMPUTED_VALUE"""),"Bluerock")</f>
        <v>Bluerock</v>
      </c>
      <c r="B315" s="17" t="str">
        <f>IFERROR(__xludf.DUMMYFUNCTION("""COMPUTED_VALUE"""),"Glenwood")</f>
        <v>Glenwood</v>
      </c>
      <c r="C315" s="17" t="str">
        <f>IFERROR(__xludf.DUMMYFUNCTION("""COMPUTED_VALUE"""),"Atlanta, GA")</f>
        <v>Atlanta, GA</v>
      </c>
      <c r="D315" s="17" t="str">
        <f>IFERROR(__xludf.DUMMYFUNCTION("""COMPUTED_VALUE"""),"Multifamily")</f>
        <v>Multifamily</v>
      </c>
      <c r="E315" s="17">
        <f>IFERROR(__xludf.DUMMYFUNCTION("""COMPUTED_VALUE"""),5.67)</f>
        <v>5.67</v>
      </c>
      <c r="F315" s="27">
        <f>IFERROR(__xludf.DUMMYFUNCTION("""COMPUTED_VALUE"""),1.38)</f>
        <v>1.38</v>
      </c>
      <c r="G315" s="13">
        <f>IFERROR(__xludf.DUMMYFUNCTION("""COMPUTED_VALUE"""),0.069)</f>
        <v>0.069</v>
      </c>
    </row>
    <row r="316">
      <c r="A316" s="17" t="str">
        <f>IFERROR(__xludf.DUMMYFUNCTION("""COMPUTED_VALUE"""),"Bluerock")</f>
        <v>Bluerock</v>
      </c>
      <c r="B316" s="17" t="str">
        <f>IFERROR(__xludf.DUMMYFUNCTION("""COMPUTED_VALUE"""),"Grand at Westside")</f>
        <v>Grand at Westside</v>
      </c>
      <c r="C316" s="17" t="str">
        <f>IFERROR(__xludf.DUMMYFUNCTION("""COMPUTED_VALUE"""),"Kissimmee, FL")</f>
        <v>Kissimmee, FL</v>
      </c>
      <c r="D316" s="17" t="str">
        <f>IFERROR(__xludf.DUMMYFUNCTION("""COMPUTED_VALUE"""),"Multifamily")</f>
        <v>Multifamily</v>
      </c>
      <c r="E316" s="17">
        <f>IFERROR(__xludf.DUMMYFUNCTION("""COMPUTED_VALUE"""),4.5)</f>
        <v>4.5</v>
      </c>
      <c r="F316" s="27">
        <f>IFERROR(__xludf.DUMMYFUNCTION("""COMPUTED_VALUE"""),1.55)</f>
        <v>1.55</v>
      </c>
      <c r="G316" s="13">
        <f>IFERROR(__xludf.DUMMYFUNCTION("""COMPUTED_VALUE"""),0.152)</f>
        <v>0.152</v>
      </c>
    </row>
    <row r="317">
      <c r="A317" s="17" t="str">
        <f>IFERROR(__xludf.DUMMYFUNCTION("""COMPUTED_VALUE"""),"Inland")</f>
        <v>Inland</v>
      </c>
      <c r="B317" s="17" t="str">
        <f>IFERROR(__xludf.DUMMYFUNCTION("""COMPUTED_VALUE"""),"Grand Chute DST")</f>
        <v>Grand Chute DST</v>
      </c>
      <c r="C317" s="17"/>
      <c r="D317" s="17" t="str">
        <f>IFERROR(__xludf.DUMMYFUNCTION("""COMPUTED_VALUE"""),"Retail")</f>
        <v>Retail</v>
      </c>
      <c r="E317" s="17">
        <f>IFERROR(__xludf.DUMMYFUNCTION("""COMPUTED_VALUE"""),11.5)</f>
        <v>11.5</v>
      </c>
      <c r="F317" s="27">
        <f>IFERROR(__xludf.DUMMYFUNCTION("""COMPUTED_VALUE"""),1.92)</f>
        <v>1.92</v>
      </c>
      <c r="G317" s="13">
        <f>IFERROR(__xludf.DUMMYFUNCTION("""COMPUTED_VALUE"""),0.0864)</f>
        <v>0.0864</v>
      </c>
    </row>
    <row r="318">
      <c r="A318" s="17" t="str">
        <f>IFERROR(__xludf.DUMMYFUNCTION("""COMPUTED_VALUE"""),"Bluerock")</f>
        <v>Bluerock</v>
      </c>
      <c r="B318" s="17" t="str">
        <f>IFERROR(__xludf.DUMMYFUNCTION("""COMPUTED_VALUE"""),"Grand Dominion")</f>
        <v>Grand Dominion</v>
      </c>
      <c r="C318" s="17" t="str">
        <f>IFERROR(__xludf.DUMMYFUNCTION("""COMPUTED_VALUE"""),"San Antonio, TX")</f>
        <v>San Antonio, TX</v>
      </c>
      <c r="D318" s="17" t="str">
        <f>IFERROR(__xludf.DUMMYFUNCTION("""COMPUTED_VALUE"""),"Multifamily")</f>
        <v>Multifamily</v>
      </c>
      <c r="E318" s="17">
        <f>IFERROR(__xludf.DUMMYFUNCTION("""COMPUTED_VALUE"""),4.92)</f>
        <v>4.92</v>
      </c>
      <c r="F318" s="27">
        <f>IFERROR(__xludf.DUMMYFUNCTION("""COMPUTED_VALUE"""),1.38)</f>
        <v>1.38</v>
      </c>
      <c r="G318" s="13">
        <f>IFERROR(__xludf.DUMMYFUNCTION("""COMPUTED_VALUE"""),0.116)</f>
        <v>0.116</v>
      </c>
    </row>
    <row r="319">
      <c r="A319" s="17" t="str">
        <f>IFERROR(__xludf.DUMMYFUNCTION("""COMPUTED_VALUE"""),"Walton Global Holdings")</f>
        <v>Walton Global Holdings</v>
      </c>
      <c r="B319" s="17" t="str">
        <f>IFERROR(__xludf.DUMMYFUNCTION("""COMPUTED_VALUE"""),"Grayson - Garland Heights 1")</f>
        <v>Grayson - Garland Heights 1</v>
      </c>
      <c r="C319" s="17" t="str">
        <f>IFERROR(__xludf.DUMMYFUNCTION("""COMPUTED_VALUE"""),"Dallas-Fort Worth, TX")</f>
        <v>Dallas-Fort Worth, TX</v>
      </c>
      <c r="D319" s="17" t="str">
        <f>IFERROR(__xludf.DUMMYFUNCTION("""COMPUTED_VALUE"""),"Land")</f>
        <v>Land</v>
      </c>
      <c r="E319" s="17">
        <f>IFERROR(__xludf.DUMMYFUNCTION("""COMPUTED_VALUE"""),3.18)</f>
        <v>3.18</v>
      </c>
      <c r="F319" s="27">
        <f>IFERROR(__xludf.DUMMYFUNCTION("""COMPUTED_VALUE"""),0.49)</f>
        <v>0.49</v>
      </c>
      <c r="G319" s="13">
        <f>IFERROR(__xludf.DUMMYFUNCTION("""COMPUTED_VALUE"""),-0.2009)</f>
        <v>-0.2009</v>
      </c>
    </row>
    <row r="320">
      <c r="A320" s="17" t="str">
        <f>IFERROR(__xludf.DUMMYFUNCTION("""COMPUTED_VALUE"""),"Walton Global Holdings")</f>
        <v>Walton Global Holdings</v>
      </c>
      <c r="B320" s="17" t="str">
        <f>IFERROR(__xludf.DUMMYFUNCTION("""COMPUTED_VALUE"""),"Grayson - Silver Crossing")</f>
        <v>Grayson - Silver Crossing</v>
      </c>
      <c r="C320" s="17" t="str">
        <f>IFERROR(__xludf.DUMMYFUNCTION("""COMPUTED_VALUE"""),"Dallas-Fort Worth, TX")</f>
        <v>Dallas-Fort Worth, TX</v>
      </c>
      <c r="D320" s="17" t="str">
        <f>IFERROR(__xludf.DUMMYFUNCTION("""COMPUTED_VALUE"""),"Land")</f>
        <v>Land</v>
      </c>
      <c r="E320" s="17">
        <f>IFERROR(__xludf.DUMMYFUNCTION("""COMPUTED_VALUE"""),3.18)</f>
        <v>3.18</v>
      </c>
      <c r="F320" s="27">
        <f>IFERROR(__xludf.DUMMYFUNCTION("""COMPUTED_VALUE"""),0.49)</f>
        <v>0.49</v>
      </c>
      <c r="G320" s="13">
        <f>IFERROR(__xludf.DUMMYFUNCTION("""COMPUTED_VALUE"""),-0.2009)</f>
        <v>-0.2009</v>
      </c>
    </row>
    <row r="321">
      <c r="A321" s="17" t="str">
        <f>IFERROR(__xludf.DUMMYFUNCTION("""COMPUTED_VALUE"""),"Walton Global Holdings")</f>
        <v>Walton Global Holdings</v>
      </c>
      <c r="B321" s="17" t="str">
        <f>IFERROR(__xludf.DUMMYFUNCTION("""COMPUTED_VALUE"""),"Grayson - South Grayson")</f>
        <v>Grayson - South Grayson</v>
      </c>
      <c r="C321" s="17" t="str">
        <f>IFERROR(__xludf.DUMMYFUNCTION("""COMPUTED_VALUE"""),"Dallas-Fort Worth, TX")</f>
        <v>Dallas-Fort Worth, TX</v>
      </c>
      <c r="D321" s="17" t="str">
        <f>IFERROR(__xludf.DUMMYFUNCTION("""COMPUTED_VALUE"""),"Land")</f>
        <v>Land</v>
      </c>
      <c r="E321" s="17">
        <f>IFERROR(__xludf.DUMMYFUNCTION("""COMPUTED_VALUE"""),3.18)</f>
        <v>3.18</v>
      </c>
      <c r="F321" s="27">
        <f>IFERROR(__xludf.DUMMYFUNCTION("""COMPUTED_VALUE"""),0.52)</f>
        <v>0.52</v>
      </c>
      <c r="G321" s="13">
        <f>IFERROR(__xludf.DUMMYFUNCTION("""COMPUTED_VALUE"""),-0.1859)</f>
        <v>-0.1859</v>
      </c>
    </row>
    <row r="322">
      <c r="A322" s="17" t="str">
        <f>IFERROR(__xludf.DUMMYFUNCTION("""COMPUTED_VALUE"""),"Walton Global Holdings")</f>
        <v>Walton Global Holdings</v>
      </c>
      <c r="B322" s="17" t="str">
        <f>IFERROR(__xludf.DUMMYFUNCTION("""COMPUTED_VALUE"""),"Greenway Trails")</f>
        <v>Greenway Trails</v>
      </c>
      <c r="C322" s="17" t="str">
        <f>IFERROR(__xludf.DUMMYFUNCTION("""COMPUTED_VALUE"""),"Dallas-Fort Worth, TX")</f>
        <v>Dallas-Fort Worth, TX</v>
      </c>
      <c r="D322" s="17" t="str">
        <f>IFERROR(__xludf.DUMMYFUNCTION("""COMPUTED_VALUE"""),"Land")</f>
        <v>Land</v>
      </c>
      <c r="E322" s="17">
        <f>IFERROR(__xludf.DUMMYFUNCTION("""COMPUTED_VALUE"""),5.03)</f>
        <v>5.03</v>
      </c>
      <c r="F322" s="27">
        <f>IFERROR(__xludf.DUMMYFUNCTION("""COMPUTED_VALUE"""),2.5)</f>
        <v>2.5</v>
      </c>
      <c r="G322" s="13">
        <f>IFERROR(__xludf.DUMMYFUNCTION("""COMPUTED_VALUE"""),0.2975)</f>
        <v>0.2975</v>
      </c>
    </row>
    <row r="323">
      <c r="A323" s="17" t="str">
        <f>IFERROR(__xludf.DUMMYFUNCTION("""COMPUTED_VALUE"""),"Passco")</f>
        <v>Passco</v>
      </c>
      <c r="B323" s="17" t="str">
        <f>IFERROR(__xludf.DUMMYFUNCTION("""COMPUTED_VALUE"""),"Greenwood Reserve")</f>
        <v>Greenwood Reserve</v>
      </c>
      <c r="C323" s="17" t="str">
        <f>IFERROR(__xludf.DUMMYFUNCTION("""COMPUTED_VALUE"""),"Olathe, KS")</f>
        <v>Olathe, KS</v>
      </c>
      <c r="D323" s="17" t="str">
        <f>IFERROR(__xludf.DUMMYFUNCTION("""COMPUTED_VALUE"""),"Multifamily")</f>
        <v>Multifamily</v>
      </c>
      <c r="E323" s="17">
        <f>IFERROR(__xludf.DUMMYFUNCTION("""COMPUTED_VALUE"""),5.0)</f>
        <v>5</v>
      </c>
      <c r="F323" s="27">
        <f>IFERROR(__xludf.DUMMYFUNCTION("""COMPUTED_VALUE"""),2.03)</f>
        <v>2.03</v>
      </c>
      <c r="G323" s="13">
        <f>IFERROR(__xludf.DUMMYFUNCTION("""COMPUTED_VALUE"""),0.1521)</f>
        <v>0.1521</v>
      </c>
    </row>
    <row r="324">
      <c r="A324" s="17" t="str">
        <f>IFERROR(__xludf.DUMMYFUNCTION("""COMPUTED_VALUE"""),"Griffin Capital")</f>
        <v>Griffin Capital</v>
      </c>
      <c r="B324" s="17" t="str">
        <f>IFERROR(__xludf.DUMMYFUNCTION("""COMPUTED_VALUE"""),"Griffin Capital (Heritage - Bedford, NH) DST (Estimated)")</f>
        <v>Griffin Capital (Heritage - Bedford, NH) DST (Estimated)</v>
      </c>
      <c r="C324" s="17" t="str">
        <f>IFERROR(__xludf.DUMMYFUNCTION("""COMPUTED_VALUE"""),"Bedford, NH")</f>
        <v>Bedford, NH</v>
      </c>
      <c r="D324" s="17" t="str">
        <f>IFERROR(__xludf.DUMMYFUNCTION("""COMPUTED_VALUE"""),"Multifamily")</f>
        <v>Multifamily</v>
      </c>
      <c r="E324" s="17">
        <f>IFERROR(__xludf.DUMMYFUNCTION("""COMPUTED_VALUE"""),5.58)</f>
        <v>5.58</v>
      </c>
      <c r="F324" s="27">
        <f>IFERROR(__xludf.DUMMYFUNCTION("""COMPUTED_VALUE"""),1.7)</f>
        <v>1.7</v>
      </c>
      <c r="G324" s="13">
        <f>IFERROR(__xludf.DUMMYFUNCTION("""COMPUTED_VALUE"""),0.128)</f>
        <v>0.128</v>
      </c>
    </row>
    <row r="325">
      <c r="A325" s="17" t="str">
        <f>IFERROR(__xludf.DUMMYFUNCTION("""COMPUTED_VALUE"""),"Griffin Capital")</f>
        <v>Griffin Capital</v>
      </c>
      <c r="B325" s="17" t="str">
        <f>IFERROR(__xludf.DUMMYFUNCTION("""COMPUTED_VALUE"""),"Griffin Capital (South Beach - Vegas) DST")</f>
        <v>Griffin Capital (South Beach - Vegas) DST</v>
      </c>
      <c r="C325" s="17" t="str">
        <f>IFERROR(__xludf.DUMMYFUNCTION("""COMPUTED_VALUE"""),"Las Vegas, NV")</f>
        <v>Las Vegas, NV</v>
      </c>
      <c r="D325" s="17" t="str">
        <f>IFERROR(__xludf.DUMMYFUNCTION("""COMPUTED_VALUE"""),"Multifamily")</f>
        <v>Multifamily</v>
      </c>
      <c r="E325" s="17">
        <f>IFERROR(__xludf.DUMMYFUNCTION("""COMPUTED_VALUE"""),3.25)</f>
        <v>3.25</v>
      </c>
      <c r="F325" s="27">
        <f>IFERROR(__xludf.DUMMYFUNCTION("""COMPUTED_VALUE"""),1.73)</f>
        <v>1.73</v>
      </c>
      <c r="G325" s="13">
        <f>IFERROR(__xludf.DUMMYFUNCTION("""COMPUTED_VALUE"""),0.2328)</f>
        <v>0.2328</v>
      </c>
    </row>
    <row r="326">
      <c r="A326" s="17" t="str">
        <f>IFERROR(__xludf.DUMMYFUNCTION("""COMPUTED_VALUE"""),"Bluerock")</f>
        <v>Bluerock</v>
      </c>
      <c r="B326" s="17" t="str">
        <f>IFERROR(__xludf.DUMMYFUNCTION("""COMPUTED_VALUE"""),"Grove at Waterford")</f>
        <v>Grove at Waterford</v>
      </c>
      <c r="C326" s="17" t="str">
        <f>IFERROR(__xludf.DUMMYFUNCTION("""COMPUTED_VALUE"""),"Hendersonville, TN")</f>
        <v>Hendersonville, TN</v>
      </c>
      <c r="D326" s="17" t="str">
        <f>IFERROR(__xludf.DUMMYFUNCTION("""COMPUTED_VALUE"""),"Multifamily")</f>
        <v>Multifamily</v>
      </c>
      <c r="E326" s="17">
        <f>IFERROR(__xludf.DUMMYFUNCTION("""COMPUTED_VALUE"""),2.58)</f>
        <v>2.58</v>
      </c>
      <c r="F326" s="27">
        <f>IFERROR(__xludf.DUMMYFUNCTION("""COMPUTED_VALUE"""),1.34)</f>
        <v>1.34</v>
      </c>
      <c r="G326" s="13">
        <f>IFERROR(__xludf.DUMMYFUNCTION("""COMPUTED_VALUE"""),0.35)</f>
        <v>0.35</v>
      </c>
    </row>
    <row r="327">
      <c r="A327" s="17" t="str">
        <f>IFERROR(__xludf.DUMMYFUNCTION("""COMPUTED_VALUE"""),"Walton Global Holdings")</f>
        <v>Walton Global Holdings</v>
      </c>
      <c r="B327" s="17" t="str">
        <f>IFERROR(__xludf.DUMMYFUNCTION("""COMPUTED_VALUE"""),"Grove Village")</f>
        <v>Grove Village</v>
      </c>
      <c r="C327" s="17" t="str">
        <f>IFERROR(__xludf.DUMMYFUNCTION("""COMPUTED_VALUE"""),"Atlanta, GA")</f>
        <v>Atlanta, GA</v>
      </c>
      <c r="D327" s="17" t="str">
        <f>IFERROR(__xludf.DUMMYFUNCTION("""COMPUTED_VALUE"""),"Land")</f>
        <v>Land</v>
      </c>
      <c r="E327" s="17">
        <f>IFERROR(__xludf.DUMMYFUNCTION("""COMPUTED_VALUE"""),1.78)</f>
        <v>1.78</v>
      </c>
      <c r="F327" s="27">
        <f>IFERROR(__xludf.DUMMYFUNCTION("""COMPUTED_VALUE"""),2.92)</f>
        <v>2.92</v>
      </c>
      <c r="G327" s="13">
        <f>IFERROR(__xludf.DUMMYFUNCTION("""COMPUTED_VALUE"""),0.8738)</f>
        <v>0.8738</v>
      </c>
    </row>
    <row r="328">
      <c r="A328" s="17" t="str">
        <f>IFERROR(__xludf.DUMMYFUNCTION("""COMPUTED_VALUE"""),"Net Lease Capital Advisors")</f>
        <v>Net Lease Capital Advisors</v>
      </c>
      <c r="B328" s="17" t="str">
        <f>IFERROR(__xludf.DUMMYFUNCTION("""COMPUTED_VALUE"""),"GSA FBI/NARA Portfolio DST")</f>
        <v>GSA FBI/NARA Portfolio DST</v>
      </c>
      <c r="C328" s="17" t="str">
        <f>IFERROR(__xludf.DUMMYFUNCTION("""COMPUTED_VALUE"""),"Portland OR; Brooklyn Center MN; Sycamore OH; St. Louis MO")</f>
        <v>Portland OR; Brooklyn Center MN; Sycamore OH; St. Louis MO</v>
      </c>
      <c r="D328" s="17" t="str">
        <f>IFERROR(__xludf.DUMMYFUNCTION("""COMPUTED_VALUE"""),"Government Lease")</f>
        <v>Government Lease</v>
      </c>
      <c r="E328" s="17">
        <f>IFERROR(__xludf.DUMMYFUNCTION("""COMPUTED_VALUE"""),7.57)</f>
        <v>7.57</v>
      </c>
      <c r="F328" s="27">
        <f>IFERROR(__xludf.DUMMYFUNCTION("""COMPUTED_VALUE"""),1.6)</f>
        <v>1.6</v>
      </c>
      <c r="G328" s="13">
        <f>IFERROR(__xludf.DUMMYFUNCTION("""COMPUTED_VALUE"""),0.0638)</f>
        <v>0.0638</v>
      </c>
    </row>
    <row r="329">
      <c r="A329" s="17" t="str">
        <f>IFERROR(__xludf.DUMMYFUNCTION("""COMPUTED_VALUE"""),"Net Lease Capital Advisors")</f>
        <v>Net Lease Capital Advisors</v>
      </c>
      <c r="B329" s="17" t="str">
        <f>IFERROR(__xludf.DUMMYFUNCTION("""COMPUTED_VALUE"""),"GSA SSA Birmingham DST")</f>
        <v>GSA SSA Birmingham DST</v>
      </c>
      <c r="C329" s="17" t="str">
        <f>IFERROR(__xludf.DUMMYFUNCTION("""COMPUTED_VALUE"""),"Birmingham, AL")</f>
        <v>Birmingham, AL</v>
      </c>
      <c r="D329" s="17" t="str">
        <f>IFERROR(__xludf.DUMMYFUNCTION("""COMPUTED_VALUE"""),"Government Lease")</f>
        <v>Government Lease</v>
      </c>
      <c r="E329" s="17">
        <f>IFERROR(__xludf.DUMMYFUNCTION("""COMPUTED_VALUE"""),12.21)</f>
        <v>12.21</v>
      </c>
      <c r="F329" s="27">
        <f>IFERROR(__xludf.DUMMYFUNCTION("""COMPUTED_VALUE"""),2.64)</f>
        <v>2.64</v>
      </c>
      <c r="G329" s="13">
        <f>IFERROR(__xludf.DUMMYFUNCTION("""COMPUTED_VALUE"""),0.0829)</f>
        <v>0.0829</v>
      </c>
    </row>
    <row r="330">
      <c r="A330" s="17" t="str">
        <f>IFERROR(__xludf.DUMMYFUNCTION("""COMPUTED_VALUE"""),"Bluerock")</f>
        <v>Bluerock</v>
      </c>
      <c r="B330" s="17" t="str">
        <f>IFERROR(__xludf.DUMMYFUNCTION("""COMPUTED_VALUE"""),"Gulfshore Apartment Homes")</f>
        <v>Gulfshore Apartment Homes</v>
      </c>
      <c r="C330" s="17" t="str">
        <f>IFERROR(__xludf.DUMMYFUNCTION("""COMPUTED_VALUE"""),"Naples, FL")</f>
        <v>Naples, FL</v>
      </c>
      <c r="D330" s="17" t="str">
        <f>IFERROR(__xludf.DUMMYFUNCTION("""COMPUTED_VALUE"""),"Multifamily")</f>
        <v>Multifamily</v>
      </c>
      <c r="E330" s="17">
        <f>IFERROR(__xludf.DUMMYFUNCTION("""COMPUTED_VALUE"""),6.75)</f>
        <v>6.75</v>
      </c>
      <c r="F330" s="27">
        <f>IFERROR(__xludf.DUMMYFUNCTION("""COMPUTED_VALUE"""),1.16)</f>
        <v>1.16</v>
      </c>
      <c r="G330" s="13">
        <f>IFERROR(__xludf.DUMMYFUNCTION("""COMPUTED_VALUE"""),0.2751)</f>
        <v>0.2751</v>
      </c>
    </row>
    <row r="331">
      <c r="A331" s="17" t="str">
        <f>IFERROR(__xludf.DUMMYFUNCTION("""COMPUTED_VALUE"""),"Peachtree Group")</f>
        <v>Peachtree Group</v>
      </c>
      <c r="B331" s="17" t="str">
        <f>IFERROR(__xludf.DUMMYFUNCTION("""COMPUTED_VALUE"""),"Hampton Inn – Corydon, IN")</f>
        <v>Hampton Inn – Corydon, IN</v>
      </c>
      <c r="C331" s="17" t="str">
        <f>IFERROR(__xludf.DUMMYFUNCTION("""COMPUTED_VALUE"""),"Corydon, IN")</f>
        <v>Corydon, IN</v>
      </c>
      <c r="D331" s="17" t="str">
        <f>IFERROR(__xludf.DUMMYFUNCTION("""COMPUTED_VALUE"""),"Hotel")</f>
        <v>Hotel</v>
      </c>
      <c r="E331" s="17">
        <f>IFERROR(__xludf.DUMMYFUNCTION("""COMPUTED_VALUE"""),7.32)</f>
        <v>7.32</v>
      </c>
      <c r="F331" s="27">
        <f>IFERROR(__xludf.DUMMYFUNCTION("""COMPUTED_VALUE"""),1.36)</f>
        <v>1.36</v>
      </c>
      <c r="G331" s="13">
        <f>IFERROR(__xludf.DUMMYFUNCTION("""COMPUTED_VALUE"""),0.047)</f>
        <v>0.047</v>
      </c>
    </row>
    <row r="332">
      <c r="A332" s="17" t="str">
        <f>IFERROR(__xludf.DUMMYFUNCTION("""COMPUTED_VALUE"""),"Peachtree Group")</f>
        <v>Peachtree Group</v>
      </c>
      <c r="B332" s="17" t="str">
        <f>IFERROR(__xludf.DUMMYFUNCTION("""COMPUTED_VALUE"""),"Hampton Inn – Milledgeville, GA")</f>
        <v>Hampton Inn – Milledgeville, GA</v>
      </c>
      <c r="C332" s="17" t="str">
        <f>IFERROR(__xludf.DUMMYFUNCTION("""COMPUTED_VALUE"""),"Milledgeville, GA")</f>
        <v>Milledgeville, GA</v>
      </c>
      <c r="D332" s="17" t="str">
        <f>IFERROR(__xludf.DUMMYFUNCTION("""COMPUTED_VALUE"""),"Hotel")</f>
        <v>Hotel</v>
      </c>
      <c r="E332" s="17">
        <f>IFERROR(__xludf.DUMMYFUNCTION("""COMPUTED_VALUE"""),3.19)</f>
        <v>3.19</v>
      </c>
      <c r="F332" s="27">
        <f>IFERROR(__xludf.DUMMYFUNCTION("""COMPUTED_VALUE"""),1.85)</f>
        <v>1.85</v>
      </c>
      <c r="G332" s="13">
        <f>IFERROR(__xludf.DUMMYFUNCTION("""COMPUTED_VALUE"""),0.232)</f>
        <v>0.232</v>
      </c>
    </row>
    <row r="333">
      <c r="A333" s="17" t="str">
        <f>IFERROR(__xludf.DUMMYFUNCTION("""COMPUTED_VALUE"""),"Peachtree Group")</f>
        <v>Peachtree Group</v>
      </c>
      <c r="B333" s="17" t="str">
        <f>IFERROR(__xludf.DUMMYFUNCTION("""COMPUTED_VALUE"""),"Hampton Inn – Okeechobee, FL")</f>
        <v>Hampton Inn – Okeechobee, FL</v>
      </c>
      <c r="C333" s="17" t="str">
        <f>IFERROR(__xludf.DUMMYFUNCTION("""COMPUTED_VALUE"""),"Okeechobee, FL")</f>
        <v>Okeechobee, FL</v>
      </c>
      <c r="D333" s="17" t="str">
        <f>IFERROR(__xludf.DUMMYFUNCTION("""COMPUTED_VALUE"""),"Hotel")</f>
        <v>Hotel</v>
      </c>
      <c r="E333" s="17">
        <f>IFERROR(__xludf.DUMMYFUNCTION("""COMPUTED_VALUE"""),0.71)</f>
        <v>0.71</v>
      </c>
      <c r="F333" s="27">
        <f>IFERROR(__xludf.DUMMYFUNCTION("""COMPUTED_VALUE"""),2.18)</f>
        <v>2.18</v>
      </c>
      <c r="G333" s="13">
        <f>IFERROR(__xludf.DUMMYFUNCTION("""COMPUTED_VALUE"""),2.071)</f>
        <v>2.071</v>
      </c>
    </row>
    <row r="334">
      <c r="A334" s="17" t="str">
        <f>IFERROR(__xludf.DUMMYFUNCTION("""COMPUTED_VALUE"""),"Peachtree Group")</f>
        <v>Peachtree Group</v>
      </c>
      <c r="B334" s="17" t="str">
        <f>IFERROR(__xludf.DUMMYFUNCTION("""COMPUTED_VALUE"""),"Hampton Inn – Pell City, AL")</f>
        <v>Hampton Inn – Pell City, AL</v>
      </c>
      <c r="C334" s="17" t="str">
        <f>IFERROR(__xludf.DUMMYFUNCTION("""COMPUTED_VALUE"""),"Pell City, AL")</f>
        <v>Pell City, AL</v>
      </c>
      <c r="D334" s="17" t="str">
        <f>IFERROR(__xludf.DUMMYFUNCTION("""COMPUTED_VALUE"""),"Hotel")</f>
        <v>Hotel</v>
      </c>
      <c r="E334" s="17">
        <f>IFERROR(__xludf.DUMMYFUNCTION("""COMPUTED_VALUE"""),7.02)</f>
        <v>7.02</v>
      </c>
      <c r="F334" s="27">
        <f>IFERROR(__xludf.DUMMYFUNCTION("""COMPUTED_VALUE"""),1.58)</f>
        <v>1.58</v>
      </c>
      <c r="G334" s="13">
        <f>IFERROR(__xludf.DUMMYFUNCTION("""COMPUTED_VALUE"""),0.084)</f>
        <v>0.084</v>
      </c>
    </row>
    <row r="335">
      <c r="A335" s="17" t="str">
        <f>IFERROR(__xludf.DUMMYFUNCTION("""COMPUTED_VALUE"""),"Peachtree Group")</f>
        <v>Peachtree Group</v>
      </c>
      <c r="B335" s="17" t="str">
        <f>IFERROR(__xludf.DUMMYFUNCTION("""COMPUTED_VALUE"""),"Hampton Inn – Starkville, MS")</f>
        <v>Hampton Inn – Starkville, MS</v>
      </c>
      <c r="C335" s="17" t="str">
        <f>IFERROR(__xludf.DUMMYFUNCTION("""COMPUTED_VALUE"""),"Starkville, MS")</f>
        <v>Starkville, MS</v>
      </c>
      <c r="D335" s="17" t="str">
        <f>IFERROR(__xludf.DUMMYFUNCTION("""COMPUTED_VALUE"""),"Hotel")</f>
        <v>Hotel</v>
      </c>
      <c r="E335" s="17">
        <f>IFERROR(__xludf.DUMMYFUNCTION("""COMPUTED_VALUE"""),14.5)</f>
        <v>14.5</v>
      </c>
      <c r="F335" s="27">
        <f>IFERROR(__xludf.DUMMYFUNCTION("""COMPUTED_VALUE"""),3.04)</f>
        <v>3.04</v>
      </c>
      <c r="G335" s="13">
        <f>IFERROR(__xludf.DUMMYFUNCTION("""COMPUTED_VALUE"""),0.169)</f>
        <v>0.169</v>
      </c>
    </row>
    <row r="336">
      <c r="A336" s="17" t="str">
        <f>IFERROR(__xludf.DUMMYFUNCTION("""COMPUTED_VALUE"""),"Peachtree Group")</f>
        <v>Peachtree Group</v>
      </c>
      <c r="B336" s="17" t="str">
        <f>IFERROR(__xludf.DUMMYFUNCTION("""COMPUTED_VALUE"""),"Hampton Inn &amp; Suites – East Point, GA")</f>
        <v>Hampton Inn &amp; Suites – East Point, GA</v>
      </c>
      <c r="C336" s="17" t="str">
        <f>IFERROR(__xludf.DUMMYFUNCTION("""COMPUTED_VALUE"""),"East Point, GA")</f>
        <v>East Point, GA</v>
      </c>
      <c r="D336" s="17" t="str">
        <f>IFERROR(__xludf.DUMMYFUNCTION("""COMPUTED_VALUE"""),"Hotel")</f>
        <v>Hotel</v>
      </c>
      <c r="E336" s="17">
        <f>IFERROR(__xludf.DUMMYFUNCTION("""COMPUTED_VALUE"""),2.46)</f>
        <v>2.46</v>
      </c>
      <c r="F336" s="27">
        <f>IFERROR(__xludf.DUMMYFUNCTION("""COMPUTED_VALUE"""),1.89)</f>
        <v>1.89</v>
      </c>
      <c r="G336" s="13">
        <f>IFERROR(__xludf.DUMMYFUNCTION("""COMPUTED_VALUE"""),0.308)</f>
        <v>0.308</v>
      </c>
    </row>
    <row r="337">
      <c r="A337" s="17" t="str">
        <f>IFERROR(__xludf.DUMMYFUNCTION("""COMPUTED_VALUE"""),"Peachtree Group")</f>
        <v>Peachtree Group</v>
      </c>
      <c r="B337" s="17" t="str">
        <f>IFERROR(__xludf.DUMMYFUNCTION("""COMPUTED_VALUE"""),"Hampton Inn &amp; Suites – Lake Mary, FL")</f>
        <v>Hampton Inn &amp; Suites – Lake Mary, FL</v>
      </c>
      <c r="C337" s="17" t="str">
        <f>IFERROR(__xludf.DUMMYFUNCTION("""COMPUTED_VALUE"""),"Lake Mary, FL")</f>
        <v>Lake Mary, FL</v>
      </c>
      <c r="D337" s="17" t="str">
        <f>IFERROR(__xludf.DUMMYFUNCTION("""COMPUTED_VALUE"""),"Hotel")</f>
        <v>Hotel</v>
      </c>
      <c r="E337" s="17">
        <f>IFERROR(__xludf.DUMMYFUNCTION("""COMPUTED_VALUE"""),2.45)</f>
        <v>2.45</v>
      </c>
      <c r="F337" s="27">
        <f>IFERROR(__xludf.DUMMYFUNCTION("""COMPUTED_VALUE"""),2.06)</f>
        <v>2.06</v>
      </c>
      <c r="G337" s="13">
        <f>IFERROR(__xludf.DUMMYFUNCTION("""COMPUTED_VALUE"""),0.329)</f>
        <v>0.329</v>
      </c>
    </row>
    <row r="338">
      <c r="A338" s="17" t="str">
        <f>IFERROR(__xludf.DUMMYFUNCTION("""COMPUTED_VALUE"""),"Peachtree Group")</f>
        <v>Peachtree Group</v>
      </c>
      <c r="B338" s="17" t="str">
        <f>IFERROR(__xludf.DUMMYFUNCTION("""COMPUTED_VALUE"""),"Hampton Inn &amp; Suites – Orlando, FL")</f>
        <v>Hampton Inn &amp; Suites – Orlando, FL</v>
      </c>
      <c r="C338" s="17" t="str">
        <f>IFERROR(__xludf.DUMMYFUNCTION("""COMPUTED_VALUE"""),"Orlando, FL")</f>
        <v>Orlando, FL</v>
      </c>
      <c r="D338" s="17" t="str">
        <f>IFERROR(__xludf.DUMMYFUNCTION("""COMPUTED_VALUE"""),"Hotel")</f>
        <v>Hotel</v>
      </c>
      <c r="E338" s="17">
        <f>IFERROR(__xludf.DUMMYFUNCTION("""COMPUTED_VALUE"""),2.16)</f>
        <v>2.16</v>
      </c>
      <c r="F338" s="27">
        <f>IFERROR(__xludf.DUMMYFUNCTION("""COMPUTED_VALUE"""),1.98)</f>
        <v>1.98</v>
      </c>
      <c r="G338" s="13">
        <f>IFERROR(__xludf.DUMMYFUNCTION("""COMPUTED_VALUE"""),0.386)</f>
        <v>0.386</v>
      </c>
    </row>
    <row r="339">
      <c r="A339" s="17" t="str">
        <f>IFERROR(__xludf.DUMMYFUNCTION("""COMPUTED_VALUE"""),"Walton Global Holdings")</f>
        <v>Walton Global Holdings</v>
      </c>
      <c r="B339" s="17" t="str">
        <f>IFERROR(__xludf.DUMMYFUNCTION("""COMPUTED_VALUE"""),"Harmony Hills")</f>
        <v>Harmony Hills</v>
      </c>
      <c r="C339" s="17" t="str">
        <f>IFERROR(__xludf.DUMMYFUNCTION("""COMPUTED_VALUE"""),"Atlanta, GA")</f>
        <v>Atlanta, GA</v>
      </c>
      <c r="D339" s="17" t="str">
        <f>IFERROR(__xludf.DUMMYFUNCTION("""COMPUTED_VALUE"""),"Land")</f>
        <v>Land</v>
      </c>
      <c r="E339" s="17">
        <f>IFERROR(__xludf.DUMMYFUNCTION("""COMPUTED_VALUE"""),2.94)</f>
        <v>2.94</v>
      </c>
      <c r="F339" s="27">
        <f>IFERROR(__xludf.DUMMYFUNCTION("""COMPUTED_VALUE"""),1.88)</f>
        <v>1.88</v>
      </c>
      <c r="G339" s="13">
        <f>IFERROR(__xludf.DUMMYFUNCTION("""COMPUTED_VALUE"""),0.2723)</f>
        <v>0.2723</v>
      </c>
    </row>
    <row r="340">
      <c r="A340" s="17" t="str">
        <f>IFERROR(__xludf.DUMMYFUNCTION("""COMPUTED_VALUE"""),"Passco")</f>
        <v>Passco</v>
      </c>
      <c r="B340" s="17" t="str">
        <f>IFERROR(__xludf.DUMMYFUNCTION("""COMPUTED_VALUE"""),"Haven at West Melbourne")</f>
        <v>Haven at West Melbourne</v>
      </c>
      <c r="C340" s="17" t="str">
        <f>IFERROR(__xludf.DUMMYFUNCTION("""COMPUTED_VALUE"""),"Brevard, FL")</f>
        <v>Brevard, FL</v>
      </c>
      <c r="D340" s="17" t="str">
        <f>IFERROR(__xludf.DUMMYFUNCTION("""COMPUTED_VALUE"""),"Multifamily")</f>
        <v>Multifamily</v>
      </c>
      <c r="E340" s="17">
        <f>IFERROR(__xludf.DUMMYFUNCTION("""COMPUTED_VALUE"""),4.0)</f>
        <v>4</v>
      </c>
      <c r="F340" s="27">
        <f>IFERROR(__xludf.DUMMYFUNCTION("""COMPUTED_VALUE"""),2.0)</f>
        <v>2</v>
      </c>
      <c r="G340" s="13">
        <f>IFERROR(__xludf.DUMMYFUNCTION("""COMPUTED_VALUE"""),0.1896)</f>
        <v>0.1896</v>
      </c>
    </row>
    <row r="341">
      <c r="A341" s="17" t="str">
        <f>IFERROR(__xludf.DUMMYFUNCTION("""COMPUTED_VALUE"""),"Inland")</f>
        <v>Inland</v>
      </c>
      <c r="B341" s="17" t="str">
        <f>IFERROR(__xludf.DUMMYFUNCTION("""COMPUTED_VALUE"""),"Healthcare Portfolio DST")</f>
        <v>Healthcare Portfolio DST</v>
      </c>
      <c r="C341" s="17"/>
      <c r="D341" s="17" t="str">
        <f>IFERROR(__xludf.DUMMYFUNCTION("""COMPUTED_VALUE"""),"Healthcare")</f>
        <v>Healthcare</v>
      </c>
      <c r="E341" s="17">
        <f>IFERROR(__xludf.DUMMYFUNCTION("""COMPUTED_VALUE"""),7.98)</f>
        <v>7.98</v>
      </c>
      <c r="F341" s="27">
        <f>IFERROR(__xludf.DUMMYFUNCTION("""COMPUTED_VALUE"""),1.39)</f>
        <v>1.39</v>
      </c>
      <c r="G341" s="13">
        <f>IFERROR(__xludf.DUMMYFUNCTION("""COMPUTED_VALUE"""),0.0563)</f>
        <v>0.0563</v>
      </c>
    </row>
    <row r="342">
      <c r="A342" s="17" t="str">
        <f>IFERROR(__xludf.DUMMYFUNCTION("""COMPUTED_VALUE"""),"Bluerock")</f>
        <v>Bluerock</v>
      </c>
      <c r="B342" s="17" t="str">
        <f>IFERROR(__xludf.DUMMYFUNCTION("""COMPUTED_VALUE"""),"Helios")</f>
        <v>Helios</v>
      </c>
      <c r="C342" s="17" t="str">
        <f>IFERROR(__xludf.DUMMYFUNCTION("""COMPUTED_VALUE"""),"Atlanta, GA")</f>
        <v>Atlanta, GA</v>
      </c>
      <c r="D342" s="17" t="str">
        <f>IFERROR(__xludf.DUMMYFUNCTION("""COMPUTED_VALUE"""),"Multifamily")</f>
        <v>Multifamily</v>
      </c>
      <c r="E342" s="17">
        <f>IFERROR(__xludf.DUMMYFUNCTION("""COMPUTED_VALUE"""),4.67)</f>
        <v>4.67</v>
      </c>
      <c r="F342" s="27">
        <f>IFERROR(__xludf.DUMMYFUNCTION("""COMPUTED_VALUE"""),1.89)</f>
        <v>1.89</v>
      </c>
      <c r="G342" s="13">
        <f>IFERROR(__xludf.DUMMYFUNCTION("""COMPUTED_VALUE"""),0.064)</f>
        <v>0.064</v>
      </c>
    </row>
    <row r="343">
      <c r="A343" s="17" t="str">
        <f>IFERROR(__xludf.DUMMYFUNCTION("""COMPUTED_VALUE"""),"Syndicated Equities")</f>
        <v>Syndicated Equities</v>
      </c>
      <c r="B343" s="17" t="str">
        <f>IFERROR(__xludf.DUMMYFUNCTION("""COMPUTED_VALUE"""),"Henry Ford Health – OptimEyes")</f>
        <v>Henry Ford Health – OptimEyes</v>
      </c>
      <c r="C343" s="17" t="str">
        <f>IFERROR(__xludf.DUMMYFUNCTION("""COMPUTED_VALUE"""),"Southfield, MI")</f>
        <v>Southfield, MI</v>
      </c>
      <c r="D343" s="17"/>
      <c r="E343" s="17">
        <f>IFERROR(__xludf.DUMMYFUNCTION("""COMPUTED_VALUE"""),4.82)</f>
        <v>4.82</v>
      </c>
      <c r="F343" s="27">
        <f>IFERROR(__xludf.DUMMYFUNCTION("""COMPUTED_VALUE"""),1.55)</f>
        <v>1.55</v>
      </c>
      <c r="G343" s="13">
        <f>IFERROR(__xludf.DUMMYFUNCTION("""COMPUTED_VALUE"""),0.0952)</f>
        <v>0.0952</v>
      </c>
    </row>
    <row r="344">
      <c r="A344" s="17" t="str">
        <f>IFERROR(__xludf.DUMMYFUNCTION("""COMPUTED_VALUE"""),"Walton Global Holdings")</f>
        <v>Walton Global Holdings</v>
      </c>
      <c r="B344" s="17" t="str">
        <f>IFERROR(__xludf.DUMMYFUNCTION("""COMPUTED_VALUE"""),"Heritage Point")</f>
        <v>Heritage Point</v>
      </c>
      <c r="C344" s="17" t="str">
        <f>IFERROR(__xludf.DUMMYFUNCTION("""COMPUTED_VALUE"""),"Atlanta, GA")</f>
        <v>Atlanta, GA</v>
      </c>
      <c r="D344" s="17" t="str">
        <f>IFERROR(__xludf.DUMMYFUNCTION("""COMPUTED_VALUE"""),"Land")</f>
        <v>Land</v>
      </c>
      <c r="E344" s="17">
        <f>IFERROR(__xludf.DUMMYFUNCTION("""COMPUTED_VALUE"""),8.16)</f>
        <v>8.16</v>
      </c>
      <c r="F344" s="27">
        <f>IFERROR(__xludf.DUMMYFUNCTION("""COMPUTED_VALUE"""),2.26)</f>
        <v>2.26</v>
      </c>
      <c r="G344" s="13">
        <f>IFERROR(__xludf.DUMMYFUNCTION("""COMPUTED_VALUE"""),0.1249)</f>
        <v>0.1249</v>
      </c>
    </row>
    <row r="345">
      <c r="A345" s="17" t="str">
        <f>IFERROR(__xludf.DUMMYFUNCTION("""COMPUTED_VALUE"""),"Bluerock")</f>
        <v>Bluerock</v>
      </c>
      <c r="B345" s="17" t="str">
        <f>IFERROR(__xludf.DUMMYFUNCTION("""COMPUTED_VALUE"""),"Hillsboro")</f>
        <v>Hillsboro</v>
      </c>
      <c r="C345" s="17" t="str">
        <f>IFERROR(__xludf.DUMMYFUNCTION("""COMPUTED_VALUE"""),"Nashville, TN")</f>
        <v>Nashville, TN</v>
      </c>
      <c r="D345" s="17" t="str">
        <f>IFERROR(__xludf.DUMMYFUNCTION("""COMPUTED_VALUE"""),"Multifamily")</f>
        <v>Multifamily</v>
      </c>
      <c r="E345" s="17">
        <f>IFERROR(__xludf.DUMMYFUNCTION("""COMPUTED_VALUE"""),3.0)</f>
        <v>3</v>
      </c>
      <c r="F345" s="27">
        <f>IFERROR(__xludf.DUMMYFUNCTION("""COMPUTED_VALUE"""),2.19)</f>
        <v>2.19</v>
      </c>
      <c r="G345" s="13">
        <f>IFERROR(__xludf.DUMMYFUNCTION("""COMPUTED_VALUE"""),0.251)</f>
        <v>0.251</v>
      </c>
    </row>
    <row r="346">
      <c r="A346" s="17" t="str">
        <f>IFERROR(__xludf.DUMMYFUNCTION("""COMPUTED_VALUE"""),"Inland")</f>
        <v>Inland</v>
      </c>
      <c r="B346" s="17" t="str">
        <f>IFERROR(__xludf.DUMMYFUNCTION("""COMPUTED_VALUE"""),"Hillsboro 1031 DST")</f>
        <v>Hillsboro 1031 DST</v>
      </c>
      <c r="C346" s="17"/>
      <c r="D346" s="17" t="str">
        <f>IFERROR(__xludf.DUMMYFUNCTION("""COMPUTED_VALUE"""),"Retail")</f>
        <v>Retail</v>
      </c>
      <c r="E346" s="17">
        <f>IFERROR(__xludf.DUMMYFUNCTION("""COMPUTED_VALUE"""),8.42)</f>
        <v>8.42</v>
      </c>
      <c r="F346" s="27">
        <f>IFERROR(__xludf.DUMMYFUNCTION("""COMPUTED_VALUE"""),1.34)</f>
        <v>1.34</v>
      </c>
      <c r="G346" s="13">
        <f>IFERROR(__xludf.DUMMYFUNCTION("""COMPUTED_VALUE"""),0.0484)</f>
        <v>0.0484</v>
      </c>
    </row>
    <row r="347">
      <c r="A347" s="17" t="str">
        <f>IFERROR(__xludf.DUMMYFUNCTION("""COMPUTED_VALUE"""),"Peachtree Group")</f>
        <v>Peachtree Group</v>
      </c>
      <c r="B347" s="17" t="str">
        <f>IFERROR(__xludf.DUMMYFUNCTION("""COMPUTED_VALUE"""),"Hilton Garden Inn – Overland Park, KS")</f>
        <v>Hilton Garden Inn – Overland Park, KS</v>
      </c>
      <c r="C347" s="17" t="str">
        <f>IFERROR(__xludf.DUMMYFUNCTION("""COMPUTED_VALUE"""),"Overland Park, KS")</f>
        <v>Overland Park, KS</v>
      </c>
      <c r="D347" s="17" t="str">
        <f>IFERROR(__xludf.DUMMYFUNCTION("""COMPUTED_VALUE"""),"Hotel")</f>
        <v>Hotel</v>
      </c>
      <c r="E347" s="17">
        <f>IFERROR(__xludf.DUMMYFUNCTION("""COMPUTED_VALUE"""),2.47)</f>
        <v>2.47</v>
      </c>
      <c r="F347" s="27">
        <f>IFERROR(__xludf.DUMMYFUNCTION("""COMPUTED_VALUE"""),1.85)</f>
        <v>1.85</v>
      </c>
      <c r="G347" s="13">
        <f>IFERROR(__xludf.DUMMYFUNCTION("""COMPUTED_VALUE"""),0.292)</f>
        <v>0.292</v>
      </c>
    </row>
    <row r="348">
      <c r="A348" s="17" t="str">
        <f>IFERROR(__xludf.DUMMYFUNCTION("""COMPUTED_VALUE"""),"Peachtree Group")</f>
        <v>Peachtree Group</v>
      </c>
      <c r="B348" s="17" t="str">
        <f>IFERROR(__xludf.DUMMYFUNCTION("""COMPUTED_VALUE"""),"Hilton Garden Inn – Tupelo, MS")</f>
        <v>Hilton Garden Inn – Tupelo, MS</v>
      </c>
      <c r="C348" s="17" t="str">
        <f>IFERROR(__xludf.DUMMYFUNCTION("""COMPUTED_VALUE"""),"Tupelo, MS")</f>
        <v>Tupelo, MS</v>
      </c>
      <c r="D348" s="17" t="str">
        <f>IFERROR(__xludf.DUMMYFUNCTION("""COMPUTED_VALUE"""),"Hotel")</f>
        <v>Hotel</v>
      </c>
      <c r="E348" s="17">
        <f>IFERROR(__xludf.DUMMYFUNCTION("""COMPUTED_VALUE"""),8.43)</f>
        <v>8.43</v>
      </c>
      <c r="F348" s="27">
        <f>IFERROR(__xludf.DUMMYFUNCTION("""COMPUTED_VALUE"""),2.09)</f>
        <v>2.09</v>
      </c>
      <c r="G348" s="13">
        <f>IFERROR(__xludf.DUMMYFUNCTION("""COMPUTED_VALUE"""),0.218)</f>
        <v>0.218</v>
      </c>
    </row>
    <row r="349">
      <c r="A349" s="17" t="str">
        <f>IFERROR(__xludf.DUMMYFUNCTION("""COMPUTED_VALUE"""),"Syndicated Equities")</f>
        <v>Syndicated Equities</v>
      </c>
      <c r="B349" s="17" t="str">
        <f>IFERROR(__xludf.DUMMYFUNCTION("""COMPUTED_VALUE"""),"Holiday Inn")</f>
        <v>Holiday Inn</v>
      </c>
      <c r="C349" s="17" t="str">
        <f>IFERROR(__xludf.DUMMYFUNCTION("""COMPUTED_VALUE"""),"New Orleans, LA")</f>
        <v>New Orleans, LA</v>
      </c>
      <c r="D349" s="17"/>
      <c r="E349" s="17">
        <f>IFERROR(__xludf.DUMMYFUNCTION("""COMPUTED_VALUE"""),6.33)</f>
        <v>6.33</v>
      </c>
      <c r="F349" s="27">
        <f>IFERROR(__xludf.DUMMYFUNCTION("""COMPUTED_VALUE"""),0.3)</f>
        <v>0.3</v>
      </c>
      <c r="G349" s="13">
        <f>IFERROR(__xludf.DUMMYFUNCTION("""COMPUTED_VALUE"""),-0.1731)</f>
        <v>-0.1731</v>
      </c>
    </row>
    <row r="350">
      <c r="A350" s="17" t="str">
        <f>IFERROR(__xludf.DUMMYFUNCTION("""COMPUTED_VALUE"""),"Peachtree Group")</f>
        <v>Peachtree Group</v>
      </c>
      <c r="B350" s="17" t="str">
        <f>IFERROR(__xludf.DUMMYFUNCTION("""COMPUTED_VALUE"""),"Holiday Inn – Franklin, TN")</f>
        <v>Holiday Inn – Franklin, TN</v>
      </c>
      <c r="C350" s="17" t="str">
        <f>IFERROR(__xludf.DUMMYFUNCTION("""COMPUTED_VALUE"""),"Brentwood, TN")</f>
        <v>Brentwood, TN</v>
      </c>
      <c r="D350" s="17" t="str">
        <f>IFERROR(__xludf.DUMMYFUNCTION("""COMPUTED_VALUE"""),"Hotel")</f>
        <v>Hotel</v>
      </c>
      <c r="E350" s="17">
        <f>IFERROR(__xludf.DUMMYFUNCTION("""COMPUTED_VALUE"""),4.29)</f>
        <v>4.29</v>
      </c>
      <c r="F350" s="27">
        <f>IFERROR(__xludf.DUMMYFUNCTION("""COMPUTED_VALUE"""),1.29)</f>
        <v>1.29</v>
      </c>
      <c r="G350" s="13">
        <f>IFERROR(__xludf.DUMMYFUNCTION("""COMPUTED_VALUE"""),0.084)</f>
        <v>0.084</v>
      </c>
    </row>
    <row r="351">
      <c r="A351" s="17" t="str">
        <f>IFERROR(__xludf.DUMMYFUNCTION("""COMPUTED_VALUE"""),"Peachtree Group")</f>
        <v>Peachtree Group</v>
      </c>
      <c r="B351" s="17" t="str">
        <f>IFERROR(__xludf.DUMMYFUNCTION("""COMPUTED_VALUE"""),"Holiday Inn Express – Pell City, AL")</f>
        <v>Holiday Inn Express – Pell City, AL</v>
      </c>
      <c r="C351" s="17" t="str">
        <f>IFERROR(__xludf.DUMMYFUNCTION("""COMPUTED_VALUE"""),"Pell City, AL")</f>
        <v>Pell City, AL</v>
      </c>
      <c r="D351" s="17" t="str">
        <f>IFERROR(__xludf.DUMMYFUNCTION("""COMPUTED_VALUE"""),"Hotel")</f>
        <v>Hotel</v>
      </c>
      <c r="E351" s="17">
        <f>IFERROR(__xludf.DUMMYFUNCTION("""COMPUTED_VALUE"""),6.9)</f>
        <v>6.9</v>
      </c>
      <c r="F351" s="27">
        <f>IFERROR(__xludf.DUMMYFUNCTION("""COMPUTED_VALUE"""),1.58)</f>
        <v>1.58</v>
      </c>
      <c r="G351" s="13">
        <f>IFERROR(__xludf.DUMMYFUNCTION("""COMPUTED_VALUE"""),0.086)</f>
        <v>0.086</v>
      </c>
    </row>
    <row r="352">
      <c r="A352" s="17" t="str">
        <f>IFERROR(__xludf.DUMMYFUNCTION("""COMPUTED_VALUE"""),"AEI Capital Corporation")</f>
        <v>AEI Capital Corporation</v>
      </c>
      <c r="B352" s="17" t="str">
        <f>IFERROR(__xludf.DUMMYFUNCTION("""COMPUTED_VALUE"""),"Hollywood Video")</f>
        <v>Hollywood Video</v>
      </c>
      <c r="C352" s="17" t="str">
        <f>IFERROR(__xludf.DUMMYFUNCTION("""COMPUTED_VALUE"""),"Saraland, AL")</f>
        <v>Saraland, AL</v>
      </c>
      <c r="D352" s="17" t="str">
        <f>IFERROR(__xludf.DUMMYFUNCTION("""COMPUTED_VALUE"""),"Net Lease")</f>
        <v>Net Lease</v>
      </c>
      <c r="E352" s="17">
        <f>IFERROR(__xludf.DUMMYFUNCTION("""COMPUTED_VALUE"""),10.39)</f>
        <v>10.39</v>
      </c>
      <c r="F352" s="27">
        <f>IFERROR(__xludf.DUMMYFUNCTION("""COMPUTED_VALUE"""),1.27)</f>
        <v>1.27</v>
      </c>
      <c r="G352" s="13">
        <f>IFERROR(__xludf.DUMMYFUNCTION("""COMPUTED_VALUE"""),0.0676)</f>
        <v>0.0676</v>
      </c>
    </row>
    <row r="353">
      <c r="A353" s="17" t="str">
        <f>IFERROR(__xludf.DUMMYFUNCTION("""COMPUTED_VALUE"""),"AEI Capital Corporation")</f>
        <v>AEI Capital Corporation</v>
      </c>
      <c r="B353" s="17" t="str">
        <f>IFERROR(__xludf.DUMMYFUNCTION("""COMPUTED_VALUE"""),"HomeTown Buffet")</f>
        <v>HomeTown Buffet</v>
      </c>
      <c r="C353" s="17" t="str">
        <f>IFERROR(__xludf.DUMMYFUNCTION("""COMPUTED_VALUE"""),"Albuquerque, NM")</f>
        <v>Albuquerque, NM</v>
      </c>
      <c r="D353" s="17" t="str">
        <f>IFERROR(__xludf.DUMMYFUNCTION("""COMPUTED_VALUE"""),"Net Lease")</f>
        <v>Net Lease</v>
      </c>
      <c r="E353" s="17">
        <f>IFERROR(__xludf.DUMMYFUNCTION("""COMPUTED_VALUE"""),20.22)</f>
        <v>20.22</v>
      </c>
      <c r="F353" s="27">
        <f>IFERROR(__xludf.DUMMYFUNCTION("""COMPUTED_VALUE"""),1.64)</f>
        <v>1.64</v>
      </c>
      <c r="G353" s="13">
        <f>IFERROR(__xludf.DUMMYFUNCTION("""COMPUTED_VALUE"""),0.0615)</f>
        <v>0.0615</v>
      </c>
    </row>
    <row r="354">
      <c r="A354" s="17" t="str">
        <f>IFERROR(__xludf.DUMMYFUNCTION("""COMPUTED_VALUE"""),"Peachtree Group")</f>
        <v>Peachtree Group</v>
      </c>
      <c r="B354" s="17" t="str">
        <f>IFERROR(__xludf.DUMMYFUNCTION("""COMPUTED_VALUE"""),"Homewood Suites – Durham, NC")</f>
        <v>Homewood Suites – Durham, NC</v>
      </c>
      <c r="C354" s="17" t="str">
        <f>IFERROR(__xludf.DUMMYFUNCTION("""COMPUTED_VALUE"""),"Durham, NC")</f>
        <v>Durham, NC</v>
      </c>
      <c r="D354" s="17" t="str">
        <f>IFERROR(__xludf.DUMMYFUNCTION("""COMPUTED_VALUE"""),"Hotel")</f>
        <v>Hotel</v>
      </c>
      <c r="E354" s="17">
        <f>IFERROR(__xludf.DUMMYFUNCTION("""COMPUTED_VALUE"""),2.2)</f>
        <v>2.2</v>
      </c>
      <c r="F354" s="27">
        <f>IFERROR(__xludf.DUMMYFUNCTION("""COMPUTED_VALUE"""),1.87)</f>
        <v>1.87</v>
      </c>
      <c r="G354" s="13">
        <f>IFERROR(__xludf.DUMMYFUNCTION("""COMPUTED_VALUE"""),0.337)</f>
        <v>0.337</v>
      </c>
    </row>
    <row r="355">
      <c r="A355" s="17" t="str">
        <f>IFERROR(__xludf.DUMMYFUNCTION("""COMPUTED_VALUE"""),"Denholtz")</f>
        <v>Denholtz</v>
      </c>
      <c r="B355" s="17" t="str">
        <f>IFERROR(__xludf.DUMMYFUNCTION("""COMPUTED_VALUE"""),"Horizon Center")</f>
        <v>Horizon Center</v>
      </c>
      <c r="C355" s="17" t="str">
        <f>IFERROR(__xludf.DUMMYFUNCTION("""COMPUTED_VALUE"""),"Hamilton, NJ")</f>
        <v>Hamilton, NJ</v>
      </c>
      <c r="D355" s="17" t="str">
        <f>IFERROR(__xludf.DUMMYFUNCTION("""COMPUTED_VALUE"""),"Industrial")</f>
        <v>Industrial</v>
      </c>
      <c r="E355" s="17">
        <f>IFERROR(__xludf.DUMMYFUNCTION("""COMPUTED_VALUE"""),4.0)</f>
        <v>4</v>
      </c>
      <c r="F355" s="27">
        <f>IFERROR(__xludf.DUMMYFUNCTION("""COMPUTED_VALUE"""),1.42)</f>
        <v>1.42</v>
      </c>
      <c r="G355" s="13">
        <f>IFERROR(__xludf.DUMMYFUNCTION("""COMPUTED_VALUE"""),0.1)</f>
        <v>0.1</v>
      </c>
    </row>
    <row r="356">
      <c r="A356" s="17" t="str">
        <f>IFERROR(__xludf.DUMMYFUNCTION("""COMPUTED_VALUE"""),"Denholtz")</f>
        <v>Denholtz</v>
      </c>
      <c r="B356" s="17" t="str">
        <f>IFERROR(__xludf.DUMMYFUNCTION("""COMPUTED_VALUE"""),"Howard Avenue")</f>
        <v>Howard Avenue</v>
      </c>
      <c r="C356" s="17" t="str">
        <f>IFERROR(__xludf.DUMMYFUNCTION("""COMPUTED_VALUE"""),"Franklin Township, NJ")</f>
        <v>Franklin Township, NJ</v>
      </c>
      <c r="D356" s="17" t="str">
        <f>IFERROR(__xludf.DUMMYFUNCTION("""COMPUTED_VALUE"""),"Industrial")</f>
        <v>Industrial</v>
      </c>
      <c r="E356" s="17">
        <f>IFERROR(__xludf.DUMMYFUNCTION("""COMPUTED_VALUE"""),0.92)</f>
        <v>0.92</v>
      </c>
      <c r="F356" s="27">
        <f>IFERROR(__xludf.DUMMYFUNCTION("""COMPUTED_VALUE"""),3.92)</f>
        <v>3.92</v>
      </c>
      <c r="G356" s="13">
        <f>IFERROR(__xludf.DUMMYFUNCTION("""COMPUTED_VALUE"""),2.9048)</f>
        <v>2.9048</v>
      </c>
    </row>
    <row r="357">
      <c r="A357" s="17" t="str">
        <f>IFERROR(__xludf.DUMMYFUNCTION("""COMPUTED_VALUE"""),"Time Equities")</f>
        <v>Time Equities</v>
      </c>
      <c r="B357" s="17" t="str">
        <f>IFERROR(__xludf.DUMMYFUNCTION("""COMPUTED_VALUE"""),"Huffman Koos Livingston Property")</f>
        <v>Huffman Koos Livingston Property</v>
      </c>
      <c r="C357" s="17" t="str">
        <f>IFERROR(__xludf.DUMMYFUNCTION("""COMPUTED_VALUE"""),"Livingston, NJ")</f>
        <v>Livingston, NJ</v>
      </c>
      <c r="D357" s="17" t="str">
        <f>IFERROR(__xludf.DUMMYFUNCTION("""COMPUTED_VALUE"""),"Retail")</f>
        <v>Retail</v>
      </c>
      <c r="E357" s="17">
        <f>IFERROR(__xludf.DUMMYFUNCTION("""COMPUTED_VALUE"""),3.19)</f>
        <v>3.19</v>
      </c>
      <c r="F357" s="27">
        <f>IFERROR(__xludf.DUMMYFUNCTION("""COMPUTED_VALUE"""),1.68)</f>
        <v>1.68</v>
      </c>
      <c r="G357" s="13">
        <f>IFERROR(__xludf.DUMMYFUNCTION("""COMPUTED_VALUE"""),0.189)</f>
        <v>0.189</v>
      </c>
    </row>
    <row r="358">
      <c r="A358" s="17" t="str">
        <f>IFERROR(__xludf.DUMMYFUNCTION("""COMPUTED_VALUE"""),"Time Equities")</f>
        <v>Time Equities</v>
      </c>
      <c r="B358" s="17" t="str">
        <f>IFERROR(__xludf.DUMMYFUNCTION("""COMPUTED_VALUE"""),"Hunt Club Equities LLC")</f>
        <v>Hunt Club Equities LLC</v>
      </c>
      <c r="C358" s="17" t="str">
        <f>IFERROR(__xludf.DUMMYFUNCTION("""COMPUTED_VALUE"""),"Madison, WI")</f>
        <v>Madison, WI</v>
      </c>
      <c r="D358" s="17" t="str">
        <f>IFERROR(__xludf.DUMMYFUNCTION("""COMPUTED_VALUE"""),"Multifamily")</f>
        <v>Multifamily</v>
      </c>
      <c r="E358" s="17">
        <f>IFERROR(__xludf.DUMMYFUNCTION("""COMPUTED_VALUE"""),7.87)</f>
        <v>7.87</v>
      </c>
      <c r="F358" s="27">
        <f>IFERROR(__xludf.DUMMYFUNCTION("""COMPUTED_VALUE"""),3.03)</f>
        <v>3.03</v>
      </c>
      <c r="G358" s="13">
        <f>IFERROR(__xludf.DUMMYFUNCTION("""COMPUTED_VALUE"""),0.2064)</f>
        <v>0.2064</v>
      </c>
    </row>
    <row r="359">
      <c r="A359" s="17" t="str">
        <f>IFERROR(__xludf.DUMMYFUNCTION("""COMPUTED_VALUE"""),"Walton Global Holdings")</f>
        <v>Walton Global Holdings</v>
      </c>
      <c r="B359" s="17" t="str">
        <f>IFERROR(__xludf.DUMMYFUNCTION("""COMPUTED_VALUE"""),"Hunt County")</f>
        <v>Hunt County</v>
      </c>
      <c r="C359" s="17" t="str">
        <f>IFERROR(__xludf.DUMMYFUNCTION("""COMPUTED_VALUE"""),"Dallas-Fort Worth, TX")</f>
        <v>Dallas-Fort Worth, TX</v>
      </c>
      <c r="D359" s="17" t="str">
        <f>IFERROR(__xludf.DUMMYFUNCTION("""COMPUTED_VALUE"""),"Land")</f>
        <v>Land</v>
      </c>
      <c r="E359" s="17">
        <f>IFERROR(__xludf.DUMMYFUNCTION("""COMPUTED_VALUE"""),4.59)</f>
        <v>4.59</v>
      </c>
      <c r="F359" s="27">
        <f>IFERROR(__xludf.DUMMYFUNCTION("""COMPUTED_VALUE"""),0.88)</f>
        <v>0.88</v>
      </c>
      <c r="G359" s="13">
        <f>IFERROR(__xludf.DUMMYFUNCTION("""COMPUTED_VALUE"""),-0.0275)</f>
        <v>-0.0275</v>
      </c>
    </row>
    <row r="360">
      <c r="A360" s="17" t="str">
        <f>IFERROR(__xludf.DUMMYFUNCTION("""COMPUTED_VALUE"""),"Bluerock")</f>
        <v>Bluerock</v>
      </c>
      <c r="B360" s="17" t="str">
        <f>IFERROR(__xludf.DUMMYFUNCTION("""COMPUTED_VALUE"""),"Hunter's Pointe")</f>
        <v>Hunter's Pointe</v>
      </c>
      <c r="C360" s="17" t="str">
        <f>IFERROR(__xludf.DUMMYFUNCTION("""COMPUTED_VALUE"""),"Pensacola, FL")</f>
        <v>Pensacola, FL</v>
      </c>
      <c r="D360" s="17" t="str">
        <f>IFERROR(__xludf.DUMMYFUNCTION("""COMPUTED_VALUE"""),"Multifamily")</f>
        <v>Multifamily</v>
      </c>
      <c r="E360" s="17">
        <f>IFERROR(__xludf.DUMMYFUNCTION("""COMPUTED_VALUE"""),1.83)</f>
        <v>1.83</v>
      </c>
      <c r="F360" s="27">
        <f>IFERROR(__xludf.DUMMYFUNCTION("""COMPUTED_VALUE"""),1.2)</f>
        <v>1.2</v>
      </c>
      <c r="G360" s="13">
        <f>IFERROR(__xludf.DUMMYFUNCTION("""COMPUTED_VALUE"""),0.1141)</f>
        <v>0.1141</v>
      </c>
    </row>
    <row r="361">
      <c r="A361" s="17" t="str">
        <f>IFERROR(__xludf.DUMMYFUNCTION("""COMPUTED_VALUE"""),"Peachtree Group")</f>
        <v>Peachtree Group</v>
      </c>
      <c r="B361" s="17" t="str">
        <f>IFERROR(__xludf.DUMMYFUNCTION("""COMPUTED_VALUE"""),"Hyatt Place – Jacksonville, FL")</f>
        <v>Hyatt Place – Jacksonville, FL</v>
      </c>
      <c r="C361" s="17" t="str">
        <f>IFERROR(__xludf.DUMMYFUNCTION("""COMPUTED_VALUE"""),"Jacksonville, FL")</f>
        <v>Jacksonville, FL</v>
      </c>
      <c r="D361" s="17" t="str">
        <f>IFERROR(__xludf.DUMMYFUNCTION("""COMPUTED_VALUE"""),"Hotel")</f>
        <v>Hotel</v>
      </c>
      <c r="E361" s="17">
        <f>IFERROR(__xludf.DUMMYFUNCTION("""COMPUTED_VALUE"""),3.7)</f>
        <v>3.7</v>
      </c>
      <c r="F361" s="27">
        <f>IFERROR(__xludf.DUMMYFUNCTION("""COMPUTED_VALUE"""),1.97)</f>
        <v>1.97</v>
      </c>
      <c r="G361" s="13">
        <f>IFERROR(__xludf.DUMMYFUNCTION("""COMPUTED_VALUE"""),0.207)</f>
        <v>0.207</v>
      </c>
    </row>
    <row r="362">
      <c r="A362" s="17" t="str">
        <f>IFERROR(__xludf.DUMMYFUNCTION("""COMPUTED_VALUE"""),"Bluerock")</f>
        <v>Bluerock</v>
      </c>
      <c r="B362" s="17" t="str">
        <f>IFERROR(__xludf.DUMMYFUNCTION("""COMPUTED_VALUE"""),"Indian Springs")</f>
        <v>Indian Springs</v>
      </c>
      <c r="C362" s="17" t="str">
        <f>IFERROR(__xludf.DUMMYFUNCTION("""COMPUTED_VALUE"""),"El Paso, TX")</f>
        <v>El Paso, TX</v>
      </c>
      <c r="D362" s="17" t="str">
        <f>IFERROR(__xludf.DUMMYFUNCTION("""COMPUTED_VALUE"""),"Multifamily")</f>
        <v>Multifamily</v>
      </c>
      <c r="E362" s="17">
        <f>IFERROR(__xludf.DUMMYFUNCTION("""COMPUTED_VALUE"""),4.08)</f>
        <v>4.08</v>
      </c>
      <c r="F362" s="27">
        <f>IFERROR(__xludf.DUMMYFUNCTION("""COMPUTED_VALUE"""),0.98)</f>
        <v>0.98</v>
      </c>
      <c r="G362" s="13">
        <f>IFERROR(__xludf.DUMMYFUNCTION("""COMPUTED_VALUE"""),-0.005)</f>
        <v>-0.005</v>
      </c>
    </row>
    <row r="363">
      <c r="A363" s="17" t="str">
        <f>IFERROR(__xludf.DUMMYFUNCTION("""COMPUTED_VALUE"""),"Inland")</f>
        <v>Inland</v>
      </c>
      <c r="B363" s="17" t="str">
        <f>IFERROR(__xludf.DUMMYFUNCTION("""COMPUTED_VALUE"""),"Indianapolis Multifamily DST")</f>
        <v>Indianapolis Multifamily DST</v>
      </c>
      <c r="C363" s="17"/>
      <c r="D363" s="17" t="str">
        <f>IFERROR(__xludf.DUMMYFUNCTION("""COMPUTED_VALUE"""),"Multifamily")</f>
        <v>Multifamily</v>
      </c>
      <c r="E363" s="17">
        <f>IFERROR(__xludf.DUMMYFUNCTION("""COMPUTED_VALUE"""),6.0)</f>
        <v>6</v>
      </c>
      <c r="F363" s="27">
        <f>IFERROR(__xludf.DUMMYFUNCTION("""COMPUTED_VALUE"""),1.17)</f>
        <v>1.17</v>
      </c>
      <c r="G363" s="13">
        <f>IFERROR(__xludf.DUMMYFUNCTION("""COMPUTED_VALUE"""),0.0309)</f>
        <v>0.0309</v>
      </c>
    </row>
    <row r="364">
      <c r="A364" s="17" t="str">
        <f>IFERROR(__xludf.DUMMYFUNCTION("""COMPUTED_VALUE"""),"Denholtz")</f>
        <v>Denholtz</v>
      </c>
      <c r="B364" s="17" t="str">
        <f>IFERROR(__xludf.DUMMYFUNCTION("""COMPUTED_VALUE"""),"Industrial Way")</f>
        <v>Industrial Way</v>
      </c>
      <c r="C364" s="17" t="str">
        <f>IFERROR(__xludf.DUMMYFUNCTION("""COMPUTED_VALUE"""),"Eatontown, NJ")</f>
        <v>Eatontown, NJ</v>
      </c>
      <c r="D364" s="17" t="str">
        <f>IFERROR(__xludf.DUMMYFUNCTION("""COMPUTED_VALUE"""),"Industrial")</f>
        <v>Industrial</v>
      </c>
      <c r="E364" s="17">
        <f>IFERROR(__xludf.DUMMYFUNCTION("""COMPUTED_VALUE"""),4.0)</f>
        <v>4</v>
      </c>
      <c r="F364" s="27">
        <f>IFERROR(__xludf.DUMMYFUNCTION("""COMPUTED_VALUE"""),1.68)</f>
        <v>1.68</v>
      </c>
      <c r="G364" s="13">
        <f>IFERROR(__xludf.DUMMYFUNCTION("""COMPUTED_VALUE"""),0.1513)</f>
        <v>0.1513</v>
      </c>
    </row>
    <row r="365">
      <c r="A365" s="17" t="str">
        <f>IFERROR(__xludf.DUMMYFUNCTION("""COMPUTED_VALUE"""),"Inland")</f>
        <v>Inland</v>
      </c>
      <c r="B365" s="17" t="str">
        <f>IFERROR(__xludf.DUMMYFUNCTION("""COMPUTED_VALUE"""),"Jacksonville Multifamily DST")</f>
        <v>Jacksonville Multifamily DST</v>
      </c>
      <c r="C365" s="17"/>
      <c r="D365" s="17" t="str">
        <f>IFERROR(__xludf.DUMMYFUNCTION("""COMPUTED_VALUE"""),"Multifamily")</f>
        <v>Multifamily</v>
      </c>
      <c r="E365" s="17">
        <f>IFERROR(__xludf.DUMMYFUNCTION("""COMPUTED_VALUE"""),4.42)</f>
        <v>4.42</v>
      </c>
      <c r="F365" s="27">
        <f>IFERROR(__xludf.DUMMYFUNCTION("""COMPUTED_VALUE"""),1.28)</f>
        <v>1.28</v>
      </c>
      <c r="G365" s="13">
        <f>IFERROR(__xludf.DUMMYFUNCTION("""COMPUTED_VALUE"""),0.0642)</f>
        <v>0.0642</v>
      </c>
    </row>
    <row r="366">
      <c r="A366" s="17" t="str">
        <f>IFERROR(__xludf.DUMMYFUNCTION("""COMPUTED_VALUE"""),"Bluerock")</f>
        <v>Bluerock</v>
      </c>
      <c r="B366" s="17" t="str">
        <f>IFERROR(__xludf.DUMMYFUNCTION("""COMPUTED_VALUE"""),"James on South First")</f>
        <v>James on South First</v>
      </c>
      <c r="C366" s="17" t="str">
        <f>IFERROR(__xludf.DUMMYFUNCTION("""COMPUTED_VALUE"""),"Austin, TX")</f>
        <v>Austin, TX</v>
      </c>
      <c r="D366" s="17" t="str">
        <f>IFERROR(__xludf.DUMMYFUNCTION("""COMPUTED_VALUE"""),"Multifamily")</f>
        <v>Multifamily</v>
      </c>
      <c r="E366" s="17">
        <f>IFERROR(__xludf.DUMMYFUNCTION("""COMPUTED_VALUE"""),4.25)</f>
        <v>4.25</v>
      </c>
      <c r="F366" s="27">
        <f>IFERROR(__xludf.DUMMYFUNCTION("""COMPUTED_VALUE"""),1.91)</f>
        <v>1.91</v>
      </c>
      <c r="G366" s="13">
        <f>IFERROR(__xludf.DUMMYFUNCTION("""COMPUTED_VALUE"""),0.174)</f>
        <v>0.174</v>
      </c>
    </row>
    <row r="367">
      <c r="A367" s="17" t="str">
        <f>IFERROR(__xludf.DUMMYFUNCTION("""COMPUTED_VALUE"""),"AEI Capital Corporation")</f>
        <v>AEI Capital Corporation</v>
      </c>
      <c r="B367" s="17" t="str">
        <f>IFERROR(__xludf.DUMMYFUNCTION("""COMPUTED_VALUE"""),"Jared")</f>
        <v>Jared</v>
      </c>
      <c r="C367" s="17" t="str">
        <f>IFERROR(__xludf.DUMMYFUNCTION("""COMPUTED_VALUE"""),"Hazelwood, MO")</f>
        <v>Hazelwood, MO</v>
      </c>
      <c r="D367" s="17" t="str">
        <f>IFERROR(__xludf.DUMMYFUNCTION("""COMPUTED_VALUE"""),"Net Lease")</f>
        <v>Net Lease</v>
      </c>
      <c r="E367" s="17">
        <f>IFERROR(__xludf.DUMMYFUNCTION("""COMPUTED_VALUE"""),15.71)</f>
        <v>15.71</v>
      </c>
      <c r="F367" s="27">
        <f>IFERROR(__xludf.DUMMYFUNCTION("""COMPUTED_VALUE"""),1.22)</f>
        <v>1.22</v>
      </c>
      <c r="G367" s="13">
        <f>IFERROR(__xludf.DUMMYFUNCTION("""COMPUTED_VALUE"""),0.0686)</f>
        <v>0.0686</v>
      </c>
    </row>
    <row r="368">
      <c r="A368" s="17" t="str">
        <f>IFERROR(__xludf.DUMMYFUNCTION("""COMPUTED_VALUE"""),"Bluerock")</f>
        <v>Bluerock</v>
      </c>
      <c r="B368" s="17" t="str">
        <f>IFERROR(__xludf.DUMMYFUNCTION("""COMPUTED_VALUE"""),"Jefferson Place")</f>
        <v>Jefferson Place</v>
      </c>
      <c r="C368" s="17" t="str">
        <f>IFERROR(__xludf.DUMMYFUNCTION("""COMPUTED_VALUE"""),"Frederick, MD")</f>
        <v>Frederick, MD</v>
      </c>
      <c r="D368" s="17" t="str">
        <f>IFERROR(__xludf.DUMMYFUNCTION("""COMPUTED_VALUE"""),"Multifamily")</f>
        <v>Multifamily</v>
      </c>
      <c r="E368" s="17">
        <f>IFERROR(__xludf.DUMMYFUNCTION("""COMPUTED_VALUE"""),7.0)</f>
        <v>7</v>
      </c>
      <c r="F368" s="27">
        <f>IFERROR(__xludf.DUMMYFUNCTION("""COMPUTED_VALUE"""),1.57)</f>
        <v>1.57</v>
      </c>
      <c r="G368" s="13">
        <f>IFERROR(__xludf.DUMMYFUNCTION("""COMPUTED_VALUE"""),0.084)</f>
        <v>0.084</v>
      </c>
    </row>
    <row r="369">
      <c r="A369" s="17" t="str">
        <f>IFERROR(__xludf.DUMMYFUNCTION("""COMPUTED_VALUE"""),"Syndicated Equities")</f>
        <v>Syndicated Equities</v>
      </c>
      <c r="B369" s="17" t="str">
        <f>IFERROR(__xludf.DUMMYFUNCTION("""COMPUTED_VALUE"""),"Johns Hopkins Applied Physics Lab")</f>
        <v>Johns Hopkins Applied Physics Lab</v>
      </c>
      <c r="C369" s="17" t="str">
        <f>IFERROR(__xludf.DUMMYFUNCTION("""COMPUTED_VALUE"""),"Laurel, MD")</f>
        <v>Laurel, MD</v>
      </c>
      <c r="D369" s="17"/>
      <c r="E369" s="17">
        <f>IFERROR(__xludf.DUMMYFUNCTION("""COMPUTED_VALUE"""),11.66)</f>
        <v>11.66</v>
      </c>
      <c r="F369" s="27">
        <f>IFERROR(__xludf.DUMMYFUNCTION("""COMPUTED_VALUE"""),1.95)</f>
        <v>1.95</v>
      </c>
      <c r="G369" s="13">
        <f>IFERROR(__xludf.DUMMYFUNCTION("""COMPUTED_VALUE"""),0.0589)</f>
        <v>0.0589</v>
      </c>
    </row>
    <row r="370">
      <c r="A370" s="17" t="str">
        <f>IFERROR(__xludf.DUMMYFUNCTION("""COMPUTED_VALUE"""),"Walton Global Holdings")</f>
        <v>Walton Global Holdings</v>
      </c>
      <c r="B370" s="17" t="str">
        <f>IFERROR(__xludf.DUMMYFUNCTION("""COMPUTED_VALUE"""),"Kenwood Village")</f>
        <v>Kenwood Village</v>
      </c>
      <c r="C370" s="17" t="str">
        <f>IFERROR(__xludf.DUMMYFUNCTION("""COMPUTED_VALUE"""),"Washington, DC")</f>
        <v>Washington, DC</v>
      </c>
      <c r="D370" s="17" t="str">
        <f>IFERROR(__xludf.DUMMYFUNCTION("""COMPUTED_VALUE"""),"Land")</f>
        <v>Land</v>
      </c>
      <c r="E370" s="17">
        <f>IFERROR(__xludf.DUMMYFUNCTION("""COMPUTED_VALUE"""),7.65)</f>
        <v>7.65</v>
      </c>
      <c r="F370" s="27">
        <f>IFERROR(__xludf.DUMMYFUNCTION("""COMPUTED_VALUE"""),1.09)</f>
        <v>1.09</v>
      </c>
      <c r="G370" s="13">
        <f>IFERROR(__xludf.DUMMYFUNCTION("""COMPUTED_VALUE"""),0.011)</f>
        <v>0.011</v>
      </c>
    </row>
    <row r="371">
      <c r="A371" s="17" t="str">
        <f>IFERROR(__xludf.DUMMYFUNCTION("""COMPUTED_VALUE"""),"Walton Global Holdings")</f>
        <v>Walton Global Holdings</v>
      </c>
      <c r="B371" s="17" t="str">
        <f>IFERROR(__xludf.DUMMYFUNCTION("""COMPUTED_VALUE"""),"Kimberlin Heights - Dev LP")</f>
        <v>Kimberlin Heights - Dev LP</v>
      </c>
      <c r="C371" s="17" t="str">
        <f>IFERROR(__xludf.DUMMYFUNCTION("""COMPUTED_VALUE"""),"Dallas-Fort Worth, TX")</f>
        <v>Dallas-Fort Worth, TX</v>
      </c>
      <c r="D371" s="17" t="str">
        <f>IFERROR(__xludf.DUMMYFUNCTION("""COMPUTED_VALUE"""),"Land")</f>
        <v>Land</v>
      </c>
      <c r="E371" s="17">
        <f>IFERROR(__xludf.DUMMYFUNCTION("""COMPUTED_VALUE"""),11.62)</f>
        <v>11.62</v>
      </c>
      <c r="F371" s="27">
        <f>IFERROR(__xludf.DUMMYFUNCTION("""COMPUTED_VALUE"""),1.49)</f>
        <v>1.49</v>
      </c>
      <c r="G371" s="13">
        <f>IFERROR(__xludf.DUMMYFUNCTION("""COMPUTED_VALUE"""),0.035)</f>
        <v>0.035</v>
      </c>
    </row>
    <row r="372">
      <c r="A372" s="17" t="str">
        <f>IFERROR(__xludf.DUMMYFUNCTION("""COMPUTED_VALUE"""),"Walton Global Holdings")</f>
        <v>Walton Global Holdings</v>
      </c>
      <c r="B372" s="17" t="str">
        <f>IFERROR(__xludf.DUMMYFUNCTION("""COMPUTED_VALUE"""),"Kimberlin Heights - LP")</f>
        <v>Kimberlin Heights - LP</v>
      </c>
      <c r="C372" s="17" t="str">
        <f>IFERROR(__xludf.DUMMYFUNCTION("""COMPUTED_VALUE"""),"Dallas-Fort Worth, TX")</f>
        <v>Dallas-Fort Worth, TX</v>
      </c>
      <c r="D372" s="17" t="str">
        <f>IFERROR(__xludf.DUMMYFUNCTION("""COMPUTED_VALUE"""),"Land")</f>
        <v>Land</v>
      </c>
      <c r="E372" s="17">
        <f>IFERROR(__xludf.DUMMYFUNCTION("""COMPUTED_VALUE"""),11.62)</f>
        <v>11.62</v>
      </c>
      <c r="F372" s="27">
        <f>IFERROR(__xludf.DUMMYFUNCTION("""COMPUTED_VALUE"""),1.53)</f>
        <v>1.53</v>
      </c>
      <c r="G372" s="13">
        <f>IFERROR(__xludf.DUMMYFUNCTION("""COMPUTED_VALUE"""),0.0373)</f>
        <v>0.0373</v>
      </c>
    </row>
    <row r="373">
      <c r="A373" s="17" t="str">
        <f>IFERROR(__xludf.DUMMYFUNCTION("""COMPUTED_VALUE"""),"AEI Capital Corporation")</f>
        <v>AEI Capital Corporation</v>
      </c>
      <c r="B373" s="17" t="str">
        <f>IFERROR(__xludf.DUMMYFUNCTION("""COMPUTED_VALUE"""),"KinderCare")</f>
        <v>KinderCare</v>
      </c>
      <c r="C373" s="17" t="str">
        <f>IFERROR(__xludf.DUMMYFUNCTION("""COMPUTED_VALUE"""),"Ballwin, MO")</f>
        <v>Ballwin, MO</v>
      </c>
      <c r="D373" s="17" t="str">
        <f>IFERROR(__xludf.DUMMYFUNCTION("""COMPUTED_VALUE"""),"Net Lease")</f>
        <v>Net Lease</v>
      </c>
      <c r="E373" s="17">
        <f>IFERROR(__xludf.DUMMYFUNCTION("""COMPUTED_VALUE"""),8.78)</f>
        <v>8.78</v>
      </c>
      <c r="F373" s="27">
        <f>IFERROR(__xludf.DUMMYFUNCTION("""COMPUTED_VALUE"""),1.45)</f>
        <v>1.45</v>
      </c>
      <c r="G373" s="13">
        <f>IFERROR(__xludf.DUMMYFUNCTION("""COMPUTED_VALUE"""),0.0715)</f>
        <v>0.0715</v>
      </c>
    </row>
    <row r="374">
      <c r="A374" s="17" t="str">
        <f>IFERROR(__xludf.DUMMYFUNCTION("""COMPUTED_VALUE"""),"AEI Capital Corporation")</f>
        <v>AEI Capital Corporation</v>
      </c>
      <c r="B374" s="17" t="str">
        <f>IFERROR(__xludf.DUMMYFUNCTION("""COMPUTED_VALUE"""),"KinderCare")</f>
        <v>KinderCare</v>
      </c>
      <c r="C374" s="17" t="str">
        <f>IFERROR(__xludf.DUMMYFUNCTION("""COMPUTED_VALUE"""),"Ft. Worth, TX")</f>
        <v>Ft. Worth, TX</v>
      </c>
      <c r="D374" s="17" t="str">
        <f>IFERROR(__xludf.DUMMYFUNCTION("""COMPUTED_VALUE"""),"Net Lease")</f>
        <v>Net Lease</v>
      </c>
      <c r="E374" s="17">
        <f>IFERROR(__xludf.DUMMYFUNCTION("""COMPUTED_VALUE"""),20.1)</f>
        <v>20.1</v>
      </c>
      <c r="F374" s="27">
        <f>IFERROR(__xludf.DUMMYFUNCTION("""COMPUTED_VALUE"""),2.74)</f>
        <v>2.74</v>
      </c>
      <c r="G374" s="13">
        <f>IFERROR(__xludf.DUMMYFUNCTION("""COMPUTED_VALUE"""),0.0739)</f>
        <v>0.0739</v>
      </c>
    </row>
    <row r="375">
      <c r="A375" s="17" t="str">
        <f>IFERROR(__xludf.DUMMYFUNCTION("""COMPUTED_VALUE"""),"AEI Capital Corporation")</f>
        <v>AEI Capital Corporation</v>
      </c>
      <c r="B375" s="17" t="str">
        <f>IFERROR(__xludf.DUMMYFUNCTION("""COMPUTED_VALUE"""),"KinderCare / Children's World")</f>
        <v>KinderCare / Children's World</v>
      </c>
      <c r="C375" s="17" t="str">
        <f>IFERROR(__xludf.DUMMYFUNCTION("""COMPUTED_VALUE"""),"De Pere, WI")</f>
        <v>De Pere, WI</v>
      </c>
      <c r="D375" s="17" t="str">
        <f>IFERROR(__xludf.DUMMYFUNCTION("""COMPUTED_VALUE"""),"Net Lease")</f>
        <v>Net Lease</v>
      </c>
      <c r="E375" s="17">
        <f>IFERROR(__xludf.DUMMYFUNCTION("""COMPUTED_VALUE"""),14.81)</f>
        <v>14.81</v>
      </c>
      <c r="F375" s="27">
        <f>IFERROR(__xludf.DUMMYFUNCTION("""COMPUTED_VALUE"""),1.89)</f>
        <v>1.89</v>
      </c>
      <c r="G375" s="13">
        <f>IFERROR(__xludf.DUMMYFUNCTION("""COMPUTED_VALUE"""),0.0758)</f>
        <v>0.0758</v>
      </c>
    </row>
    <row r="376">
      <c r="A376" s="17" t="str">
        <f>IFERROR(__xludf.DUMMYFUNCTION("""COMPUTED_VALUE"""),"AEI Capital Corporation")</f>
        <v>AEI Capital Corporation</v>
      </c>
      <c r="B376" s="17" t="str">
        <f>IFERROR(__xludf.DUMMYFUNCTION("""COMPUTED_VALUE"""),"KinderCare / Children's World")</f>
        <v>KinderCare / Children's World</v>
      </c>
      <c r="C376" s="17" t="str">
        <f>IFERROR(__xludf.DUMMYFUNCTION("""COMPUTED_VALUE"""),"West Bridgewater, MA")</f>
        <v>West Bridgewater, MA</v>
      </c>
      <c r="D376" s="17" t="str">
        <f>IFERROR(__xludf.DUMMYFUNCTION("""COMPUTED_VALUE"""),"Net Lease")</f>
        <v>Net Lease</v>
      </c>
      <c r="E376" s="17">
        <f>IFERROR(__xludf.DUMMYFUNCTION("""COMPUTED_VALUE"""),14.0)</f>
        <v>14</v>
      </c>
      <c r="F376" s="27">
        <f>IFERROR(__xludf.DUMMYFUNCTION("""COMPUTED_VALUE"""),1.83)</f>
        <v>1.83</v>
      </c>
      <c r="G376" s="13">
        <f>IFERROR(__xludf.DUMMYFUNCTION("""COMPUTED_VALUE"""),0.0708)</f>
        <v>0.0708</v>
      </c>
    </row>
    <row r="377">
      <c r="A377" s="17" t="str">
        <f>IFERROR(__xludf.DUMMYFUNCTION("""COMPUTED_VALUE"""),"AEI Capital Corporation")</f>
        <v>AEI Capital Corporation</v>
      </c>
      <c r="B377" s="17" t="str">
        <f>IFERROR(__xludf.DUMMYFUNCTION("""COMPUTED_VALUE"""),"KinderCare / Children's World")</f>
        <v>KinderCare / Children's World</v>
      </c>
      <c r="C377" s="17" t="str">
        <f>IFERROR(__xludf.DUMMYFUNCTION("""COMPUTED_VALUE"""),"Colorado Springs, CO")</f>
        <v>Colorado Springs, CO</v>
      </c>
      <c r="D377" s="17" t="str">
        <f>IFERROR(__xludf.DUMMYFUNCTION("""COMPUTED_VALUE"""),"Net Lease")</f>
        <v>Net Lease</v>
      </c>
      <c r="E377" s="17">
        <f>IFERROR(__xludf.DUMMYFUNCTION("""COMPUTED_VALUE"""),15.31)</f>
        <v>15.31</v>
      </c>
      <c r="F377" s="27">
        <f>IFERROR(__xludf.DUMMYFUNCTION("""COMPUTED_VALUE"""),2.05)</f>
        <v>2.05</v>
      </c>
      <c r="G377" s="13">
        <f>IFERROR(__xludf.DUMMYFUNCTION("""COMPUTED_VALUE"""),0.0796)</f>
        <v>0.0796</v>
      </c>
    </row>
    <row r="378">
      <c r="A378" s="17" t="str">
        <f>IFERROR(__xludf.DUMMYFUNCTION("""COMPUTED_VALUE"""),"AEI Capital Corporation")</f>
        <v>AEI Capital Corporation</v>
      </c>
      <c r="B378" s="17" t="str">
        <f>IFERROR(__xludf.DUMMYFUNCTION("""COMPUTED_VALUE"""),"KinderCare / Children's World")</f>
        <v>KinderCare / Children's World</v>
      </c>
      <c r="C378" s="17" t="str">
        <f>IFERROR(__xludf.DUMMYFUNCTION("""COMPUTED_VALUE"""),"Monument, CO")</f>
        <v>Monument, CO</v>
      </c>
      <c r="D378" s="17" t="str">
        <f>IFERROR(__xludf.DUMMYFUNCTION("""COMPUTED_VALUE"""),"Net Lease")</f>
        <v>Net Lease</v>
      </c>
      <c r="E378" s="17">
        <f>IFERROR(__xludf.DUMMYFUNCTION("""COMPUTED_VALUE"""),12.47)</f>
        <v>12.47</v>
      </c>
      <c r="F378" s="27">
        <f>IFERROR(__xludf.DUMMYFUNCTION("""COMPUTED_VALUE"""),1.35)</f>
        <v>1.35</v>
      </c>
      <c r="G378" s="13">
        <f>IFERROR(__xludf.DUMMYFUNCTION("""COMPUTED_VALUE"""),0.0733)</f>
        <v>0.0733</v>
      </c>
    </row>
    <row r="379">
      <c r="A379" s="17" t="str">
        <f>IFERROR(__xludf.DUMMYFUNCTION("""COMPUTED_VALUE"""),"AEI Capital Corporation")</f>
        <v>AEI Capital Corporation</v>
      </c>
      <c r="B379" s="17" t="str">
        <f>IFERROR(__xludf.DUMMYFUNCTION("""COMPUTED_VALUE"""),"KinderCare / Children's World")</f>
        <v>KinderCare / Children's World</v>
      </c>
      <c r="C379" s="17" t="str">
        <f>IFERROR(__xludf.DUMMYFUNCTION("""COMPUTED_VALUE"""),"Houston, TX")</f>
        <v>Houston, TX</v>
      </c>
      <c r="D379" s="17" t="str">
        <f>IFERROR(__xludf.DUMMYFUNCTION("""COMPUTED_VALUE"""),"Net Lease")</f>
        <v>Net Lease</v>
      </c>
      <c r="E379" s="17">
        <f>IFERROR(__xludf.DUMMYFUNCTION("""COMPUTED_VALUE"""),14.57)</f>
        <v>14.57</v>
      </c>
      <c r="F379" s="27">
        <f>IFERROR(__xludf.DUMMYFUNCTION("""COMPUTED_VALUE"""),2.23)</f>
        <v>2.23</v>
      </c>
      <c r="G379" s="13">
        <f>IFERROR(__xludf.DUMMYFUNCTION("""COMPUTED_VALUE"""),0.0771)</f>
        <v>0.0771</v>
      </c>
    </row>
    <row r="380">
      <c r="A380" s="17" t="str">
        <f>IFERROR(__xludf.DUMMYFUNCTION("""COMPUTED_VALUE"""),"AEI Capital Corporation")</f>
        <v>AEI Capital Corporation</v>
      </c>
      <c r="B380" s="17" t="str">
        <f>IFERROR(__xludf.DUMMYFUNCTION("""COMPUTED_VALUE"""),"KinderCare / Children's World")</f>
        <v>KinderCare / Children's World</v>
      </c>
      <c r="C380" s="17" t="str">
        <f>IFERROR(__xludf.DUMMYFUNCTION("""COMPUTED_VALUE"""),"Twinsburg, OH")</f>
        <v>Twinsburg, OH</v>
      </c>
      <c r="D380" s="17" t="str">
        <f>IFERROR(__xludf.DUMMYFUNCTION("""COMPUTED_VALUE"""),"Net Lease")</f>
        <v>Net Lease</v>
      </c>
      <c r="E380" s="17">
        <f>IFERROR(__xludf.DUMMYFUNCTION("""COMPUTED_VALUE"""),14.74)</f>
        <v>14.74</v>
      </c>
      <c r="F380" s="27">
        <f>IFERROR(__xludf.DUMMYFUNCTION("""COMPUTED_VALUE"""),2.13)</f>
        <v>2.13</v>
      </c>
      <c r="G380" s="13">
        <f>IFERROR(__xludf.DUMMYFUNCTION("""COMPUTED_VALUE"""),0.0734)</f>
        <v>0.0734</v>
      </c>
    </row>
    <row r="381">
      <c r="A381" s="17" t="str">
        <f>IFERROR(__xludf.DUMMYFUNCTION("""COMPUTED_VALUE"""),"Time Equities")</f>
        <v>Time Equities</v>
      </c>
      <c r="B381" s="17" t="str">
        <f>IFERROR(__xludf.DUMMYFUNCTION("""COMPUTED_VALUE"""),"Kingsbury Apartments")</f>
        <v>Kingsbury Apartments</v>
      </c>
      <c r="C381" s="17" t="str">
        <f>IFERROR(__xludf.DUMMYFUNCTION("""COMPUTED_VALUE"""),"St. Louis, MI")</f>
        <v>St. Louis, MI</v>
      </c>
      <c r="D381" s="17" t="str">
        <f>IFERROR(__xludf.DUMMYFUNCTION("""COMPUTED_VALUE"""),"Multifamily")</f>
        <v>Multifamily</v>
      </c>
      <c r="E381" s="17">
        <f>IFERROR(__xludf.DUMMYFUNCTION("""COMPUTED_VALUE"""),3.09)</f>
        <v>3.09</v>
      </c>
      <c r="F381" s="27">
        <f>IFERROR(__xludf.DUMMYFUNCTION("""COMPUTED_VALUE"""),1.68)</f>
        <v>1.68</v>
      </c>
      <c r="G381" s="13">
        <f>IFERROR(__xludf.DUMMYFUNCTION("""COMPUTED_VALUE"""),0.1389)</f>
        <v>0.1389</v>
      </c>
    </row>
    <row r="382">
      <c r="A382" s="17" t="str">
        <f>IFERROR(__xludf.DUMMYFUNCTION("""COMPUTED_VALUE"""),"Inland")</f>
        <v>Inland</v>
      </c>
      <c r="B382" s="17" t="str">
        <f>IFERROR(__xludf.DUMMYFUNCTION("""COMPUTED_VALUE"""),"Lafayette Multifamily DST")</f>
        <v>Lafayette Multifamily DST</v>
      </c>
      <c r="C382" s="17"/>
      <c r="D382" s="17" t="str">
        <f>IFERROR(__xludf.DUMMYFUNCTION("""COMPUTED_VALUE"""),"Multifamily")</f>
        <v>Multifamily</v>
      </c>
      <c r="E382" s="17">
        <f>IFERROR(__xludf.DUMMYFUNCTION("""COMPUTED_VALUE"""),9.9)</f>
        <v>9.9</v>
      </c>
      <c r="F382" s="27">
        <f>IFERROR(__xludf.DUMMYFUNCTION("""COMPUTED_VALUE"""),1.46)</f>
        <v>1.46</v>
      </c>
      <c r="G382" s="13">
        <f>IFERROR(__xludf.DUMMYFUNCTION("""COMPUTED_VALUE"""),0.0443)</f>
        <v>0.0443</v>
      </c>
    </row>
    <row r="383">
      <c r="A383" s="17" t="str">
        <f>IFERROR(__xludf.DUMMYFUNCTION("""COMPUTED_VALUE"""),"Time Equities")</f>
        <v>Time Equities</v>
      </c>
      <c r="B383" s="17" t="str">
        <f>IFERROR(__xludf.DUMMYFUNCTION("""COMPUTED_VALUE"""),"Laguna Park Equities Group")</f>
        <v>Laguna Park Equities Group</v>
      </c>
      <c r="C383" s="17" t="str">
        <f>IFERROR(__xludf.DUMMYFUNCTION("""COMPUTED_VALUE"""),"Stockton, CA")</f>
        <v>Stockton, CA</v>
      </c>
      <c r="D383" s="17" t="str">
        <f>IFERROR(__xludf.DUMMYFUNCTION("""COMPUTED_VALUE"""),"Multifamily")</f>
        <v>Multifamily</v>
      </c>
      <c r="E383" s="17">
        <f>IFERROR(__xludf.DUMMYFUNCTION("""COMPUTED_VALUE"""),4.9)</f>
        <v>4.9</v>
      </c>
      <c r="F383" s="27">
        <f>IFERROR(__xludf.DUMMYFUNCTION("""COMPUTED_VALUE"""),2.04)</f>
        <v>2.04</v>
      </c>
      <c r="G383" s="13">
        <f>IFERROR(__xludf.DUMMYFUNCTION("""COMPUTED_VALUE"""),0.1843)</f>
        <v>0.1843</v>
      </c>
    </row>
    <row r="384">
      <c r="A384" s="17" t="str">
        <f>IFERROR(__xludf.DUMMYFUNCTION("""COMPUTED_VALUE"""),"Walton Global Holdings")</f>
        <v>Walton Global Holdings</v>
      </c>
      <c r="B384" s="17" t="str">
        <f>IFERROR(__xludf.DUMMYFUNCTION("""COMPUTED_VALUE"""),"Lake Alfred")</f>
        <v>Lake Alfred</v>
      </c>
      <c r="C384" s="17" t="str">
        <f>IFERROR(__xludf.DUMMYFUNCTION("""COMPUTED_VALUE"""),"Lakeland, FL")</f>
        <v>Lakeland, FL</v>
      </c>
      <c r="D384" s="17" t="str">
        <f>IFERROR(__xludf.DUMMYFUNCTION("""COMPUTED_VALUE"""),"Land")</f>
        <v>Land</v>
      </c>
      <c r="E384" s="17">
        <f>IFERROR(__xludf.DUMMYFUNCTION("""COMPUTED_VALUE"""),5.54)</f>
        <v>5.54</v>
      </c>
      <c r="F384" s="27">
        <f>IFERROR(__xludf.DUMMYFUNCTION("""COMPUTED_VALUE"""),1.51)</f>
        <v>1.51</v>
      </c>
      <c r="G384" s="13">
        <f>IFERROR(__xludf.DUMMYFUNCTION("""COMPUTED_VALUE"""),0.1532)</f>
        <v>0.1532</v>
      </c>
    </row>
    <row r="385">
      <c r="A385" s="17" t="str">
        <f>IFERROR(__xludf.DUMMYFUNCTION("""COMPUTED_VALUE"""),"Walton Global Holdings")</f>
        <v>Walton Global Holdings</v>
      </c>
      <c r="B385" s="17" t="str">
        <f>IFERROR(__xludf.DUMMYFUNCTION("""COMPUTED_VALUE"""),"Lakewood Springs")</f>
        <v>Lakewood Springs</v>
      </c>
      <c r="C385" s="17" t="str">
        <f>IFERROR(__xludf.DUMMYFUNCTION("""COMPUTED_VALUE"""),"Chicago, IL")</f>
        <v>Chicago, IL</v>
      </c>
      <c r="D385" s="17" t="str">
        <f>IFERROR(__xludf.DUMMYFUNCTION("""COMPUTED_VALUE"""),"Land")</f>
        <v>Land</v>
      </c>
      <c r="E385" s="17">
        <f>IFERROR(__xludf.DUMMYFUNCTION("""COMPUTED_VALUE"""),5.98)</f>
        <v>5.98</v>
      </c>
      <c r="F385" s="27">
        <f>IFERROR(__xludf.DUMMYFUNCTION("""COMPUTED_VALUE"""),1.34)</f>
        <v>1.34</v>
      </c>
      <c r="G385" s="13">
        <f>IFERROR(__xludf.DUMMYFUNCTION("""COMPUTED_VALUE"""),0.0797)</f>
        <v>0.0797</v>
      </c>
    </row>
    <row r="386">
      <c r="A386" s="17" t="str">
        <f>IFERROR(__xludf.DUMMYFUNCTION("""COMPUTED_VALUE"""),"Bluerock")</f>
        <v>Bluerock</v>
      </c>
      <c r="B386" s="17" t="str">
        <f>IFERROR(__xludf.DUMMYFUNCTION("""COMPUTED_VALUE"""),"Lansbrook")</f>
        <v>Lansbrook</v>
      </c>
      <c r="C386" s="17" t="str">
        <f>IFERROR(__xludf.DUMMYFUNCTION("""COMPUTED_VALUE"""),"Palm Harbor, FL")</f>
        <v>Palm Harbor, FL</v>
      </c>
      <c r="D386" s="17" t="str">
        <f>IFERROR(__xludf.DUMMYFUNCTION("""COMPUTED_VALUE"""),"Multifamily")</f>
        <v>Multifamily</v>
      </c>
      <c r="E386" s="17">
        <f>IFERROR(__xludf.DUMMYFUNCTION("""COMPUTED_VALUE"""),3.08)</f>
        <v>3.08</v>
      </c>
      <c r="F386" s="27">
        <f>IFERROR(__xludf.DUMMYFUNCTION("""COMPUTED_VALUE"""),1.85)</f>
        <v>1.85</v>
      </c>
      <c r="G386" s="13">
        <f>IFERROR(__xludf.DUMMYFUNCTION("""COMPUTED_VALUE"""),0.164)</f>
        <v>0.164</v>
      </c>
    </row>
    <row r="387">
      <c r="A387" s="17" t="str">
        <f>IFERROR(__xludf.DUMMYFUNCTION("""COMPUTED_VALUE"""),"Syndicated Equities")</f>
        <v>Syndicated Equities</v>
      </c>
      <c r="B387" s="17" t="str">
        <f>IFERROR(__xludf.DUMMYFUNCTION("""COMPUTED_VALUE"""),"Le Meridien Hotel")</f>
        <v>Le Meridien Hotel</v>
      </c>
      <c r="C387" s="17" t="str">
        <f>IFERROR(__xludf.DUMMYFUNCTION("""COMPUTED_VALUE"""),"Chicago, IL")</f>
        <v>Chicago, IL</v>
      </c>
      <c r="D387" s="17"/>
      <c r="E387" s="17">
        <f>IFERROR(__xludf.DUMMYFUNCTION("""COMPUTED_VALUE"""),1.0)</f>
        <v>1</v>
      </c>
      <c r="F387" s="27">
        <f>IFERROR(__xludf.DUMMYFUNCTION("""COMPUTED_VALUE"""),1.69)</f>
        <v>1.69</v>
      </c>
      <c r="G387" s="13">
        <f>IFERROR(__xludf.DUMMYFUNCTION("""COMPUTED_VALUE"""),0.6858)</f>
        <v>0.6858</v>
      </c>
    </row>
    <row r="388">
      <c r="A388" s="17" t="str">
        <f>IFERROR(__xludf.DUMMYFUNCTION("""COMPUTED_VALUE"""),"Syndicated Equities")</f>
        <v>Syndicated Equities</v>
      </c>
      <c r="B388" s="17" t="str">
        <f>IFERROR(__xludf.DUMMYFUNCTION("""COMPUTED_VALUE"""),"Legacy at Acworth")</f>
        <v>Legacy at Acworth</v>
      </c>
      <c r="C388" s="17" t="str">
        <f>IFERROR(__xludf.DUMMYFUNCTION("""COMPUTED_VALUE"""),"Acworth, GA")</f>
        <v>Acworth, GA</v>
      </c>
      <c r="D388" s="17"/>
      <c r="E388" s="17">
        <f>IFERROR(__xludf.DUMMYFUNCTION("""COMPUTED_VALUE"""),3.91)</f>
        <v>3.91</v>
      </c>
      <c r="F388" s="27">
        <f>IFERROR(__xludf.DUMMYFUNCTION("""COMPUTED_VALUE"""),1.54)</f>
        <v>1.54</v>
      </c>
      <c r="G388" s="13">
        <f>IFERROR(__xludf.DUMMYFUNCTION("""COMPUTED_VALUE"""),0.1169)</f>
        <v>0.1169</v>
      </c>
    </row>
    <row r="389">
      <c r="A389" s="17" t="str">
        <f>IFERROR(__xludf.DUMMYFUNCTION("""COMPUTED_VALUE"""),"Passco")</f>
        <v>Passco</v>
      </c>
      <c r="B389" s="17" t="str">
        <f>IFERROR(__xludf.DUMMYFUNCTION("""COMPUTED_VALUE"""),"Legends at Indian Springs")</f>
        <v>Legends at Indian Springs</v>
      </c>
      <c r="C389" s="17" t="str">
        <f>IFERROR(__xludf.DUMMYFUNCTION("""COMPUTED_VALUE"""),"Louisville, KY")</f>
        <v>Louisville, KY</v>
      </c>
      <c r="D389" s="17" t="str">
        <f>IFERROR(__xludf.DUMMYFUNCTION("""COMPUTED_VALUE"""),"Multifamily")</f>
        <v>Multifamily</v>
      </c>
      <c r="E389" s="17">
        <f>IFERROR(__xludf.DUMMYFUNCTION("""COMPUTED_VALUE"""),6.0)</f>
        <v>6</v>
      </c>
      <c r="F389" s="27">
        <f>IFERROR(__xludf.DUMMYFUNCTION("""COMPUTED_VALUE"""),2.06)</f>
        <v>2.06</v>
      </c>
      <c r="G389" s="13">
        <f>IFERROR(__xludf.DUMMYFUNCTION("""COMPUTED_VALUE"""),0.128)</f>
        <v>0.128</v>
      </c>
    </row>
    <row r="390">
      <c r="A390" s="17" t="str">
        <f>IFERROR(__xludf.DUMMYFUNCTION("""COMPUTED_VALUE"""),"Passco")</f>
        <v>Passco</v>
      </c>
      <c r="B390" s="17" t="str">
        <f>IFERROR(__xludf.DUMMYFUNCTION("""COMPUTED_VALUE"""),"Legends at Wolfchase")</f>
        <v>Legends at Wolfchase</v>
      </c>
      <c r="C390" s="17" t="str">
        <f>IFERROR(__xludf.DUMMYFUNCTION("""COMPUTED_VALUE"""),"Memphis, TN")</f>
        <v>Memphis, TN</v>
      </c>
      <c r="D390" s="17" t="str">
        <f>IFERROR(__xludf.DUMMYFUNCTION("""COMPUTED_VALUE"""),"Multifamily")</f>
        <v>Multifamily</v>
      </c>
      <c r="E390" s="17">
        <f>IFERROR(__xludf.DUMMYFUNCTION("""COMPUTED_VALUE"""),7.0)</f>
        <v>7</v>
      </c>
      <c r="F390" s="27">
        <f>IFERROR(__xludf.DUMMYFUNCTION("""COMPUTED_VALUE"""),1.86)</f>
        <v>1.86</v>
      </c>
      <c r="G390" s="13">
        <f>IFERROR(__xludf.DUMMYFUNCTION("""COMPUTED_VALUE"""),0.0924)</f>
        <v>0.0924</v>
      </c>
    </row>
    <row r="391">
      <c r="A391" s="17" t="str">
        <f>IFERROR(__xludf.DUMMYFUNCTION("""COMPUTED_VALUE"""),"Bluerock")</f>
        <v>Bluerock</v>
      </c>
      <c r="B391" s="17" t="str">
        <f>IFERROR(__xludf.DUMMYFUNCTION("""COMPUTED_VALUE"""),"Leigh House")</f>
        <v>Leigh House</v>
      </c>
      <c r="C391" s="17" t="str">
        <f>IFERROR(__xludf.DUMMYFUNCTION("""COMPUTED_VALUE"""),"Raleigh, NC")</f>
        <v>Raleigh, NC</v>
      </c>
      <c r="D391" s="17" t="str">
        <f>IFERROR(__xludf.DUMMYFUNCTION("""COMPUTED_VALUE"""),"Multifamily")</f>
        <v>Multifamily</v>
      </c>
      <c r="E391" s="17">
        <f>IFERROR(__xludf.DUMMYFUNCTION("""COMPUTED_VALUE"""),3.67)</f>
        <v>3.67</v>
      </c>
      <c r="F391" s="27">
        <f>IFERROR(__xludf.DUMMYFUNCTION("""COMPUTED_VALUE"""),1.94)</f>
        <v>1.94</v>
      </c>
      <c r="G391" s="13">
        <f>IFERROR(__xludf.DUMMYFUNCTION("""COMPUTED_VALUE"""),0.087)</f>
        <v>0.087</v>
      </c>
    </row>
    <row r="392">
      <c r="A392" s="17" t="str">
        <f>IFERROR(__xludf.DUMMYFUNCTION("""COMPUTED_VALUE"""),"Bridgeview")</f>
        <v>Bridgeview</v>
      </c>
      <c r="B392" s="17" t="str">
        <f>IFERROR(__xludf.DUMMYFUNCTION("""COMPUTED_VALUE"""),"Liberty Lofts + Midtown Urban Portfolio")</f>
        <v>Liberty Lofts + Midtown Urban Portfolio</v>
      </c>
      <c r="C392" s="17" t="str">
        <f>IFERROR(__xludf.DUMMYFUNCTION("""COMPUTED_VALUE"""),"Fort Worth &amp; Arlington, TX")</f>
        <v>Fort Worth &amp; Arlington, TX</v>
      </c>
      <c r="D392" s="17" t="str">
        <f>IFERROR(__xludf.DUMMYFUNCTION("""COMPUTED_VALUE"""),"Student Housing")</f>
        <v>Student Housing</v>
      </c>
      <c r="E392" s="17">
        <f>IFERROR(__xludf.DUMMYFUNCTION("""COMPUTED_VALUE"""),2.42)</f>
        <v>2.42</v>
      </c>
      <c r="F392" s="27">
        <f>IFERROR(__xludf.DUMMYFUNCTION("""COMPUTED_VALUE"""),1.6)</f>
        <v>1.6</v>
      </c>
      <c r="G392" s="13">
        <f>IFERROR(__xludf.DUMMYFUNCTION("""COMPUTED_VALUE"""),0.226)</f>
        <v>0.226</v>
      </c>
    </row>
    <row r="393">
      <c r="A393" s="17" t="str">
        <f>IFERROR(__xludf.DUMMYFUNCTION("""COMPUTED_VALUE"""),"Walton Global Holdings")</f>
        <v>Walton Global Holdings</v>
      </c>
      <c r="B393" s="17" t="str">
        <f>IFERROR(__xludf.DUMMYFUNCTION("""COMPUTED_VALUE"""),"Liberty Park")</f>
        <v>Liberty Park</v>
      </c>
      <c r="C393" s="17" t="str">
        <f>IFERROR(__xludf.DUMMYFUNCTION("""COMPUTED_VALUE"""),"Atlanta, GA")</f>
        <v>Atlanta, GA</v>
      </c>
      <c r="D393" s="17" t="str">
        <f>IFERROR(__xludf.DUMMYFUNCTION("""COMPUTED_VALUE"""),"Land")</f>
        <v>Land</v>
      </c>
      <c r="E393" s="17">
        <f>IFERROR(__xludf.DUMMYFUNCTION("""COMPUTED_VALUE"""),7.94)</f>
        <v>7.94</v>
      </c>
      <c r="F393" s="27">
        <f>IFERROR(__xludf.DUMMYFUNCTION("""COMPUTED_VALUE"""),2.46)</f>
        <v>2.46</v>
      </c>
      <c r="G393" s="13">
        <f>IFERROR(__xludf.DUMMYFUNCTION("""COMPUTED_VALUE"""),0.4495)</f>
        <v>0.4495</v>
      </c>
    </row>
    <row r="394">
      <c r="A394" s="17" t="str">
        <f>IFERROR(__xludf.DUMMYFUNCTION("""COMPUTED_VALUE"""),"Passco")</f>
        <v>Passco</v>
      </c>
      <c r="B394" s="17" t="str">
        <f>IFERROR(__xludf.DUMMYFUNCTION("""COMPUTED_VALUE"""),"Lively at Carolina Forest")</f>
        <v>Lively at Carolina Forest</v>
      </c>
      <c r="C394" s="17" t="str">
        <f>IFERROR(__xludf.DUMMYFUNCTION("""COMPUTED_VALUE"""),"Myrtle Beach, SC")</f>
        <v>Myrtle Beach, SC</v>
      </c>
      <c r="D394" s="17" t="str">
        <f>IFERROR(__xludf.DUMMYFUNCTION("""COMPUTED_VALUE"""),"Multifamily")</f>
        <v>Multifamily</v>
      </c>
      <c r="E394" s="17">
        <f>IFERROR(__xludf.DUMMYFUNCTION("""COMPUTED_VALUE"""),4.0)</f>
        <v>4</v>
      </c>
      <c r="F394" s="27">
        <f>IFERROR(__xludf.DUMMYFUNCTION("""COMPUTED_VALUE"""),2.14)</f>
        <v>2.14</v>
      </c>
      <c r="G394" s="13">
        <f>IFERROR(__xludf.DUMMYFUNCTION("""COMPUTED_VALUE"""),0.2097)</f>
        <v>0.2097</v>
      </c>
    </row>
    <row r="395">
      <c r="A395" s="17" t="str">
        <f>IFERROR(__xludf.DUMMYFUNCTION("""COMPUTED_VALUE"""),"Passco")</f>
        <v>Passco</v>
      </c>
      <c r="B395" s="17" t="str">
        <f>IFERROR(__xludf.DUMMYFUNCTION("""COMPUTED_VALUE"""),"Lone Oak")</f>
        <v>Lone Oak</v>
      </c>
      <c r="C395" s="17" t="str">
        <f>IFERROR(__xludf.DUMMYFUNCTION("""COMPUTED_VALUE"""),"Round Rock, TX")</f>
        <v>Round Rock, TX</v>
      </c>
      <c r="D395" s="17" t="str">
        <f>IFERROR(__xludf.DUMMYFUNCTION("""COMPUTED_VALUE"""),"Multifamily")</f>
        <v>Multifamily</v>
      </c>
      <c r="E395" s="17">
        <f>IFERROR(__xludf.DUMMYFUNCTION("""COMPUTED_VALUE"""),5.0)</f>
        <v>5</v>
      </c>
      <c r="F395" s="27">
        <f>IFERROR(__xludf.DUMMYFUNCTION("""COMPUTED_VALUE"""),1.51)</f>
        <v>1.51</v>
      </c>
      <c r="G395" s="13">
        <f>IFERROR(__xludf.DUMMYFUNCTION("""COMPUTED_VALUE"""),0.0865)</f>
        <v>0.0865</v>
      </c>
    </row>
    <row r="396">
      <c r="A396" s="17" t="str">
        <f>IFERROR(__xludf.DUMMYFUNCTION("""COMPUTED_VALUE"""),"Passco")</f>
        <v>Passco</v>
      </c>
      <c r="B396" s="17" t="str">
        <f>IFERROR(__xludf.DUMMYFUNCTION("""COMPUTED_VALUE"""),"Longitude 81")</f>
        <v>Longitude 81</v>
      </c>
      <c r="C396" s="17" t="str">
        <f>IFERROR(__xludf.DUMMYFUNCTION("""COMPUTED_VALUE"""),"Estero, FL")</f>
        <v>Estero, FL</v>
      </c>
      <c r="D396" s="17" t="str">
        <f>IFERROR(__xludf.DUMMYFUNCTION("""COMPUTED_VALUE"""),"Multifamily")</f>
        <v>Multifamily</v>
      </c>
      <c r="E396" s="17">
        <f>IFERROR(__xludf.DUMMYFUNCTION("""COMPUTED_VALUE"""),6.0)</f>
        <v>6</v>
      </c>
      <c r="F396" s="27">
        <f>IFERROR(__xludf.DUMMYFUNCTION("""COMPUTED_VALUE"""),2.18)</f>
        <v>2.18</v>
      </c>
      <c r="G396" s="13">
        <f>IFERROR(__xludf.DUMMYFUNCTION("""COMPUTED_VALUE"""),0.1385)</f>
        <v>0.1385</v>
      </c>
    </row>
    <row r="397">
      <c r="A397" s="17" t="str">
        <f>IFERROR(__xludf.DUMMYFUNCTION("""COMPUTED_VALUE"""),"Passco")</f>
        <v>Passco</v>
      </c>
      <c r="B397" s="17" t="str">
        <f>IFERROR(__xludf.DUMMYFUNCTION("""COMPUTED_VALUE"""),"Longitude 82")</f>
        <v>Longitude 82</v>
      </c>
      <c r="C397" s="17" t="str">
        <f>IFERROR(__xludf.DUMMYFUNCTION("""COMPUTED_VALUE"""),"Sarasota, FL")</f>
        <v>Sarasota, FL</v>
      </c>
      <c r="D397" s="17" t="str">
        <f>IFERROR(__xludf.DUMMYFUNCTION("""COMPUTED_VALUE"""),"Multifamily")</f>
        <v>Multifamily</v>
      </c>
      <c r="E397" s="17">
        <f>IFERROR(__xludf.DUMMYFUNCTION("""COMPUTED_VALUE"""),4.0)</f>
        <v>4</v>
      </c>
      <c r="F397" s="27">
        <f>IFERROR(__xludf.DUMMYFUNCTION("""COMPUTED_VALUE"""),1.82)</f>
        <v>1.82</v>
      </c>
      <c r="G397" s="13">
        <f>IFERROR(__xludf.DUMMYFUNCTION("""COMPUTED_VALUE"""),0.1607)</f>
        <v>0.1607</v>
      </c>
    </row>
    <row r="398">
      <c r="A398" s="17" t="str">
        <f>IFERROR(__xludf.DUMMYFUNCTION("""COMPUTED_VALUE"""),"Walton Global Holdings")</f>
        <v>Walton Global Holdings</v>
      </c>
      <c r="B398" s="17" t="str">
        <f>IFERROR(__xludf.DUMMYFUNCTION("""COMPUTED_VALUE"""),"Lost Creek Sub.")</f>
        <v>Lost Creek Sub.</v>
      </c>
      <c r="C398" s="17" t="str">
        <f>IFERROR(__xludf.DUMMYFUNCTION("""COMPUTED_VALUE"""),"Atlanta, GA")</f>
        <v>Atlanta, GA</v>
      </c>
      <c r="D398" s="17" t="str">
        <f>IFERROR(__xludf.DUMMYFUNCTION("""COMPUTED_VALUE"""),"Land")</f>
        <v>Land</v>
      </c>
      <c r="E398" s="17">
        <f>IFERROR(__xludf.DUMMYFUNCTION("""COMPUTED_VALUE"""),7.94)</f>
        <v>7.94</v>
      </c>
      <c r="F398" s="27">
        <f>IFERROR(__xludf.DUMMYFUNCTION("""COMPUTED_VALUE"""),2.12)</f>
        <v>2.12</v>
      </c>
      <c r="G398" s="13">
        <f>IFERROR(__xludf.DUMMYFUNCTION("""COMPUTED_VALUE"""),0.2745)</f>
        <v>0.2745</v>
      </c>
    </row>
    <row r="399">
      <c r="A399" s="17" t="str">
        <f>IFERROR(__xludf.DUMMYFUNCTION("""COMPUTED_VALUE"""),"Inland")</f>
        <v>Inland</v>
      </c>
      <c r="B399" s="17" t="str">
        <f>IFERROR(__xludf.DUMMYFUNCTION("""COMPUTED_VALUE"""),"Louisville Multifamily DST")</f>
        <v>Louisville Multifamily DST</v>
      </c>
      <c r="C399" s="17"/>
      <c r="D399" s="17" t="str">
        <f>IFERROR(__xludf.DUMMYFUNCTION("""COMPUTED_VALUE"""),"Multifamily")</f>
        <v>Multifamily</v>
      </c>
      <c r="E399" s="17">
        <f>IFERROR(__xludf.DUMMYFUNCTION("""COMPUTED_VALUE"""),4.95)</f>
        <v>4.95</v>
      </c>
      <c r="F399" s="27">
        <f>IFERROR(__xludf.DUMMYFUNCTION("""COMPUTED_VALUE"""),1.41)</f>
        <v>1.41</v>
      </c>
      <c r="G399" s="13">
        <f>IFERROR(__xludf.DUMMYFUNCTION("""COMPUTED_VALUE"""),0.0842)</f>
        <v>0.0842</v>
      </c>
    </row>
    <row r="400">
      <c r="A400" s="17" t="str">
        <f>IFERROR(__xludf.DUMMYFUNCTION("""COMPUTED_VALUE"""),"Bluerock")</f>
        <v>Bluerock</v>
      </c>
      <c r="B400" s="17" t="str">
        <f>IFERROR(__xludf.DUMMYFUNCTION("""COMPUTED_VALUE"""),"Lower Broadway")</f>
        <v>Lower Broadway</v>
      </c>
      <c r="C400" s="17" t="str">
        <f>IFERROR(__xludf.DUMMYFUNCTION("""COMPUTED_VALUE"""),"San Antonio, TX")</f>
        <v>San Antonio, TX</v>
      </c>
      <c r="D400" s="17" t="str">
        <f>IFERROR(__xludf.DUMMYFUNCTION("""COMPUTED_VALUE"""),"Multifamily")</f>
        <v>Multifamily</v>
      </c>
      <c r="E400" s="17">
        <f>IFERROR(__xludf.DUMMYFUNCTION("""COMPUTED_VALUE"""),1.17)</f>
        <v>1.17</v>
      </c>
      <c r="F400" s="27">
        <f>IFERROR(__xludf.DUMMYFUNCTION("""COMPUTED_VALUE"""),1.3)</f>
        <v>1.3</v>
      </c>
      <c r="G400" s="13">
        <f>IFERROR(__xludf.DUMMYFUNCTION("""COMPUTED_VALUE"""),0.985)</f>
        <v>0.985</v>
      </c>
    </row>
    <row r="401">
      <c r="A401" s="17" t="str">
        <f>IFERROR(__xludf.DUMMYFUNCTION("""COMPUTED_VALUE"""),"Livingston Street Capital")</f>
        <v>Livingston Street Capital</v>
      </c>
      <c r="B401" s="17" t="str">
        <f>IFERROR(__xludf.DUMMYFUNCTION("""COMPUTED_VALUE"""),"LSC-AM MC2, DST")</f>
        <v>LSC-AM MC2, DST</v>
      </c>
      <c r="C401" s="17"/>
      <c r="D401" s="17" t="str">
        <f>IFERROR(__xludf.DUMMYFUNCTION("""COMPUTED_VALUE"""),"Industrial")</f>
        <v>Industrial</v>
      </c>
      <c r="E401" s="17">
        <f>IFERROR(__xludf.DUMMYFUNCTION("""COMPUTED_VALUE"""),7.0)</f>
        <v>7</v>
      </c>
      <c r="F401" s="27">
        <f>IFERROR(__xludf.DUMMYFUNCTION("""COMPUTED_VALUE"""),1.5)</f>
        <v>1.5</v>
      </c>
      <c r="G401" s="13">
        <f>IFERROR(__xludf.DUMMYFUNCTION("""COMPUTED_VALUE"""),0.0596)</f>
        <v>0.0596</v>
      </c>
    </row>
    <row r="402">
      <c r="A402" s="17" t="str">
        <f>IFERROR(__xludf.DUMMYFUNCTION("""COMPUTED_VALUE"""),"Livingston Street Capital")</f>
        <v>Livingston Street Capital</v>
      </c>
      <c r="B402" s="17" t="str">
        <f>IFERROR(__xludf.DUMMYFUNCTION("""COMPUTED_VALUE"""),"LSC-BIO HC1, DST")</f>
        <v>LSC-BIO HC1, DST</v>
      </c>
      <c r="C402" s="17"/>
      <c r="D402" s="17" t="str">
        <f>IFERROR(__xludf.DUMMYFUNCTION("""COMPUTED_VALUE"""),"Healthcare")</f>
        <v>Healthcare</v>
      </c>
      <c r="E402" s="17">
        <f>IFERROR(__xludf.DUMMYFUNCTION("""COMPUTED_VALUE"""),4.25)</f>
        <v>4.25</v>
      </c>
      <c r="F402" s="27">
        <f>IFERROR(__xludf.DUMMYFUNCTION("""COMPUTED_VALUE"""),1.46)</f>
        <v>1.46</v>
      </c>
      <c r="G402" s="13">
        <f>IFERROR(__xludf.DUMMYFUNCTION("""COMPUTED_VALUE"""),0.0931)</f>
        <v>0.0931</v>
      </c>
    </row>
    <row r="403">
      <c r="A403" s="17" t="str">
        <f>IFERROR(__xludf.DUMMYFUNCTION("""COMPUTED_VALUE"""),"Livingston Street Capital")</f>
        <v>Livingston Street Capital</v>
      </c>
      <c r="B403" s="17" t="str">
        <f>IFERROR(__xludf.DUMMYFUNCTION("""COMPUTED_VALUE"""),"LSC-FAUR MC3, DST")</f>
        <v>LSC-FAUR MC3, DST</v>
      </c>
      <c r="C403" s="17"/>
      <c r="D403" s="17" t="str">
        <f>IFERROR(__xludf.DUMMYFUNCTION("""COMPUTED_VALUE"""),"Office")</f>
        <v>Office</v>
      </c>
      <c r="E403" s="17">
        <f>IFERROR(__xludf.DUMMYFUNCTION("""COMPUTED_VALUE"""),2.67)</f>
        <v>2.67</v>
      </c>
      <c r="F403" s="27">
        <f>IFERROR(__xludf.DUMMYFUNCTION("""COMPUTED_VALUE"""),1.28)</f>
        <v>1.28</v>
      </c>
      <c r="G403" s="13">
        <f>IFERROR(__xludf.DUMMYFUNCTION("""COMPUTED_VALUE"""),0.0969)</f>
        <v>0.0969</v>
      </c>
    </row>
    <row r="404">
      <c r="A404" s="17" t="str">
        <f>IFERROR(__xludf.DUMMYFUNCTION("""COMPUTED_VALUE"""),"Livingston Street Capital")</f>
        <v>Livingston Street Capital</v>
      </c>
      <c r="B404" s="17" t="str">
        <f>IFERROR(__xludf.DUMMYFUNCTION("""COMPUTED_VALUE"""),"LSC-UKHS HC2, DST")</f>
        <v>LSC-UKHS HC2, DST</v>
      </c>
      <c r="C404" s="17"/>
      <c r="D404" s="17" t="str">
        <f>IFERROR(__xludf.DUMMYFUNCTION("""COMPUTED_VALUE"""),"Healthcare")</f>
        <v>Healthcare</v>
      </c>
      <c r="E404" s="17">
        <f>IFERROR(__xludf.DUMMYFUNCTION("""COMPUTED_VALUE"""),2.92)</f>
        <v>2.92</v>
      </c>
      <c r="F404" s="27">
        <f>IFERROR(__xludf.DUMMYFUNCTION("""COMPUTED_VALUE"""),1.29)</f>
        <v>1.29</v>
      </c>
      <c r="G404" s="13">
        <f>IFERROR(__xludf.DUMMYFUNCTION("""COMPUTED_VALUE"""),0.0911)</f>
        <v>0.0911</v>
      </c>
    </row>
    <row r="405">
      <c r="A405" s="17" t="str">
        <f>IFERROR(__xludf.DUMMYFUNCTION("""COMPUTED_VALUE"""),"Passco")</f>
        <v>Passco</v>
      </c>
      <c r="B405" s="17" t="str">
        <f>IFERROR(__xludf.DUMMYFUNCTION("""COMPUTED_VALUE"""),"Luxe")</f>
        <v>Luxe</v>
      </c>
      <c r="C405" s="17" t="str">
        <f>IFERROR(__xludf.DUMMYFUNCTION("""COMPUTED_VALUE"""),"Scottsdale, AZ")</f>
        <v>Scottsdale, AZ</v>
      </c>
      <c r="D405" s="17" t="str">
        <f>IFERROR(__xludf.DUMMYFUNCTION("""COMPUTED_VALUE"""),"Multifamily")</f>
        <v>Multifamily</v>
      </c>
      <c r="E405" s="17">
        <f>IFERROR(__xludf.DUMMYFUNCTION("""COMPUTED_VALUE"""),4.0)</f>
        <v>4</v>
      </c>
      <c r="F405" s="27">
        <f>IFERROR(__xludf.DUMMYFUNCTION("""COMPUTED_VALUE"""),1.35)</f>
        <v>1.35</v>
      </c>
      <c r="G405" s="13">
        <f>IFERROR(__xludf.DUMMYFUNCTION("""COMPUTED_VALUE"""),0.0772)</f>
        <v>0.0772</v>
      </c>
    </row>
    <row r="406">
      <c r="A406" s="17" t="str">
        <f>IFERROR(__xludf.DUMMYFUNCTION("""COMPUTED_VALUE"""),"Bluerock")</f>
        <v>Bluerock</v>
      </c>
      <c r="B406" s="17" t="str">
        <f>IFERROR(__xludf.DUMMYFUNCTION("""COMPUTED_VALUE"""),"Lynd Portfolio (Mesa Ridge / Meadows / Stratford)")</f>
        <v>Lynd Portfolio (Mesa Ridge / Meadows / Stratford)</v>
      </c>
      <c r="C406" s="17" t="str">
        <f>IFERROR(__xludf.DUMMYFUNCTION("""COMPUTED_VALUE"""),"San Antonio &amp; Austin, TX")</f>
        <v>San Antonio &amp; Austin, TX</v>
      </c>
      <c r="D406" s="17" t="str">
        <f>IFERROR(__xludf.DUMMYFUNCTION("""COMPUTED_VALUE"""),"Multifamily")</f>
        <v>Multifamily</v>
      </c>
      <c r="E406" s="17">
        <f>IFERROR(__xludf.DUMMYFUNCTION("""COMPUTED_VALUE"""),3.0)</f>
        <v>3</v>
      </c>
      <c r="F406" s="27">
        <f>IFERROR(__xludf.DUMMYFUNCTION("""COMPUTED_VALUE"""),1.91)</f>
        <v>1.91</v>
      </c>
      <c r="G406" s="13">
        <f>IFERROR(__xludf.DUMMYFUNCTION("""COMPUTED_VALUE"""),0.175)</f>
        <v>0.175</v>
      </c>
    </row>
    <row r="407">
      <c r="A407" s="17" t="str">
        <f>IFERROR(__xludf.DUMMYFUNCTION("""COMPUTED_VALUE"""),"Inland")</f>
        <v>Inland</v>
      </c>
      <c r="B407" s="17" t="str">
        <f>IFERROR(__xludf.DUMMYFUNCTION("""COMPUTED_VALUE"""),"Macon Office DST")</f>
        <v>Macon Office DST</v>
      </c>
      <c r="C407" s="17"/>
      <c r="D407" s="17" t="str">
        <f>IFERROR(__xludf.DUMMYFUNCTION("""COMPUTED_VALUE"""),"Office")</f>
        <v>Office</v>
      </c>
      <c r="E407" s="17">
        <f>IFERROR(__xludf.DUMMYFUNCTION("""COMPUTED_VALUE"""),11.83)</f>
        <v>11.83</v>
      </c>
      <c r="F407" s="27">
        <f>IFERROR(__xludf.DUMMYFUNCTION("""COMPUTED_VALUE"""),1.69)</f>
        <v>1.69</v>
      </c>
      <c r="G407" s="13">
        <f>IFERROR(__xludf.DUMMYFUNCTION("""COMPUTED_VALUE"""),0.069)</f>
        <v>0.069</v>
      </c>
    </row>
    <row r="408">
      <c r="A408" s="17" t="str">
        <f>IFERROR(__xludf.DUMMYFUNCTION("""COMPUTED_VALUE"""),"Walton Global Holdings")</f>
        <v>Walton Global Holdings</v>
      </c>
      <c r="B408" s="17" t="str">
        <f>IFERROR(__xludf.DUMMYFUNCTION("""COMPUTED_VALUE"""),"Madison Lakes Sub.")</f>
        <v>Madison Lakes Sub.</v>
      </c>
      <c r="C408" s="17" t="str">
        <f>IFERROR(__xludf.DUMMYFUNCTION("""COMPUTED_VALUE"""),"Atlanta, GA")</f>
        <v>Atlanta, GA</v>
      </c>
      <c r="D408" s="17" t="str">
        <f>IFERROR(__xludf.DUMMYFUNCTION("""COMPUTED_VALUE"""),"Land")</f>
        <v>Land</v>
      </c>
      <c r="E408" s="17">
        <f>IFERROR(__xludf.DUMMYFUNCTION("""COMPUTED_VALUE"""),6.97)</f>
        <v>6.97</v>
      </c>
      <c r="F408" s="27">
        <f>IFERROR(__xludf.DUMMYFUNCTION("""COMPUTED_VALUE"""),1.26)</f>
        <v>1.26</v>
      </c>
      <c r="G408" s="13">
        <f>IFERROR(__xludf.DUMMYFUNCTION("""COMPUTED_VALUE"""),0.0355)</f>
        <v>0.0355</v>
      </c>
    </row>
    <row r="409">
      <c r="A409" s="17" t="str">
        <f>IFERROR(__xludf.DUMMYFUNCTION("""COMPUTED_VALUE"""),"Passco")</f>
        <v>Passco</v>
      </c>
      <c r="B409" s="17" t="str">
        <f>IFERROR(__xludf.DUMMYFUNCTION("""COMPUTED_VALUE"""),"Marcus Pointe")</f>
        <v>Marcus Pointe</v>
      </c>
      <c r="C409" s="17" t="str">
        <f>IFERROR(__xludf.DUMMYFUNCTION("""COMPUTED_VALUE"""),"Pensacola, FL")</f>
        <v>Pensacola, FL</v>
      </c>
      <c r="D409" s="17" t="str">
        <f>IFERROR(__xludf.DUMMYFUNCTION("""COMPUTED_VALUE"""),"Multifamily")</f>
        <v>Multifamily</v>
      </c>
      <c r="E409" s="17">
        <f>IFERROR(__xludf.DUMMYFUNCTION("""COMPUTED_VALUE"""),6.0)</f>
        <v>6</v>
      </c>
      <c r="F409" s="27">
        <f>IFERROR(__xludf.DUMMYFUNCTION("""COMPUTED_VALUE"""),1.97)</f>
        <v>1.97</v>
      </c>
      <c r="G409" s="13">
        <f>IFERROR(__xludf.DUMMYFUNCTION("""COMPUTED_VALUE"""),0.1192)</f>
        <v>0.1192</v>
      </c>
    </row>
    <row r="410">
      <c r="A410" s="17" t="str">
        <f>IFERROR(__xludf.DUMMYFUNCTION("""COMPUTED_VALUE"""),"AEI Capital Corporation")</f>
        <v>AEI Capital Corporation</v>
      </c>
      <c r="B410" s="17" t="str">
        <f>IFERROR(__xludf.DUMMYFUNCTION("""COMPUTED_VALUE"""),"Marie Callender's")</f>
        <v>Marie Callender's</v>
      </c>
      <c r="C410" s="17" t="str">
        <f>IFERROR(__xludf.DUMMYFUNCTION("""COMPUTED_VALUE"""),"Gresham, OR")</f>
        <v>Gresham, OR</v>
      </c>
      <c r="D410" s="17" t="str">
        <f>IFERROR(__xludf.DUMMYFUNCTION("""COMPUTED_VALUE"""),"Net Lease")</f>
        <v>Net Lease</v>
      </c>
      <c r="E410" s="17">
        <f>IFERROR(__xludf.DUMMYFUNCTION("""COMPUTED_VALUE"""),12.94)</f>
        <v>12.94</v>
      </c>
      <c r="F410" s="27">
        <f>IFERROR(__xludf.DUMMYFUNCTION("""COMPUTED_VALUE"""),1.1)</f>
        <v>1.1</v>
      </c>
      <c r="G410" s="13">
        <f>IFERROR(__xludf.DUMMYFUNCTION("""COMPUTED_VALUE"""),0.0475)</f>
        <v>0.0475</v>
      </c>
    </row>
    <row r="411">
      <c r="A411" s="17" t="str">
        <f>IFERROR(__xludf.DUMMYFUNCTION("""COMPUTED_VALUE"""),"Passco")</f>
        <v>Passco</v>
      </c>
      <c r="B411" s="17" t="str">
        <f>IFERROR(__xludf.DUMMYFUNCTION("""COMPUTED_VALUE"""),"Mariner Grove")</f>
        <v>Mariner Grove</v>
      </c>
      <c r="C411" s="17" t="str">
        <f>IFERROR(__xludf.DUMMYFUNCTION("""COMPUTED_VALUE"""),"Savannah, GA")</f>
        <v>Savannah, GA</v>
      </c>
      <c r="D411" s="17" t="str">
        <f>IFERROR(__xludf.DUMMYFUNCTION("""COMPUTED_VALUE"""),"Multifamily")</f>
        <v>Multifamily</v>
      </c>
      <c r="E411" s="17">
        <f>IFERROR(__xludf.DUMMYFUNCTION("""COMPUTED_VALUE"""),5.0)</f>
        <v>5</v>
      </c>
      <c r="F411" s="27">
        <f>IFERROR(__xludf.DUMMYFUNCTION("""COMPUTED_VALUE"""),2.55)</f>
        <v>2.55</v>
      </c>
      <c r="G411" s="13">
        <f>IFERROR(__xludf.DUMMYFUNCTION("""COMPUTED_VALUE"""),0.206)</f>
        <v>0.206</v>
      </c>
    </row>
    <row r="412">
      <c r="A412" s="17" t="str">
        <f>IFERROR(__xludf.DUMMYFUNCTION("""COMPUTED_VALUE"""),"Passco")</f>
        <v>Passco</v>
      </c>
      <c r="B412" s="17" t="str">
        <f>IFERROR(__xludf.DUMMYFUNCTION("""COMPUTED_VALUE"""),"Marisol")</f>
        <v>Marisol</v>
      </c>
      <c r="C412" s="17" t="str">
        <f>IFERROR(__xludf.DUMMYFUNCTION("""COMPUTED_VALUE"""),"Viera, FL")</f>
        <v>Viera, FL</v>
      </c>
      <c r="D412" s="17" t="str">
        <f>IFERROR(__xludf.DUMMYFUNCTION("""COMPUTED_VALUE"""),"Multifamily")</f>
        <v>Multifamily</v>
      </c>
      <c r="E412" s="17">
        <f>IFERROR(__xludf.DUMMYFUNCTION("""COMPUTED_VALUE"""),8.0)</f>
        <v>8</v>
      </c>
      <c r="F412" s="27">
        <f>IFERROR(__xludf.DUMMYFUNCTION("""COMPUTED_VALUE"""),2.04)</f>
        <v>2.04</v>
      </c>
      <c r="G412" s="13">
        <f>IFERROR(__xludf.DUMMYFUNCTION("""COMPUTED_VALUE"""),0.0935)</f>
        <v>0.0935</v>
      </c>
    </row>
    <row r="413">
      <c r="A413" s="17" t="str">
        <f>IFERROR(__xludf.DUMMYFUNCTION("""COMPUTED_VALUE"""),"Bluerock")</f>
        <v>Bluerock</v>
      </c>
      <c r="B413" s="17" t="str">
        <f>IFERROR(__xludf.DUMMYFUNCTION("""COMPUTED_VALUE"""),"Marquis Portfolio (Stone Oak / Crown Ridge / TPC / Cascades)")</f>
        <v>Marquis Portfolio (Stone Oak / Crown Ridge / TPC / Cascades)</v>
      </c>
      <c r="C413" s="17" t="str">
        <f>IFERROR(__xludf.DUMMYFUNCTION("""COMPUTED_VALUE"""),"San Antonio &amp; Tyler, TX")</f>
        <v>San Antonio &amp; Tyler, TX</v>
      </c>
      <c r="D413" s="17" t="str">
        <f>IFERROR(__xludf.DUMMYFUNCTION("""COMPUTED_VALUE"""),"Multifamily")</f>
        <v>Multifamily</v>
      </c>
      <c r="E413" s="17">
        <f>IFERROR(__xludf.DUMMYFUNCTION("""COMPUTED_VALUE"""),2.75)</f>
        <v>2.75</v>
      </c>
      <c r="F413" s="27">
        <f>IFERROR(__xludf.DUMMYFUNCTION("""COMPUTED_VALUE"""),1.42)</f>
        <v>1.42</v>
      </c>
      <c r="G413" s="13">
        <f>IFERROR(__xludf.DUMMYFUNCTION("""COMPUTED_VALUE"""),0.126)</f>
        <v>0.126</v>
      </c>
    </row>
    <row r="414">
      <c r="A414" s="17" t="str">
        <f>IFERROR(__xludf.DUMMYFUNCTION("""COMPUTED_VALUE"""),"Syndicated Equities")</f>
        <v>Syndicated Equities</v>
      </c>
      <c r="B414" s="17" t="str">
        <f>IFERROR(__xludf.DUMMYFUNCTION("""COMPUTED_VALUE"""),"Marriott Courtyard")</f>
        <v>Marriott Courtyard</v>
      </c>
      <c r="C414" s="17" t="str">
        <f>IFERROR(__xludf.DUMMYFUNCTION("""COMPUTED_VALUE"""),"West Des Moines, IA")</f>
        <v>West Des Moines, IA</v>
      </c>
      <c r="D414" s="17"/>
      <c r="E414" s="17">
        <f>IFERROR(__xludf.DUMMYFUNCTION("""COMPUTED_VALUE"""),3.94)</f>
        <v>3.94</v>
      </c>
      <c r="F414" s="27">
        <f>IFERROR(__xludf.DUMMYFUNCTION("""COMPUTED_VALUE"""),0.12)</f>
        <v>0.12</v>
      </c>
      <c r="G414" s="13">
        <f>IFERROR(__xludf.DUMMYFUNCTION("""COMPUTED_VALUE"""),-0.4162)</f>
        <v>-0.4162</v>
      </c>
    </row>
    <row r="415">
      <c r="A415" s="17" t="str">
        <f>IFERROR(__xludf.DUMMYFUNCTION("""COMPUTED_VALUE"""),"Syndicated Equities")</f>
        <v>Syndicated Equities</v>
      </c>
      <c r="B415" s="17" t="str">
        <f>IFERROR(__xludf.DUMMYFUNCTION("""COMPUTED_VALUE"""),"Marriott Courtyard")</f>
        <v>Marriott Courtyard</v>
      </c>
      <c r="C415" s="17" t="str">
        <f>IFERROR(__xludf.DUMMYFUNCTION("""COMPUTED_VALUE"""),"Indianapolis, IN")</f>
        <v>Indianapolis, IN</v>
      </c>
      <c r="D415" s="17"/>
      <c r="E415" s="17">
        <f>IFERROR(__xludf.DUMMYFUNCTION("""COMPUTED_VALUE"""),3.37)</f>
        <v>3.37</v>
      </c>
      <c r="F415" s="27">
        <f>IFERROR(__xludf.DUMMYFUNCTION("""COMPUTED_VALUE"""),0.07)</f>
        <v>0.07</v>
      </c>
      <c r="G415" s="13">
        <f>IFERROR(__xludf.DUMMYFUNCTION("""COMPUTED_VALUE"""),-0.546)</f>
        <v>-0.546</v>
      </c>
    </row>
    <row r="416">
      <c r="A416" s="17" t="str">
        <f>IFERROR(__xludf.DUMMYFUNCTION("""COMPUTED_VALUE"""),"Syndicated Equities")</f>
        <v>Syndicated Equities</v>
      </c>
      <c r="B416" s="17" t="str">
        <f>IFERROR(__xludf.DUMMYFUNCTION("""COMPUTED_VALUE"""),"Marriott Fairfield Inn")</f>
        <v>Marriott Fairfield Inn</v>
      </c>
      <c r="C416" s="17" t="str">
        <f>IFERROR(__xludf.DUMMYFUNCTION("""COMPUTED_VALUE"""),"Milwaukee, WI")</f>
        <v>Milwaukee, WI</v>
      </c>
      <c r="D416" s="17"/>
      <c r="E416" s="17">
        <f>IFERROR(__xludf.DUMMYFUNCTION("""COMPUTED_VALUE"""),4.67)</f>
        <v>4.67</v>
      </c>
      <c r="F416" s="27">
        <f>IFERROR(__xludf.DUMMYFUNCTION("""COMPUTED_VALUE"""),0.08)</f>
        <v>0.08</v>
      </c>
      <c r="G416" s="13">
        <f>IFERROR(__xludf.DUMMYFUNCTION("""COMPUTED_VALUE"""),-0.4179)</f>
        <v>-0.4179</v>
      </c>
    </row>
    <row r="417">
      <c r="A417" s="17" t="str">
        <f>IFERROR(__xludf.DUMMYFUNCTION("""COMPUTED_VALUE"""),"Syndicated Equities")</f>
        <v>Syndicated Equities</v>
      </c>
      <c r="B417" s="17" t="str">
        <f>IFERROR(__xludf.DUMMYFUNCTION("""COMPUTED_VALUE"""),"Marriott Residence Inn")</f>
        <v>Marriott Residence Inn</v>
      </c>
      <c r="C417" s="17" t="str">
        <f>IFERROR(__xludf.DUMMYFUNCTION("""COMPUTED_VALUE"""),"Alexandria, VA")</f>
        <v>Alexandria, VA</v>
      </c>
      <c r="D417" s="17"/>
      <c r="E417" s="17">
        <f>IFERROR(__xludf.DUMMYFUNCTION("""COMPUTED_VALUE"""),10.08)</f>
        <v>10.08</v>
      </c>
      <c r="F417" s="27">
        <f>IFERROR(__xludf.DUMMYFUNCTION("""COMPUTED_VALUE"""),0.87)</f>
        <v>0.87</v>
      </c>
      <c r="G417" s="13">
        <f>IFERROR(__xludf.DUMMYFUNCTION("""COMPUTED_VALUE"""),-0.0137)</f>
        <v>-0.0137</v>
      </c>
    </row>
    <row r="418">
      <c r="A418" s="17" t="str">
        <f>IFERROR(__xludf.DUMMYFUNCTION("""COMPUTED_VALUE"""),"Syndicated Equities")</f>
        <v>Syndicated Equities</v>
      </c>
      <c r="B418" s="17" t="str">
        <f>IFERROR(__xludf.DUMMYFUNCTION("""COMPUTED_VALUE"""),"Marriott TownePlace Suites")</f>
        <v>Marriott TownePlace Suites</v>
      </c>
      <c r="C418" s="17" t="str">
        <f>IFERROR(__xludf.DUMMYFUNCTION("""COMPUTED_VALUE"""),"Indianapolis, IN")</f>
        <v>Indianapolis, IN</v>
      </c>
      <c r="D418" s="17"/>
      <c r="E418" s="17">
        <f>IFERROR(__xludf.DUMMYFUNCTION("""COMPUTED_VALUE"""),5.96)</f>
        <v>5.96</v>
      </c>
      <c r="F418" s="27">
        <f>IFERROR(__xludf.DUMMYFUNCTION("""COMPUTED_VALUE"""),0.45)</f>
        <v>0.45</v>
      </c>
      <c r="G418" s="13">
        <f>IFERROR(__xludf.DUMMYFUNCTION("""COMPUTED_VALUE"""),-0.1254)</f>
        <v>-0.1254</v>
      </c>
    </row>
    <row r="419">
      <c r="A419" s="17" t="str">
        <f>IFERROR(__xludf.DUMMYFUNCTION("""COMPUTED_VALUE"""),"Syndicated Equities")</f>
        <v>Syndicated Equities</v>
      </c>
      <c r="B419" s="17" t="str">
        <f>IFERROR(__xludf.DUMMYFUNCTION("""COMPUTED_VALUE"""),"Mars Petcare")</f>
        <v>Mars Petcare</v>
      </c>
      <c r="C419" s="17" t="str">
        <f>IFERROR(__xludf.DUMMYFUNCTION("""COMPUTED_VALUE"""),"Columbus, OH")</f>
        <v>Columbus, OH</v>
      </c>
      <c r="D419" s="17"/>
      <c r="E419" s="17">
        <f>IFERROR(__xludf.DUMMYFUNCTION("""COMPUTED_VALUE"""),4.55)</f>
        <v>4.55</v>
      </c>
      <c r="F419" s="27">
        <f>IFERROR(__xludf.DUMMYFUNCTION("""COMPUTED_VALUE"""),1.69)</f>
        <v>1.69</v>
      </c>
      <c r="G419" s="13">
        <f>IFERROR(__xludf.DUMMYFUNCTION("""COMPUTED_VALUE"""),0.1222)</f>
        <v>0.1222</v>
      </c>
    </row>
    <row r="420">
      <c r="A420" s="17" t="str">
        <f>IFERROR(__xludf.DUMMYFUNCTION("""COMPUTED_VALUE"""),"Bluerock")</f>
        <v>Bluerock</v>
      </c>
      <c r="B420" s="17" t="str">
        <f>IFERROR(__xludf.DUMMYFUNCTION("""COMPUTED_VALUE"""),"MDA City")</f>
        <v>MDA City</v>
      </c>
      <c r="C420" s="17" t="str">
        <f>IFERROR(__xludf.DUMMYFUNCTION("""COMPUTED_VALUE"""),"Chicago, IL")</f>
        <v>Chicago, IL</v>
      </c>
      <c r="D420" s="17" t="str">
        <f>IFERROR(__xludf.DUMMYFUNCTION("""COMPUTED_VALUE"""),"Multifamily")</f>
        <v>Multifamily</v>
      </c>
      <c r="E420" s="17">
        <f>IFERROR(__xludf.DUMMYFUNCTION("""COMPUTED_VALUE"""),4.5)</f>
        <v>4.5</v>
      </c>
      <c r="F420" s="27">
        <f>IFERROR(__xludf.DUMMYFUNCTION("""COMPUTED_VALUE"""),2.32)</f>
        <v>2.32</v>
      </c>
      <c r="G420" s="13">
        <f>IFERROR(__xludf.DUMMYFUNCTION("""COMPUTED_VALUE"""),0.199)</f>
        <v>0.199</v>
      </c>
    </row>
    <row r="421">
      <c r="A421" s="17" t="str">
        <f>IFERROR(__xludf.DUMMYFUNCTION("""COMPUTED_VALUE"""),"Bluerock")</f>
        <v>Bluerock</v>
      </c>
      <c r="B421" s="17" t="str">
        <f>IFERROR(__xludf.DUMMYFUNCTION("""COMPUTED_VALUE"""),"Meadowmont")</f>
        <v>Meadowmont</v>
      </c>
      <c r="C421" s="17" t="str">
        <f>IFERROR(__xludf.DUMMYFUNCTION("""COMPUTED_VALUE"""),"Chapel Hill, NC")</f>
        <v>Chapel Hill, NC</v>
      </c>
      <c r="D421" s="17" t="str">
        <f>IFERROR(__xludf.DUMMYFUNCTION("""COMPUTED_VALUE"""),"Multifamily")</f>
        <v>Multifamily</v>
      </c>
      <c r="E421" s="17">
        <f>IFERROR(__xludf.DUMMYFUNCTION("""COMPUTED_VALUE"""),3.5)</f>
        <v>3.5</v>
      </c>
      <c r="F421" s="27">
        <f>IFERROR(__xludf.DUMMYFUNCTION("""COMPUTED_VALUE"""),2.41)</f>
        <v>2.41</v>
      </c>
      <c r="G421" s="13">
        <f>IFERROR(__xludf.DUMMYFUNCTION("""COMPUTED_VALUE"""),0.245)</f>
        <v>0.245</v>
      </c>
    </row>
    <row r="422">
      <c r="A422" s="17" t="str">
        <f>IFERROR(__xludf.DUMMYFUNCTION("""COMPUTED_VALUE"""),"Passco")</f>
        <v>Passco</v>
      </c>
      <c r="B422" s="17" t="str">
        <f>IFERROR(__xludf.DUMMYFUNCTION("""COMPUTED_VALUE"""),"Meadows at Home Place")</f>
        <v>Meadows at Home Place</v>
      </c>
      <c r="C422" s="17" t="str">
        <f>IFERROR(__xludf.DUMMYFUNCTION("""COMPUTED_VALUE"""),"Prattville, AL")</f>
        <v>Prattville, AL</v>
      </c>
      <c r="D422" s="17" t="str">
        <f>IFERROR(__xludf.DUMMYFUNCTION("""COMPUTED_VALUE"""),"Multifamily")</f>
        <v>Multifamily</v>
      </c>
      <c r="E422" s="17">
        <f>IFERROR(__xludf.DUMMYFUNCTION("""COMPUTED_VALUE"""),7.0)</f>
        <v>7</v>
      </c>
      <c r="F422" s="27">
        <f>IFERROR(__xludf.DUMMYFUNCTION("""COMPUTED_VALUE"""),1.75)</f>
        <v>1.75</v>
      </c>
      <c r="G422" s="13">
        <f>IFERROR(__xludf.DUMMYFUNCTION("""COMPUTED_VALUE"""),0.0832)</f>
        <v>0.0832</v>
      </c>
    </row>
    <row r="423">
      <c r="A423" s="17" t="str">
        <f>IFERROR(__xludf.DUMMYFUNCTION("""COMPUTED_VALUE"""),"Inland")</f>
        <v>Inland</v>
      </c>
      <c r="B423" s="17" t="str">
        <f>IFERROR(__xludf.DUMMYFUNCTION("""COMPUTED_VALUE"""),"Medical Office Portfolio DST")</f>
        <v>Medical Office Portfolio DST</v>
      </c>
      <c r="C423" s="17"/>
      <c r="D423" s="17" t="str">
        <f>IFERROR(__xludf.DUMMYFUNCTION("""COMPUTED_VALUE"""),"Healthcare")</f>
        <v>Healthcare</v>
      </c>
      <c r="E423" s="17">
        <f>IFERROR(__xludf.DUMMYFUNCTION("""COMPUTED_VALUE"""),3.75)</f>
        <v>3.75</v>
      </c>
      <c r="F423" s="27">
        <f>IFERROR(__xludf.DUMMYFUNCTION("""COMPUTED_VALUE"""),1.42)</f>
        <v>1.42</v>
      </c>
      <c r="G423" s="13">
        <f>IFERROR(__xludf.DUMMYFUNCTION("""COMPUTED_VALUE"""),0.1094)</f>
        <v>0.1094</v>
      </c>
    </row>
    <row r="424">
      <c r="A424" s="17" t="str">
        <f>IFERROR(__xludf.DUMMYFUNCTION("""COMPUTED_VALUE"""),"Syndicated Equities")</f>
        <v>Syndicated Equities</v>
      </c>
      <c r="B424" s="17" t="str">
        <f>IFERROR(__xludf.DUMMYFUNCTION("""COMPUTED_VALUE"""),"Merit Medical")</f>
        <v>Merit Medical</v>
      </c>
      <c r="C424" s="17" t="str">
        <f>IFERROR(__xludf.DUMMYFUNCTION("""COMPUTED_VALUE"""),"Pearland, TX")</f>
        <v>Pearland, TX</v>
      </c>
      <c r="D424" s="17"/>
      <c r="E424" s="17">
        <f>IFERROR(__xludf.DUMMYFUNCTION("""COMPUTED_VALUE"""),4.54)</f>
        <v>4.54</v>
      </c>
      <c r="F424" s="27">
        <f>IFERROR(__xludf.DUMMYFUNCTION("""COMPUTED_VALUE"""),1.94)</f>
        <v>1.94</v>
      </c>
      <c r="G424" s="13">
        <f>IFERROR(__xludf.DUMMYFUNCTION("""COMPUTED_VALUE"""),0.157)</f>
        <v>0.157</v>
      </c>
    </row>
    <row r="425">
      <c r="A425" s="17" t="str">
        <f>IFERROR(__xludf.DUMMYFUNCTION("""COMPUTED_VALUE"""),"Time Equities")</f>
        <v>Time Equities</v>
      </c>
      <c r="B425" s="17" t="str">
        <f>IFERROR(__xludf.DUMMYFUNCTION("""COMPUTED_VALUE"""),"Merivale Shopping Center")</f>
        <v>Merivale Shopping Center</v>
      </c>
      <c r="C425" s="17" t="str">
        <f>IFERROR(__xludf.DUMMYFUNCTION("""COMPUTED_VALUE"""),"Ottawa, Canada")</f>
        <v>Ottawa, Canada</v>
      </c>
      <c r="D425" s="17" t="str">
        <f>IFERROR(__xludf.DUMMYFUNCTION("""COMPUTED_VALUE"""),"Retail")</f>
        <v>Retail</v>
      </c>
      <c r="E425" s="17">
        <f>IFERROR(__xludf.DUMMYFUNCTION("""COMPUTED_VALUE"""),4.49)</f>
        <v>4.49</v>
      </c>
      <c r="F425" s="27">
        <f>IFERROR(__xludf.DUMMYFUNCTION("""COMPUTED_VALUE"""),1.76)</f>
        <v>1.76</v>
      </c>
      <c r="G425" s="13">
        <f>IFERROR(__xludf.DUMMYFUNCTION("""COMPUTED_VALUE"""),0.2737)</f>
        <v>0.2737</v>
      </c>
    </row>
    <row r="426">
      <c r="A426" s="17" t="str">
        <f>IFERROR(__xludf.DUMMYFUNCTION("""COMPUTED_VALUE"""),"Passco")</f>
        <v>Passco</v>
      </c>
      <c r="B426" s="17" t="str">
        <f>IFERROR(__xludf.DUMMYFUNCTION("""COMPUTED_VALUE"""),"Merritt at Sugarloaf")</f>
        <v>Merritt at Sugarloaf</v>
      </c>
      <c r="C426" s="17" t="str">
        <f>IFERROR(__xludf.DUMMYFUNCTION("""COMPUTED_VALUE"""),"Duluth, GA")</f>
        <v>Duluth, GA</v>
      </c>
      <c r="D426" s="17" t="str">
        <f>IFERROR(__xludf.DUMMYFUNCTION("""COMPUTED_VALUE"""),"Multifamily")</f>
        <v>Multifamily</v>
      </c>
      <c r="E426" s="17">
        <f>IFERROR(__xludf.DUMMYFUNCTION("""COMPUTED_VALUE"""),4.0)</f>
        <v>4</v>
      </c>
      <c r="F426" s="27">
        <f>IFERROR(__xludf.DUMMYFUNCTION("""COMPUTED_VALUE"""),2.04)</f>
        <v>2.04</v>
      </c>
      <c r="G426" s="13">
        <f>IFERROR(__xludf.DUMMYFUNCTION("""COMPUTED_VALUE"""),0.1956)</f>
        <v>0.1956</v>
      </c>
    </row>
    <row r="427">
      <c r="A427" s="17" t="str">
        <f>IFERROR(__xludf.DUMMYFUNCTION("""COMPUTED_VALUE"""),"Bluerock")</f>
        <v>Bluerock</v>
      </c>
      <c r="B427" s="17" t="str">
        <f>IFERROR(__xludf.DUMMYFUNCTION("""COMPUTED_VALUE"""),"Mesa Ridge")</f>
        <v>Mesa Ridge</v>
      </c>
      <c r="C427" s="17" t="str">
        <f>IFERROR(__xludf.DUMMYFUNCTION("""COMPUTED_VALUE"""),"San Antonio, TX")</f>
        <v>San Antonio, TX</v>
      </c>
      <c r="D427" s="17" t="str">
        <f>IFERROR(__xludf.DUMMYFUNCTION("""COMPUTED_VALUE"""),"Multifamily")</f>
        <v>Multifamily</v>
      </c>
      <c r="E427" s="17">
        <f>IFERROR(__xludf.DUMMYFUNCTION("""COMPUTED_VALUE"""),5.67)</f>
        <v>5.67</v>
      </c>
      <c r="F427" s="27">
        <f>IFERROR(__xludf.DUMMYFUNCTION("""COMPUTED_VALUE"""),1.53)</f>
        <v>1.53</v>
      </c>
      <c r="G427" s="13">
        <f>IFERROR(__xludf.DUMMYFUNCTION("""COMPUTED_VALUE"""),0.096)</f>
        <v>0.096</v>
      </c>
    </row>
    <row r="428">
      <c r="A428" s="17" t="str">
        <f>IFERROR(__xludf.DUMMYFUNCTION("""COMPUTED_VALUE"""),"Syndicated Equities")</f>
        <v>Syndicated Equities</v>
      </c>
      <c r="B428" s="17" t="str">
        <f>IFERROR(__xludf.DUMMYFUNCTION("""COMPUTED_VALUE"""),"Metropolitan Place Retail")</f>
        <v>Metropolitan Place Retail</v>
      </c>
      <c r="C428" s="17" t="str">
        <f>IFERROR(__xludf.DUMMYFUNCTION("""COMPUTED_VALUE"""),"Chicago, IL")</f>
        <v>Chicago, IL</v>
      </c>
      <c r="D428" s="17"/>
      <c r="E428" s="17">
        <f>IFERROR(__xludf.DUMMYFUNCTION("""COMPUTED_VALUE"""),9.0)</f>
        <v>9</v>
      </c>
      <c r="F428" s="27">
        <f>IFERROR(__xludf.DUMMYFUNCTION("""COMPUTED_VALUE"""),1.78)</f>
        <v>1.78</v>
      </c>
      <c r="G428" s="13">
        <f>IFERROR(__xludf.DUMMYFUNCTION("""COMPUTED_VALUE"""),0.0662)</f>
        <v>0.0662</v>
      </c>
    </row>
    <row r="429">
      <c r="A429" s="17" t="str">
        <f>IFERROR(__xludf.DUMMYFUNCTION("""COMPUTED_VALUE"""),"Inland")</f>
        <v>Inland</v>
      </c>
      <c r="B429" s="17" t="str">
        <f>IFERROR(__xludf.DUMMYFUNCTION("""COMPUTED_VALUE"""),"Miami Office DST")</f>
        <v>Miami Office DST</v>
      </c>
      <c r="C429" s="17"/>
      <c r="D429" s="17" t="str">
        <f>IFERROR(__xludf.DUMMYFUNCTION("""COMPUTED_VALUE"""),"Office")</f>
        <v>Office</v>
      </c>
      <c r="E429" s="17">
        <f>IFERROR(__xludf.DUMMYFUNCTION("""COMPUTED_VALUE"""),10.17)</f>
        <v>10.17</v>
      </c>
      <c r="F429" s="27">
        <f>IFERROR(__xludf.DUMMYFUNCTION("""COMPUTED_VALUE"""),1.13)</f>
        <v>1.13</v>
      </c>
      <c r="G429" s="13">
        <f>IFERROR(__xludf.DUMMYFUNCTION("""COMPUTED_VALUE"""),0.0175)</f>
        <v>0.0175</v>
      </c>
    </row>
    <row r="430">
      <c r="A430" s="17" t="str">
        <f>IFERROR(__xludf.DUMMYFUNCTION("""COMPUTED_VALUE"""),"Inland")</f>
        <v>Inland</v>
      </c>
      <c r="B430" s="17" t="str">
        <f>IFERROR(__xludf.DUMMYFUNCTION("""COMPUTED_VALUE"""),"Milwaukee MSA Multifamily Portfolio DST")</f>
        <v>Milwaukee MSA Multifamily Portfolio DST</v>
      </c>
      <c r="C430" s="17"/>
      <c r="D430" s="17" t="str">
        <f>IFERROR(__xludf.DUMMYFUNCTION("""COMPUTED_VALUE"""),"Multifamily")</f>
        <v>Multifamily</v>
      </c>
      <c r="E430" s="17">
        <f>IFERROR(__xludf.DUMMYFUNCTION("""COMPUTED_VALUE"""),7.58)</f>
        <v>7.58</v>
      </c>
      <c r="F430" s="27">
        <f>IFERROR(__xludf.DUMMYFUNCTION("""COMPUTED_VALUE"""),1.55)</f>
        <v>1.55</v>
      </c>
      <c r="G430" s="13">
        <f>IFERROR(__xludf.DUMMYFUNCTION("""COMPUTED_VALUE"""),0.0701)</f>
        <v>0.0701</v>
      </c>
    </row>
    <row r="431">
      <c r="A431" s="17" t="str">
        <f>IFERROR(__xludf.DUMMYFUNCTION("""COMPUTED_VALUE"""),"AEI Capital Corporation")</f>
        <v>AEI Capital Corporation</v>
      </c>
      <c r="B431" s="17" t="str">
        <f>IFERROR(__xludf.DUMMYFUNCTION("""COMPUTED_VALUE"""),"Mimi's Café")</f>
        <v>Mimi's Café</v>
      </c>
      <c r="C431" s="17" t="str">
        <f>IFERROR(__xludf.DUMMYFUNCTION("""COMPUTED_VALUE"""),"Kansas City, MO")</f>
        <v>Kansas City, MO</v>
      </c>
      <c r="D431" s="17" t="str">
        <f>IFERROR(__xludf.DUMMYFUNCTION("""COMPUTED_VALUE"""),"Net Lease")</f>
        <v>Net Lease</v>
      </c>
      <c r="E431" s="17">
        <f>IFERROR(__xludf.DUMMYFUNCTION("""COMPUTED_VALUE"""),11.76)</f>
        <v>11.76</v>
      </c>
      <c r="F431" s="27">
        <f>IFERROR(__xludf.DUMMYFUNCTION("""COMPUTED_VALUE"""),1.04)</f>
        <v>1.04</v>
      </c>
      <c r="G431" s="13">
        <f>IFERROR(__xludf.DUMMYFUNCTION("""COMPUTED_VALUE"""),0.0515)</f>
        <v>0.0515</v>
      </c>
    </row>
    <row r="432">
      <c r="A432" s="17" t="str">
        <f>IFERROR(__xludf.DUMMYFUNCTION("""COMPUTED_VALUE"""),"Bluerock")</f>
        <v>Bluerock</v>
      </c>
      <c r="B432" s="17" t="str">
        <f>IFERROR(__xludf.DUMMYFUNCTION("""COMPUTED_VALUE"""),"Mira Vista")</f>
        <v>Mira Vista</v>
      </c>
      <c r="C432" s="17" t="str">
        <f>IFERROR(__xludf.DUMMYFUNCTION("""COMPUTED_VALUE"""),"Austin, TX")</f>
        <v>Austin, TX</v>
      </c>
      <c r="D432" s="17" t="str">
        <f>IFERROR(__xludf.DUMMYFUNCTION("""COMPUTED_VALUE"""),"Multifamily")</f>
        <v>Multifamily</v>
      </c>
      <c r="E432" s="17">
        <f>IFERROR(__xludf.DUMMYFUNCTION("""COMPUTED_VALUE"""),1.75)</f>
        <v>1.75</v>
      </c>
      <c r="F432" s="27">
        <f>IFERROR(__xludf.DUMMYFUNCTION("""COMPUTED_VALUE"""),1.21)</f>
        <v>1.21</v>
      </c>
      <c r="G432" s="13">
        <f>IFERROR(__xludf.DUMMYFUNCTION("""COMPUTED_VALUE"""),0.1041)</f>
        <v>0.1041</v>
      </c>
    </row>
    <row r="433">
      <c r="A433" s="17" t="str">
        <f>IFERROR(__xludf.DUMMYFUNCTION("""COMPUTED_VALUE"""),"Inland")</f>
        <v>Inland</v>
      </c>
      <c r="B433" s="17" t="str">
        <f>IFERROR(__xludf.DUMMYFUNCTION("""COMPUTED_VALUE"""),"Modesto Retail Center DST")</f>
        <v>Modesto Retail Center DST</v>
      </c>
      <c r="C433" s="17"/>
      <c r="D433" s="17" t="str">
        <f>IFERROR(__xludf.DUMMYFUNCTION("""COMPUTED_VALUE"""),"Retail")</f>
        <v>Retail</v>
      </c>
      <c r="E433" s="17">
        <f>IFERROR(__xludf.DUMMYFUNCTION("""COMPUTED_VALUE"""),4.2)</f>
        <v>4.2</v>
      </c>
      <c r="F433" s="27">
        <f>IFERROR(__xludf.DUMMYFUNCTION("""COMPUTED_VALUE"""),1.22)</f>
        <v>1.22</v>
      </c>
      <c r="G433" s="13">
        <f>IFERROR(__xludf.DUMMYFUNCTION("""COMPUTED_VALUE"""),0.0572)</f>
        <v>0.0572</v>
      </c>
    </row>
    <row r="434">
      <c r="A434" s="17" t="str">
        <f>IFERROR(__xludf.DUMMYFUNCTION("""COMPUTED_VALUE"""),"Walton Global Holdings")</f>
        <v>Walton Global Holdings</v>
      </c>
      <c r="B434" s="17" t="str">
        <f>IFERROR(__xludf.DUMMYFUNCTION("""COMPUTED_VALUE"""),"Monte Verde - RUC")</f>
        <v>Monte Verde - RUC</v>
      </c>
      <c r="C434" s="17" t="str">
        <f>IFERROR(__xludf.DUMMYFUNCTION("""COMPUTED_VALUE"""),"Phoenix, AZ")</f>
        <v>Phoenix, AZ</v>
      </c>
      <c r="D434" s="17" t="str">
        <f>IFERROR(__xludf.DUMMYFUNCTION("""COMPUTED_VALUE"""),"Land")</f>
        <v>Land</v>
      </c>
      <c r="E434" s="17">
        <f>IFERROR(__xludf.DUMMYFUNCTION("""COMPUTED_VALUE"""),3.54)</f>
        <v>3.54</v>
      </c>
      <c r="F434" s="27">
        <f>IFERROR(__xludf.DUMMYFUNCTION("""COMPUTED_VALUE"""),1.23)</f>
        <v>1.23</v>
      </c>
      <c r="G434" s="13">
        <f>IFERROR(__xludf.DUMMYFUNCTION("""COMPUTED_VALUE"""),0.0609)</f>
        <v>0.0609</v>
      </c>
    </row>
    <row r="435">
      <c r="A435" s="17" t="str">
        <f>IFERROR(__xludf.DUMMYFUNCTION("""COMPUTED_VALUE"""),"Moody National")</f>
        <v>Moody National</v>
      </c>
      <c r="B435" s="17" t="str">
        <f>IFERROR(__xludf.DUMMYFUNCTION("""COMPUTED_VALUE"""),"Moody DFW DST")</f>
        <v>Moody DFW DST</v>
      </c>
      <c r="C435" s="17"/>
      <c r="D435" s="17" t="str">
        <f>IFERROR(__xludf.DUMMYFUNCTION("""COMPUTED_VALUE"""),"Multifamily")</f>
        <v>Multifamily</v>
      </c>
      <c r="E435" s="17">
        <f>IFERROR(__xludf.DUMMYFUNCTION("""COMPUTED_VALUE"""),5.1)</f>
        <v>5.1</v>
      </c>
      <c r="F435" s="27">
        <f>IFERROR(__xludf.DUMMYFUNCTION("""COMPUTED_VALUE"""),2.0)</f>
        <v>2</v>
      </c>
      <c r="G435" s="13">
        <f>IFERROR(__xludf.DUMMYFUNCTION("""COMPUTED_VALUE"""),0.1456)</f>
        <v>0.1456</v>
      </c>
    </row>
    <row r="436">
      <c r="A436" s="17" t="str">
        <f>IFERROR(__xludf.DUMMYFUNCTION("""COMPUTED_VALUE"""),"Moody National")</f>
        <v>Moody National</v>
      </c>
      <c r="B436" s="17" t="str">
        <f>IFERROR(__xludf.DUMMYFUNCTION("""COMPUTED_VALUE"""),"Moody Village One DST")</f>
        <v>Moody Village One DST</v>
      </c>
      <c r="C436" s="17"/>
      <c r="D436" s="17" t="str">
        <f>IFERROR(__xludf.DUMMYFUNCTION("""COMPUTED_VALUE"""),"Multifamily")</f>
        <v>Multifamily</v>
      </c>
      <c r="E436" s="17">
        <f>IFERROR(__xludf.DUMMYFUNCTION("""COMPUTED_VALUE"""),4.19)</f>
        <v>4.19</v>
      </c>
      <c r="F436" s="17"/>
      <c r="G436" s="17"/>
    </row>
    <row r="437">
      <c r="A437" s="17" t="str">
        <f>IFERROR(__xludf.DUMMYFUNCTION("""COMPUTED_VALUE"""),"Walton Global Holdings")</f>
        <v>Walton Global Holdings</v>
      </c>
      <c r="B437" s="17" t="str">
        <f>IFERROR(__xludf.DUMMYFUNCTION("""COMPUTED_VALUE"""),"Moreno Valley")</f>
        <v>Moreno Valley</v>
      </c>
      <c r="C437" s="17" t="str">
        <f>IFERROR(__xludf.DUMMYFUNCTION("""COMPUTED_VALUE"""),"Riverside, CA")</f>
        <v>Riverside, CA</v>
      </c>
      <c r="D437" s="17" t="str">
        <f>IFERROR(__xludf.DUMMYFUNCTION("""COMPUTED_VALUE"""),"Land")</f>
        <v>Land</v>
      </c>
      <c r="E437" s="17">
        <f>IFERROR(__xludf.DUMMYFUNCTION("""COMPUTED_VALUE"""),2.38)</f>
        <v>2.38</v>
      </c>
      <c r="F437" s="27">
        <f>IFERROR(__xludf.DUMMYFUNCTION("""COMPUTED_VALUE"""),1.13)</f>
        <v>1.13</v>
      </c>
      <c r="G437" s="13">
        <f>IFERROR(__xludf.DUMMYFUNCTION("""COMPUTED_VALUE"""),0.0783)</f>
        <v>0.0783</v>
      </c>
    </row>
    <row r="438">
      <c r="A438" s="17" t="str">
        <f>IFERROR(__xludf.DUMMYFUNCTION("""COMPUTED_VALUE"""),"Bluerock")</f>
        <v>Bluerock</v>
      </c>
      <c r="B438" s="17" t="str">
        <f>IFERROR(__xludf.DUMMYFUNCTION("""COMPUTED_VALUE"""),"Motif")</f>
        <v>Motif</v>
      </c>
      <c r="C438" s="17" t="str">
        <f>IFERROR(__xludf.DUMMYFUNCTION("""COMPUTED_VALUE"""),"Fort Lauderdale, FL")</f>
        <v>Fort Lauderdale, FL</v>
      </c>
      <c r="D438" s="17" t="str">
        <f>IFERROR(__xludf.DUMMYFUNCTION("""COMPUTED_VALUE"""),"Multifamily")</f>
        <v>Multifamily</v>
      </c>
      <c r="E438" s="17">
        <f>IFERROR(__xludf.DUMMYFUNCTION("""COMPUTED_VALUE"""),6.33)</f>
        <v>6.33</v>
      </c>
      <c r="F438" s="27">
        <f>IFERROR(__xludf.DUMMYFUNCTION("""COMPUTED_VALUE"""),1.68)</f>
        <v>1.68</v>
      </c>
      <c r="G438" s="13">
        <f>IFERROR(__xludf.DUMMYFUNCTION("""COMPUTED_VALUE"""),0.0827)</f>
        <v>0.0827</v>
      </c>
    </row>
    <row r="439">
      <c r="A439" s="17" t="str">
        <f>IFERROR(__xludf.DUMMYFUNCTION("""COMPUTED_VALUE"""),"Inland")</f>
        <v>Inland</v>
      </c>
      <c r="B439" s="17" t="str">
        <f>IFERROR(__xludf.DUMMYFUNCTION("""COMPUTED_VALUE"""),"Mt. Pleasant Retail Venture DST")</f>
        <v>Mt. Pleasant Retail Venture DST</v>
      </c>
      <c r="C439" s="17"/>
      <c r="D439" s="17" t="str">
        <f>IFERROR(__xludf.DUMMYFUNCTION("""COMPUTED_VALUE"""),"Retail")</f>
        <v>Retail</v>
      </c>
      <c r="E439" s="17">
        <f>IFERROR(__xludf.DUMMYFUNCTION("""COMPUTED_VALUE"""),8.84)</f>
        <v>8.84</v>
      </c>
      <c r="F439" s="27">
        <f>IFERROR(__xludf.DUMMYFUNCTION("""COMPUTED_VALUE"""),1.84)</f>
        <v>1.84</v>
      </c>
      <c r="G439" s="13">
        <f>IFERROR(__xludf.DUMMYFUNCTION("""COMPUTED_VALUE"""),0.0917)</f>
        <v>0.0917</v>
      </c>
    </row>
    <row r="440">
      <c r="A440" s="17" t="str">
        <f>IFERROR(__xludf.DUMMYFUNCTION("""COMPUTED_VALUE"""),"ExchangeRight")</f>
        <v>ExchangeRight</v>
      </c>
      <c r="B440" s="17" t="str">
        <f>IFERROR(__xludf.DUMMYFUNCTION("""COMPUTED_VALUE"""),"Multifamily 1 – Van Mark Creek Apartments")</f>
        <v>Multifamily 1 – Van Mark Creek Apartments</v>
      </c>
      <c r="C440" s="17"/>
      <c r="D440" s="17" t="str">
        <f>IFERROR(__xludf.DUMMYFUNCTION("""COMPUTED_VALUE"""),"Multifamily")</f>
        <v>Multifamily</v>
      </c>
      <c r="E440" s="17">
        <f>IFERROR(__xludf.DUMMYFUNCTION("""COMPUTED_VALUE"""),3.94)</f>
        <v>3.94</v>
      </c>
      <c r="F440" s="27">
        <f>IFERROR(__xludf.DUMMYFUNCTION("""COMPUTED_VALUE"""),1.29)</f>
        <v>1.29</v>
      </c>
      <c r="G440" s="13">
        <f>IFERROR(__xludf.DUMMYFUNCTION("""COMPUTED_VALUE"""),0.0727)</f>
        <v>0.0727</v>
      </c>
    </row>
    <row r="441">
      <c r="A441" s="17" t="str">
        <f>IFERROR(__xludf.DUMMYFUNCTION("""COMPUTED_VALUE"""),"ExchangeRight")</f>
        <v>ExchangeRight</v>
      </c>
      <c r="B441" s="17" t="str">
        <f>IFERROR(__xludf.DUMMYFUNCTION("""COMPUTED_VALUE"""),"Multifamily 2 – Mira Bella and San Martin Apartments")</f>
        <v>Multifamily 2 – Mira Bella and San Martin Apartments</v>
      </c>
      <c r="C441" s="17"/>
      <c r="D441" s="17" t="str">
        <f>IFERROR(__xludf.DUMMYFUNCTION("""COMPUTED_VALUE"""),"Multifamily")</f>
        <v>Multifamily</v>
      </c>
      <c r="E441" s="17">
        <f>IFERROR(__xludf.DUMMYFUNCTION("""COMPUTED_VALUE"""),4.29)</f>
        <v>4.29</v>
      </c>
      <c r="F441" s="27">
        <f>IFERROR(__xludf.DUMMYFUNCTION("""COMPUTED_VALUE"""),1.29)</f>
        <v>1.29</v>
      </c>
      <c r="G441" s="13">
        <f>IFERROR(__xludf.DUMMYFUNCTION("""COMPUTED_VALUE"""),0.0682)</f>
        <v>0.0682</v>
      </c>
    </row>
    <row r="442">
      <c r="A442" s="17" t="str">
        <f>IFERROR(__xludf.DUMMYFUNCTION("""COMPUTED_VALUE"""),"ExchangeRight")</f>
        <v>ExchangeRight</v>
      </c>
      <c r="B442" s="17" t="str">
        <f>IFERROR(__xludf.DUMMYFUNCTION("""COMPUTED_VALUE"""),"Multifamily 3 – Lakeside at Arbor Place Apartments")</f>
        <v>Multifamily 3 – Lakeside at Arbor Place Apartments</v>
      </c>
      <c r="C442" s="17"/>
      <c r="D442" s="17" t="str">
        <f>IFERROR(__xludf.DUMMYFUNCTION("""COMPUTED_VALUE"""),"Multifamily")</f>
        <v>Multifamily</v>
      </c>
      <c r="E442" s="17">
        <f>IFERROR(__xludf.DUMMYFUNCTION("""COMPUTED_VALUE"""),3.2)</f>
        <v>3.2</v>
      </c>
      <c r="F442" s="27">
        <f>IFERROR(__xludf.DUMMYFUNCTION("""COMPUTED_VALUE"""),1.35)</f>
        <v>1.35</v>
      </c>
      <c r="G442" s="13">
        <f>IFERROR(__xludf.DUMMYFUNCTION("""COMPUTED_VALUE"""),0.1108)</f>
        <v>0.1108</v>
      </c>
    </row>
    <row r="443">
      <c r="A443" s="17" t="str">
        <f>IFERROR(__xludf.DUMMYFUNCTION("""COMPUTED_VALUE"""),"ExchangeRight")</f>
        <v>ExchangeRight</v>
      </c>
      <c r="B443" s="17" t="str">
        <f>IFERROR(__xludf.DUMMYFUNCTION("""COMPUTED_VALUE"""),"Multifamily 4 – North Austin Apartment Portfolio")</f>
        <v>Multifamily 4 – North Austin Apartment Portfolio</v>
      </c>
      <c r="C443" s="17"/>
      <c r="D443" s="17" t="str">
        <f>IFERROR(__xludf.DUMMYFUNCTION("""COMPUTED_VALUE"""),"Multifamily")</f>
        <v>Multifamily</v>
      </c>
      <c r="E443" s="17">
        <f>IFERROR(__xludf.DUMMYFUNCTION("""COMPUTED_VALUE"""),4.25)</f>
        <v>4.25</v>
      </c>
      <c r="F443" s="27">
        <f>IFERROR(__xludf.DUMMYFUNCTION("""COMPUTED_VALUE"""),1.29)</f>
        <v>1.29</v>
      </c>
      <c r="G443" s="13">
        <f>IFERROR(__xludf.DUMMYFUNCTION("""COMPUTED_VALUE"""),0.068)</f>
        <v>0.068</v>
      </c>
    </row>
    <row r="444">
      <c r="A444" s="17" t="str">
        <f>IFERROR(__xludf.DUMMYFUNCTION("""COMPUTED_VALUE"""),"ExchangeRight")</f>
        <v>ExchangeRight</v>
      </c>
      <c r="B444" s="17" t="str">
        <f>IFERROR(__xludf.DUMMYFUNCTION("""COMPUTED_VALUE"""),"Multifamily 5 – Crystal Lake Florida Apartments")</f>
        <v>Multifamily 5 – Crystal Lake Florida Apartments</v>
      </c>
      <c r="C444" s="17"/>
      <c r="D444" s="17" t="str">
        <f>IFERROR(__xludf.DUMMYFUNCTION("""COMPUTED_VALUE"""),"Multifamily")</f>
        <v>Multifamily</v>
      </c>
      <c r="E444" s="17">
        <f>IFERROR(__xludf.DUMMYFUNCTION("""COMPUTED_VALUE"""),2.57)</f>
        <v>2.57</v>
      </c>
      <c r="F444" s="27">
        <f>IFERROR(__xludf.DUMMYFUNCTION("""COMPUTED_VALUE"""),1.22)</f>
        <v>1.22</v>
      </c>
      <c r="G444" s="13">
        <f>IFERROR(__xludf.DUMMYFUNCTION("""COMPUTED_VALUE"""),0.0851)</f>
        <v>0.0851</v>
      </c>
    </row>
    <row r="445">
      <c r="A445" s="17" t="str">
        <f>IFERROR(__xludf.DUMMYFUNCTION("""COMPUTED_VALUE"""),"ExchangeRight")</f>
        <v>ExchangeRight</v>
      </c>
      <c r="B445" s="17" t="str">
        <f>IFERROR(__xludf.DUMMYFUNCTION("""COMPUTED_VALUE"""),"Multifamily 6 – El Paso Apartment Portfolio")</f>
        <v>Multifamily 6 – El Paso Apartment Portfolio</v>
      </c>
      <c r="C445" s="17"/>
      <c r="D445" s="17" t="str">
        <f>IFERROR(__xludf.DUMMYFUNCTION("""COMPUTED_VALUE"""),"Multifamily")</f>
        <v>Multifamily</v>
      </c>
      <c r="E445" s="17">
        <f>IFERROR(__xludf.DUMMYFUNCTION("""COMPUTED_VALUE"""),3.8)</f>
        <v>3.8</v>
      </c>
      <c r="F445" s="27">
        <f>IFERROR(__xludf.DUMMYFUNCTION("""COMPUTED_VALUE"""),1.55)</f>
        <v>1.55</v>
      </c>
      <c r="G445" s="13">
        <f>IFERROR(__xludf.DUMMYFUNCTION("""COMPUTED_VALUE"""),0.1452)</f>
        <v>0.1452</v>
      </c>
    </row>
    <row r="446">
      <c r="A446" s="17" t="str">
        <f>IFERROR(__xludf.DUMMYFUNCTION("""COMPUTED_VALUE"""),"Inland")</f>
        <v>Inland</v>
      </c>
      <c r="B446" s="17" t="str">
        <f>IFERROR(__xludf.DUMMYFUNCTION("""COMPUTED_VALUE"""),"Naperville Retail Center DST")</f>
        <v>Naperville Retail Center DST</v>
      </c>
      <c r="C446" s="17"/>
      <c r="D446" s="17" t="str">
        <f>IFERROR(__xludf.DUMMYFUNCTION("""COMPUTED_VALUE"""),"Retail")</f>
        <v>Retail</v>
      </c>
      <c r="E446" s="17">
        <f>IFERROR(__xludf.DUMMYFUNCTION("""COMPUTED_VALUE"""),3.08)</f>
        <v>3.08</v>
      </c>
      <c r="F446" s="27">
        <f>IFERROR(__xludf.DUMMYFUNCTION("""COMPUTED_VALUE"""),1.49)</f>
        <v>1.49</v>
      </c>
      <c r="G446" s="13">
        <f>IFERROR(__xludf.DUMMYFUNCTION("""COMPUTED_VALUE"""),0.1517)</f>
        <v>0.1517</v>
      </c>
    </row>
    <row r="447">
      <c r="A447" s="17" t="str">
        <f>IFERROR(__xludf.DUMMYFUNCTION("""COMPUTED_VALUE"""),"Inland")</f>
        <v>Inland</v>
      </c>
      <c r="B447" s="17" t="str">
        <f>IFERROR(__xludf.DUMMYFUNCTION("""COMPUTED_VALUE"""),"Naples Multifamily DST")</f>
        <v>Naples Multifamily DST</v>
      </c>
      <c r="C447" s="17"/>
      <c r="D447" s="17" t="str">
        <f>IFERROR(__xludf.DUMMYFUNCTION("""COMPUTED_VALUE"""),"Multifamily")</f>
        <v>Multifamily</v>
      </c>
      <c r="E447" s="17">
        <f>IFERROR(__xludf.DUMMYFUNCTION("""COMPUTED_VALUE"""),1.92)</f>
        <v>1.92</v>
      </c>
      <c r="F447" s="27">
        <f>IFERROR(__xludf.DUMMYFUNCTION("""COMPUTED_VALUE"""),1.44)</f>
        <v>1.44</v>
      </c>
      <c r="G447" s="13">
        <f>IFERROR(__xludf.DUMMYFUNCTION("""COMPUTED_VALUE"""),0.231)</f>
        <v>0.231</v>
      </c>
    </row>
    <row r="448">
      <c r="A448" s="17" t="str">
        <f>IFERROR(__xludf.DUMMYFUNCTION("""COMPUTED_VALUE"""),"Syndicated Equities")</f>
        <v>Syndicated Equities</v>
      </c>
      <c r="B448" s="17" t="str">
        <f>IFERROR(__xludf.DUMMYFUNCTION("""COMPUTED_VALUE"""),"National Archives &amp; Records")</f>
        <v>National Archives &amp; Records</v>
      </c>
      <c r="C448" s="17" t="str">
        <f>IFERROR(__xludf.DUMMYFUNCTION("""COMPUTED_VALUE"""),"Riverside, CA")</f>
        <v>Riverside, CA</v>
      </c>
      <c r="D448" s="17"/>
      <c r="E448" s="17">
        <f>IFERROR(__xludf.DUMMYFUNCTION("""COMPUTED_VALUE"""),10.1)</f>
        <v>10.1</v>
      </c>
      <c r="F448" s="27">
        <f>IFERROR(__xludf.DUMMYFUNCTION("""COMPUTED_VALUE"""),1.41)</f>
        <v>1.41</v>
      </c>
      <c r="G448" s="13">
        <f>IFERROR(__xludf.DUMMYFUNCTION("""COMPUTED_VALUE"""),0.0346)</f>
        <v>0.0346</v>
      </c>
    </row>
    <row r="449">
      <c r="A449" s="17" t="str">
        <f>IFERROR(__xludf.DUMMYFUNCTION("""COMPUTED_VALUE"""),"Syndicated Equities")</f>
        <v>Syndicated Equities</v>
      </c>
      <c r="B449" s="17" t="str">
        <f>IFERROR(__xludf.DUMMYFUNCTION("""COMPUTED_VALUE"""),"National Fire &amp; Resource")</f>
        <v>National Fire &amp; Resource</v>
      </c>
      <c r="C449" s="17" t="str">
        <f>IFERROR(__xludf.DUMMYFUNCTION("""COMPUTED_VALUE"""),"Tucson, AZ")</f>
        <v>Tucson, AZ</v>
      </c>
      <c r="D449" s="17"/>
      <c r="E449" s="17">
        <f>IFERROR(__xludf.DUMMYFUNCTION("""COMPUTED_VALUE"""),10.05)</f>
        <v>10.05</v>
      </c>
      <c r="F449" s="27">
        <f>IFERROR(__xludf.DUMMYFUNCTION("""COMPUTED_VALUE"""),1.56)</f>
        <v>1.56</v>
      </c>
      <c r="G449" s="13">
        <f>IFERROR(__xludf.DUMMYFUNCTION("""COMPUTED_VALUE"""),0.0452)</f>
        <v>0.0452</v>
      </c>
    </row>
    <row r="450">
      <c r="A450" s="17" t="str">
        <f>IFERROR(__xludf.DUMMYFUNCTION("""COMPUTED_VALUE"""),"Inland")</f>
        <v>Inland</v>
      </c>
      <c r="B450" s="17" t="str">
        <f>IFERROR(__xludf.DUMMYFUNCTION("""COMPUTED_VALUE"""),"National Net Lease Portfolio V DST")</f>
        <v>National Net Lease Portfolio V DST</v>
      </c>
      <c r="C450" s="17"/>
      <c r="D450" s="17" t="str">
        <f>IFERROR(__xludf.DUMMYFUNCTION("""COMPUTED_VALUE"""),"Retail")</f>
        <v>Retail</v>
      </c>
      <c r="E450" s="17">
        <f>IFERROR(__xludf.DUMMYFUNCTION("""COMPUTED_VALUE"""),9.08)</f>
        <v>9.08</v>
      </c>
      <c r="F450" s="27">
        <f>IFERROR(__xludf.DUMMYFUNCTION("""COMPUTED_VALUE"""),1.2)</f>
        <v>1.2</v>
      </c>
      <c r="G450" s="13">
        <f>IFERROR(__xludf.DUMMYFUNCTION("""COMPUTED_VALUE"""),0.0273)</f>
        <v>0.0273</v>
      </c>
    </row>
    <row r="451">
      <c r="A451" s="17" t="str">
        <f>IFERROR(__xludf.DUMMYFUNCTION("""COMPUTED_VALUE"""),"Inland")</f>
        <v>Inland</v>
      </c>
      <c r="B451" s="17" t="str">
        <f>IFERROR(__xludf.DUMMYFUNCTION("""COMPUTED_VALUE"""),"National Retail Portfolio Venture DST")</f>
        <v>National Retail Portfolio Venture DST</v>
      </c>
      <c r="C451" s="17"/>
      <c r="D451" s="17" t="str">
        <f>IFERROR(__xludf.DUMMYFUNCTION("""COMPUTED_VALUE"""),"Retail")</f>
        <v>Retail</v>
      </c>
      <c r="E451" s="17">
        <f>IFERROR(__xludf.DUMMYFUNCTION("""COMPUTED_VALUE"""),10.3)</f>
        <v>10.3</v>
      </c>
      <c r="F451" s="27">
        <f>IFERROR(__xludf.DUMMYFUNCTION("""COMPUTED_VALUE"""),1.75)</f>
        <v>1.75</v>
      </c>
      <c r="G451" s="13">
        <f>IFERROR(__xludf.DUMMYFUNCTION("""COMPUTED_VALUE"""),0.0731)</f>
        <v>0.0731</v>
      </c>
    </row>
    <row r="452">
      <c r="A452" s="17" t="str">
        <f>IFERROR(__xludf.DUMMYFUNCTION("""COMPUTED_VALUE"""),"Bluerock")</f>
        <v>Bluerock</v>
      </c>
      <c r="B452" s="17" t="str">
        <f>IFERROR(__xludf.DUMMYFUNCTION("""COMPUTED_VALUE"""),"Navigator Villas")</f>
        <v>Navigator Villas</v>
      </c>
      <c r="C452" s="17" t="str">
        <f>IFERROR(__xludf.DUMMYFUNCTION("""COMPUTED_VALUE"""),"Pasco, WA")</f>
        <v>Pasco, WA</v>
      </c>
      <c r="D452" s="17" t="str">
        <f>IFERROR(__xludf.DUMMYFUNCTION("""COMPUTED_VALUE"""),"Multifamily")</f>
        <v>Multifamily</v>
      </c>
      <c r="E452" s="17">
        <f>IFERROR(__xludf.DUMMYFUNCTION("""COMPUTED_VALUE"""),4.67)</f>
        <v>4.67</v>
      </c>
      <c r="F452" s="27">
        <f>IFERROR(__xludf.DUMMYFUNCTION("""COMPUTED_VALUE"""),2.16)</f>
        <v>2.16</v>
      </c>
      <c r="G452" s="13">
        <f>IFERROR(__xludf.DUMMYFUNCTION("""COMPUTED_VALUE"""),0.1481)</f>
        <v>0.1481</v>
      </c>
    </row>
    <row r="453">
      <c r="A453" s="17" t="str">
        <f>IFERROR(__xludf.DUMMYFUNCTION("""COMPUTED_VALUE"""),"ExchangeRight")</f>
        <v>ExchangeRight</v>
      </c>
      <c r="B453" s="17" t="str">
        <f>IFERROR(__xludf.DUMMYFUNCTION("""COMPUTED_VALUE"""),"Net-Leased Portfolio 1")</f>
        <v>Net-Leased Portfolio 1</v>
      </c>
      <c r="C453" s="17"/>
      <c r="D453" s="17" t="str">
        <f>IFERROR(__xludf.DUMMYFUNCTION("""COMPUTED_VALUE"""),"Net Lease")</f>
        <v>Net Lease</v>
      </c>
      <c r="E453" s="17">
        <f>IFERROR(__xludf.DUMMYFUNCTION("""COMPUTED_VALUE"""),7.4)</f>
        <v>7.4</v>
      </c>
      <c r="F453" s="27">
        <f>IFERROR(__xludf.DUMMYFUNCTION("""COMPUTED_VALUE"""),1.46)</f>
        <v>1.46</v>
      </c>
      <c r="G453" s="13">
        <f>IFERROR(__xludf.DUMMYFUNCTION("""COMPUTED_VALUE"""),0.094)</f>
        <v>0.094</v>
      </c>
    </row>
    <row r="454">
      <c r="A454" s="17" t="str">
        <f>IFERROR(__xludf.DUMMYFUNCTION("""COMPUTED_VALUE"""),"ExchangeRight")</f>
        <v>ExchangeRight</v>
      </c>
      <c r="B454" s="17" t="str">
        <f>IFERROR(__xludf.DUMMYFUNCTION("""COMPUTED_VALUE"""),"Net-Leased Portfolio 10")</f>
        <v>Net-Leased Portfolio 10</v>
      </c>
      <c r="C454" s="17"/>
      <c r="D454" s="17" t="str">
        <f>IFERROR(__xludf.DUMMYFUNCTION("""COMPUTED_VALUE"""),"Net Lease")</f>
        <v>Net Lease</v>
      </c>
      <c r="E454" s="17">
        <f>IFERROR(__xludf.DUMMYFUNCTION("""COMPUTED_VALUE"""),7.15)</f>
        <v>7.15</v>
      </c>
      <c r="F454" s="27">
        <f>IFERROR(__xludf.DUMMYFUNCTION("""COMPUTED_VALUE"""),1.52)</f>
        <v>1.52</v>
      </c>
      <c r="G454" s="13">
        <f>IFERROR(__xludf.DUMMYFUNCTION("""COMPUTED_VALUE"""),0.0726)</f>
        <v>0.0726</v>
      </c>
    </row>
    <row r="455">
      <c r="A455" s="17" t="str">
        <f>IFERROR(__xludf.DUMMYFUNCTION("""COMPUTED_VALUE"""),"ExchangeRight")</f>
        <v>ExchangeRight</v>
      </c>
      <c r="B455" s="17" t="str">
        <f>IFERROR(__xludf.DUMMYFUNCTION("""COMPUTED_VALUE"""),"Net-Leased Portfolio 11")</f>
        <v>Net-Leased Portfolio 11</v>
      </c>
      <c r="C455" s="17"/>
      <c r="D455" s="17" t="str">
        <f>IFERROR(__xludf.DUMMYFUNCTION("""COMPUTED_VALUE"""),"Net Lease")</f>
        <v>Net Lease</v>
      </c>
      <c r="E455" s="17">
        <f>IFERROR(__xludf.DUMMYFUNCTION("""COMPUTED_VALUE"""),6.74)</f>
        <v>6.74</v>
      </c>
      <c r="F455" s="27">
        <f>IFERROR(__xludf.DUMMYFUNCTION("""COMPUTED_VALUE"""),1.46)</f>
        <v>1.46</v>
      </c>
      <c r="G455" s="13">
        <f>IFERROR(__xludf.DUMMYFUNCTION("""COMPUTED_VALUE"""),0.0681)</f>
        <v>0.0681</v>
      </c>
    </row>
    <row r="456">
      <c r="A456" s="17" t="str">
        <f>IFERROR(__xludf.DUMMYFUNCTION("""COMPUTED_VALUE"""),"ExchangeRight")</f>
        <v>ExchangeRight</v>
      </c>
      <c r="B456" s="17" t="str">
        <f>IFERROR(__xludf.DUMMYFUNCTION("""COMPUTED_VALUE"""),"Net-Leased Portfolio 12")</f>
        <v>Net-Leased Portfolio 12</v>
      </c>
      <c r="C456" s="17"/>
      <c r="D456" s="17" t="str">
        <f>IFERROR(__xludf.DUMMYFUNCTION("""COMPUTED_VALUE"""),"Net Lease")</f>
        <v>Net Lease</v>
      </c>
      <c r="E456" s="17">
        <f>IFERROR(__xludf.DUMMYFUNCTION("""COMPUTED_VALUE"""),3.68)</f>
        <v>3.68</v>
      </c>
      <c r="F456" s="27">
        <f>IFERROR(__xludf.DUMMYFUNCTION("""COMPUTED_VALUE"""),1.25)</f>
        <v>1.25</v>
      </c>
      <c r="G456" s="13">
        <f>IFERROR(__xludf.DUMMYFUNCTION("""COMPUTED_VALUE"""),0.0701)</f>
        <v>0.0701</v>
      </c>
    </row>
    <row r="457">
      <c r="A457" s="17" t="str">
        <f>IFERROR(__xludf.DUMMYFUNCTION("""COMPUTED_VALUE"""),"ExchangeRight")</f>
        <v>ExchangeRight</v>
      </c>
      <c r="B457" s="17" t="str">
        <f>IFERROR(__xludf.DUMMYFUNCTION("""COMPUTED_VALUE"""),"Net-Leased Portfolio 13")</f>
        <v>Net-Leased Portfolio 13</v>
      </c>
      <c r="C457" s="17"/>
      <c r="D457" s="17" t="str">
        <f>IFERROR(__xludf.DUMMYFUNCTION("""COMPUTED_VALUE"""),"Net Lease")</f>
        <v>Net Lease</v>
      </c>
      <c r="E457" s="17">
        <f>IFERROR(__xludf.DUMMYFUNCTION("""COMPUTED_VALUE"""),4.16)</f>
        <v>4.16</v>
      </c>
      <c r="F457" s="27">
        <f>IFERROR(__xludf.DUMMYFUNCTION("""COMPUTED_VALUE"""),1.31)</f>
        <v>1.31</v>
      </c>
      <c r="G457" s="13">
        <f>IFERROR(__xludf.DUMMYFUNCTION("""COMPUTED_VALUE"""),0.0735)</f>
        <v>0.0735</v>
      </c>
    </row>
    <row r="458">
      <c r="A458" s="17" t="str">
        <f>IFERROR(__xludf.DUMMYFUNCTION("""COMPUTED_VALUE"""),"ExchangeRight")</f>
        <v>ExchangeRight</v>
      </c>
      <c r="B458" s="17" t="str">
        <f>IFERROR(__xludf.DUMMYFUNCTION("""COMPUTED_VALUE"""),"Net-Leased Portfolio 14")</f>
        <v>Net-Leased Portfolio 14</v>
      </c>
      <c r="C458" s="17"/>
      <c r="D458" s="17" t="str">
        <f>IFERROR(__xludf.DUMMYFUNCTION("""COMPUTED_VALUE"""),"Net Lease")</f>
        <v>Net Lease</v>
      </c>
      <c r="E458" s="17">
        <f>IFERROR(__xludf.DUMMYFUNCTION("""COMPUTED_VALUE"""),4.31)</f>
        <v>4.31</v>
      </c>
      <c r="F458" s="27">
        <f>IFERROR(__xludf.DUMMYFUNCTION("""COMPUTED_VALUE"""),1.29)</f>
        <v>1.29</v>
      </c>
      <c r="G458" s="13">
        <f>IFERROR(__xludf.DUMMYFUNCTION("""COMPUTED_VALUE"""),0.0677)</f>
        <v>0.0677</v>
      </c>
    </row>
    <row r="459">
      <c r="A459" s="17" t="str">
        <f>IFERROR(__xludf.DUMMYFUNCTION("""COMPUTED_VALUE"""),"ExchangeRight")</f>
        <v>ExchangeRight</v>
      </c>
      <c r="B459" s="17" t="str">
        <f>IFERROR(__xludf.DUMMYFUNCTION("""COMPUTED_VALUE"""),"Net-Leased Portfolio 15")</f>
        <v>Net-Leased Portfolio 15</v>
      </c>
      <c r="C459" s="17"/>
      <c r="D459" s="17" t="str">
        <f>IFERROR(__xludf.DUMMYFUNCTION("""COMPUTED_VALUE"""),"Net Lease")</f>
        <v>Net Lease</v>
      </c>
      <c r="E459" s="17">
        <f>IFERROR(__xludf.DUMMYFUNCTION("""COMPUTED_VALUE"""),4.67)</f>
        <v>4.67</v>
      </c>
      <c r="F459" s="27">
        <f>IFERROR(__xludf.DUMMYFUNCTION("""COMPUTED_VALUE"""),1.3)</f>
        <v>1.3</v>
      </c>
      <c r="G459" s="13">
        <f>IFERROR(__xludf.DUMMYFUNCTION("""COMPUTED_VALUE"""),0.0654)</f>
        <v>0.0654</v>
      </c>
    </row>
    <row r="460">
      <c r="A460" s="17" t="str">
        <f>IFERROR(__xludf.DUMMYFUNCTION("""COMPUTED_VALUE"""),"ExchangeRight")</f>
        <v>ExchangeRight</v>
      </c>
      <c r="B460" s="17" t="str">
        <f>IFERROR(__xludf.DUMMYFUNCTION("""COMPUTED_VALUE"""),"Net-Leased Portfolio 16")</f>
        <v>Net-Leased Portfolio 16</v>
      </c>
      <c r="C460" s="17"/>
      <c r="D460" s="17" t="str">
        <f>IFERROR(__xludf.DUMMYFUNCTION("""COMPUTED_VALUE"""),"Net Lease")</f>
        <v>Net Lease</v>
      </c>
      <c r="E460" s="17">
        <f>IFERROR(__xludf.DUMMYFUNCTION("""COMPUTED_VALUE"""),4.75)</f>
        <v>4.75</v>
      </c>
      <c r="F460" s="27">
        <f>IFERROR(__xludf.DUMMYFUNCTION("""COMPUTED_VALUE"""),1.34)</f>
        <v>1.34</v>
      </c>
      <c r="G460" s="13">
        <f>IFERROR(__xludf.DUMMYFUNCTION("""COMPUTED_VALUE"""),0.0708)</f>
        <v>0.0708</v>
      </c>
    </row>
    <row r="461">
      <c r="A461" s="17" t="str">
        <f>IFERROR(__xludf.DUMMYFUNCTION("""COMPUTED_VALUE"""),"ExchangeRight")</f>
        <v>ExchangeRight</v>
      </c>
      <c r="B461" s="17" t="str">
        <f>IFERROR(__xludf.DUMMYFUNCTION("""COMPUTED_VALUE"""),"Net-Leased Portfolio 17")</f>
        <v>Net-Leased Portfolio 17</v>
      </c>
      <c r="C461" s="17"/>
      <c r="D461" s="17" t="str">
        <f>IFERROR(__xludf.DUMMYFUNCTION("""COMPUTED_VALUE"""),"Net Lease")</f>
        <v>Net Lease</v>
      </c>
      <c r="E461" s="17">
        <f>IFERROR(__xludf.DUMMYFUNCTION("""COMPUTED_VALUE"""),4.87)</f>
        <v>4.87</v>
      </c>
      <c r="F461" s="27">
        <f>IFERROR(__xludf.DUMMYFUNCTION("""COMPUTED_VALUE"""),1.34)</f>
        <v>1.34</v>
      </c>
      <c r="G461" s="13">
        <f>IFERROR(__xludf.DUMMYFUNCTION("""COMPUTED_VALUE"""),0.0704)</f>
        <v>0.0704</v>
      </c>
    </row>
    <row r="462">
      <c r="A462" s="17" t="str">
        <f>IFERROR(__xludf.DUMMYFUNCTION("""COMPUTED_VALUE"""),"ExchangeRight")</f>
        <v>ExchangeRight</v>
      </c>
      <c r="B462" s="17" t="str">
        <f>IFERROR(__xludf.DUMMYFUNCTION("""COMPUTED_VALUE"""),"Net-Leased Portfolio 18")</f>
        <v>Net-Leased Portfolio 18</v>
      </c>
      <c r="C462" s="17"/>
      <c r="D462" s="17" t="str">
        <f>IFERROR(__xludf.DUMMYFUNCTION("""COMPUTED_VALUE"""),"Net Lease")</f>
        <v>Net Lease</v>
      </c>
      <c r="E462" s="17">
        <f>IFERROR(__xludf.DUMMYFUNCTION("""COMPUTED_VALUE"""),4.71)</f>
        <v>4.71</v>
      </c>
      <c r="F462" s="27">
        <f>IFERROR(__xludf.DUMMYFUNCTION("""COMPUTED_VALUE"""),1.31)</f>
        <v>1.31</v>
      </c>
      <c r="G462" s="13">
        <f>IFERROR(__xludf.DUMMYFUNCTION("""COMPUTED_VALUE"""),0.0667)</f>
        <v>0.0667</v>
      </c>
    </row>
    <row r="463">
      <c r="A463" s="17" t="str">
        <f>IFERROR(__xludf.DUMMYFUNCTION("""COMPUTED_VALUE"""),"ExchangeRight")</f>
        <v>ExchangeRight</v>
      </c>
      <c r="B463" s="17" t="str">
        <f>IFERROR(__xludf.DUMMYFUNCTION("""COMPUTED_VALUE"""),"Net-Leased Portfolio 19")</f>
        <v>Net-Leased Portfolio 19</v>
      </c>
      <c r="C463" s="17"/>
      <c r="D463" s="17" t="str">
        <f>IFERROR(__xludf.DUMMYFUNCTION("""COMPUTED_VALUE"""),"Net Lease")</f>
        <v>Net Lease</v>
      </c>
      <c r="E463" s="17">
        <f>IFERROR(__xludf.DUMMYFUNCTION("""COMPUTED_VALUE"""),4.67)</f>
        <v>4.67</v>
      </c>
      <c r="F463" s="27">
        <f>IFERROR(__xludf.DUMMYFUNCTION("""COMPUTED_VALUE"""),1.32)</f>
        <v>1.32</v>
      </c>
      <c r="G463" s="13">
        <f>IFERROR(__xludf.DUMMYFUNCTION("""COMPUTED_VALUE"""),0.0693)</f>
        <v>0.0693</v>
      </c>
    </row>
    <row r="464">
      <c r="A464" s="17" t="str">
        <f>IFERROR(__xludf.DUMMYFUNCTION("""COMPUTED_VALUE"""),"ExchangeRight")</f>
        <v>ExchangeRight</v>
      </c>
      <c r="B464" s="17" t="str">
        <f>IFERROR(__xludf.DUMMYFUNCTION("""COMPUTED_VALUE"""),"Net-Leased Portfolio 2")</f>
        <v>Net-Leased Portfolio 2</v>
      </c>
      <c r="C464" s="17"/>
      <c r="D464" s="17" t="str">
        <f>IFERROR(__xludf.DUMMYFUNCTION("""COMPUTED_VALUE"""),"Net Lease")</f>
        <v>Net Lease</v>
      </c>
      <c r="E464" s="17">
        <f>IFERROR(__xludf.DUMMYFUNCTION("""COMPUTED_VALUE"""),7.07)</f>
        <v>7.07</v>
      </c>
      <c r="F464" s="27">
        <f>IFERROR(__xludf.DUMMYFUNCTION("""COMPUTED_VALUE"""),1.65)</f>
        <v>1.65</v>
      </c>
      <c r="G464" s="13">
        <f>IFERROR(__xludf.DUMMYFUNCTION("""COMPUTED_VALUE"""),0.0922)</f>
        <v>0.0922</v>
      </c>
    </row>
    <row r="465">
      <c r="A465" s="17" t="str">
        <f>IFERROR(__xludf.DUMMYFUNCTION("""COMPUTED_VALUE"""),"ExchangeRight")</f>
        <v>ExchangeRight</v>
      </c>
      <c r="B465" s="17" t="str">
        <f>IFERROR(__xludf.DUMMYFUNCTION("""COMPUTED_VALUE"""),"Net-Leased Portfolio 21")</f>
        <v>Net-Leased Portfolio 21</v>
      </c>
      <c r="C465" s="17"/>
      <c r="D465" s="17" t="str">
        <f>IFERROR(__xludf.DUMMYFUNCTION("""COMPUTED_VALUE"""),"Net Lease")</f>
        <v>Net Lease</v>
      </c>
      <c r="E465" s="17">
        <f>IFERROR(__xludf.DUMMYFUNCTION("""COMPUTED_VALUE"""),4.43)</f>
        <v>4.43</v>
      </c>
      <c r="F465" s="27">
        <f>IFERROR(__xludf.DUMMYFUNCTION("""COMPUTED_VALUE"""),1.3)</f>
        <v>1.3</v>
      </c>
      <c r="G465" s="13">
        <f>IFERROR(__xludf.DUMMYFUNCTION("""COMPUTED_VALUE"""),0.0668)</f>
        <v>0.0668</v>
      </c>
    </row>
    <row r="466">
      <c r="A466" s="17" t="str">
        <f>IFERROR(__xludf.DUMMYFUNCTION("""COMPUTED_VALUE"""),"ExchangeRight")</f>
        <v>ExchangeRight</v>
      </c>
      <c r="B466" s="17" t="str">
        <f>IFERROR(__xludf.DUMMYFUNCTION("""COMPUTED_VALUE"""),"Net-Leased Portfolio 22")</f>
        <v>Net-Leased Portfolio 22</v>
      </c>
      <c r="C466" s="17"/>
      <c r="D466" s="17" t="str">
        <f>IFERROR(__xludf.DUMMYFUNCTION("""COMPUTED_VALUE"""),"Net Lease")</f>
        <v>Net Lease</v>
      </c>
      <c r="E466" s="17">
        <f>IFERROR(__xludf.DUMMYFUNCTION("""COMPUTED_VALUE"""),5.23)</f>
        <v>5.23</v>
      </c>
      <c r="F466" s="27">
        <f>IFERROR(__xludf.DUMMYFUNCTION("""COMPUTED_VALUE"""),1.34)</f>
        <v>1.34</v>
      </c>
      <c r="G466" s="13">
        <f>IFERROR(__xludf.DUMMYFUNCTION("""COMPUTED_VALUE"""),0.0637)</f>
        <v>0.0637</v>
      </c>
    </row>
    <row r="467">
      <c r="A467" s="17" t="str">
        <f>IFERROR(__xludf.DUMMYFUNCTION("""COMPUTED_VALUE"""),"ExchangeRight")</f>
        <v>ExchangeRight</v>
      </c>
      <c r="B467" s="17" t="str">
        <f>IFERROR(__xludf.DUMMYFUNCTION("""COMPUTED_VALUE"""),"Net-Leased Portfolio 28")</f>
        <v>Net-Leased Portfolio 28</v>
      </c>
      <c r="C467" s="17"/>
      <c r="D467" s="17" t="str">
        <f>IFERROR(__xludf.DUMMYFUNCTION("""COMPUTED_VALUE"""),"Net Lease")</f>
        <v>Net Lease</v>
      </c>
      <c r="E467" s="17">
        <f>IFERROR(__xludf.DUMMYFUNCTION("""COMPUTED_VALUE"""),5.36)</f>
        <v>5.36</v>
      </c>
      <c r="F467" s="27">
        <f>IFERROR(__xludf.DUMMYFUNCTION("""COMPUTED_VALUE"""),1.35)</f>
        <v>1.35</v>
      </c>
      <c r="G467" s="13">
        <f>IFERROR(__xludf.DUMMYFUNCTION("""COMPUTED_VALUE"""),0.0696)</f>
        <v>0.0696</v>
      </c>
    </row>
    <row r="468">
      <c r="A468" s="17" t="str">
        <f>IFERROR(__xludf.DUMMYFUNCTION("""COMPUTED_VALUE"""),"ExchangeRight")</f>
        <v>ExchangeRight</v>
      </c>
      <c r="B468" s="17" t="str">
        <f>IFERROR(__xludf.DUMMYFUNCTION("""COMPUTED_VALUE"""),"Net-Leased Portfolio 3")</f>
        <v>Net-Leased Portfolio 3</v>
      </c>
      <c r="C468" s="17"/>
      <c r="D468" s="17" t="str">
        <f>IFERROR(__xludf.DUMMYFUNCTION("""COMPUTED_VALUE"""),"Net Lease")</f>
        <v>Net Lease</v>
      </c>
      <c r="E468" s="17">
        <f>IFERROR(__xludf.DUMMYFUNCTION("""COMPUTED_VALUE"""),7.64)</f>
        <v>7.64</v>
      </c>
      <c r="F468" s="27">
        <f>IFERROR(__xludf.DUMMYFUNCTION("""COMPUTED_VALUE"""),1.69)</f>
        <v>1.69</v>
      </c>
      <c r="G468" s="13">
        <f>IFERROR(__xludf.DUMMYFUNCTION("""COMPUTED_VALUE"""),0.091)</f>
        <v>0.091</v>
      </c>
    </row>
    <row r="469">
      <c r="A469" s="17" t="str">
        <f>IFERROR(__xludf.DUMMYFUNCTION("""COMPUTED_VALUE"""),"ExchangeRight")</f>
        <v>ExchangeRight</v>
      </c>
      <c r="B469" s="17" t="str">
        <f>IFERROR(__xludf.DUMMYFUNCTION("""COMPUTED_VALUE"""),"Net-Leased Portfolio 4")</f>
        <v>Net-Leased Portfolio 4</v>
      </c>
      <c r="C469" s="17"/>
      <c r="D469" s="17" t="str">
        <f>IFERROR(__xludf.DUMMYFUNCTION("""COMPUTED_VALUE"""),"Net Lease")</f>
        <v>Net Lease</v>
      </c>
      <c r="E469" s="17">
        <f>IFERROR(__xludf.DUMMYFUNCTION("""COMPUTED_VALUE"""),7.52)</f>
        <v>7.52</v>
      </c>
      <c r="F469" s="27">
        <f>IFERROR(__xludf.DUMMYFUNCTION("""COMPUTED_VALUE"""),1.58)</f>
        <v>1.58</v>
      </c>
      <c r="G469" s="13">
        <f>IFERROR(__xludf.DUMMYFUNCTION("""COMPUTED_VALUE"""),0.0773)</f>
        <v>0.0773</v>
      </c>
    </row>
    <row r="470">
      <c r="A470" s="17" t="str">
        <f>IFERROR(__xludf.DUMMYFUNCTION("""COMPUTED_VALUE"""),"ExchangeRight")</f>
        <v>ExchangeRight</v>
      </c>
      <c r="B470" s="17" t="str">
        <f>IFERROR(__xludf.DUMMYFUNCTION("""COMPUTED_VALUE"""),"Net-Leased Portfolio 5")</f>
        <v>Net-Leased Portfolio 5</v>
      </c>
      <c r="C470" s="17"/>
      <c r="D470" s="17" t="str">
        <f>IFERROR(__xludf.DUMMYFUNCTION("""COMPUTED_VALUE"""),"Net Lease")</f>
        <v>Net Lease</v>
      </c>
      <c r="E470" s="17">
        <f>IFERROR(__xludf.DUMMYFUNCTION("""COMPUTED_VALUE"""),7.84)</f>
        <v>7.84</v>
      </c>
      <c r="F470" s="27">
        <f>IFERROR(__xludf.DUMMYFUNCTION("""COMPUTED_VALUE"""),1.57)</f>
        <v>1.57</v>
      </c>
      <c r="G470" s="13">
        <f>IFERROR(__xludf.DUMMYFUNCTION("""COMPUTED_VALUE"""),0.0734)</f>
        <v>0.0734</v>
      </c>
    </row>
    <row r="471">
      <c r="A471" s="17" t="str">
        <f>IFERROR(__xludf.DUMMYFUNCTION("""COMPUTED_VALUE"""),"ExchangeRight")</f>
        <v>ExchangeRight</v>
      </c>
      <c r="B471" s="17" t="str">
        <f>IFERROR(__xludf.DUMMYFUNCTION("""COMPUTED_VALUE"""),"Net-Leased Portfolio 6")</f>
        <v>Net-Leased Portfolio 6</v>
      </c>
      <c r="C471" s="17"/>
      <c r="D471" s="17" t="str">
        <f>IFERROR(__xludf.DUMMYFUNCTION("""COMPUTED_VALUE"""),"Net Lease")</f>
        <v>Net Lease</v>
      </c>
      <c r="E471" s="17">
        <f>IFERROR(__xludf.DUMMYFUNCTION("""COMPUTED_VALUE"""),7.9)</f>
        <v>7.9</v>
      </c>
      <c r="F471" s="27">
        <f>IFERROR(__xludf.DUMMYFUNCTION("""COMPUTED_VALUE"""),1.6)</f>
        <v>1.6</v>
      </c>
      <c r="G471" s="13">
        <f>IFERROR(__xludf.DUMMYFUNCTION("""COMPUTED_VALUE"""),0.0767)</f>
        <v>0.0767</v>
      </c>
    </row>
    <row r="472">
      <c r="A472" s="17" t="str">
        <f>IFERROR(__xludf.DUMMYFUNCTION("""COMPUTED_VALUE"""),"ExchangeRight")</f>
        <v>ExchangeRight</v>
      </c>
      <c r="B472" s="17" t="str">
        <f>IFERROR(__xludf.DUMMYFUNCTION("""COMPUTED_VALUE"""),"Net-Leased Portfolio 7")</f>
        <v>Net-Leased Portfolio 7</v>
      </c>
      <c r="C472" s="17"/>
      <c r="D472" s="17" t="str">
        <f>IFERROR(__xludf.DUMMYFUNCTION("""COMPUTED_VALUE"""),"Net Lease")</f>
        <v>Net Lease</v>
      </c>
      <c r="E472" s="17">
        <f>IFERROR(__xludf.DUMMYFUNCTION("""COMPUTED_VALUE"""),7.38)</f>
        <v>7.38</v>
      </c>
      <c r="F472" s="27">
        <f>IFERROR(__xludf.DUMMYFUNCTION("""COMPUTED_VALUE"""),1.57)</f>
        <v>1.57</v>
      </c>
      <c r="G472" s="13">
        <f>IFERROR(__xludf.DUMMYFUNCTION("""COMPUTED_VALUE"""),0.0781)</f>
        <v>0.0781</v>
      </c>
    </row>
    <row r="473">
      <c r="A473" s="17" t="str">
        <f>IFERROR(__xludf.DUMMYFUNCTION("""COMPUTED_VALUE"""),"ExchangeRight")</f>
        <v>ExchangeRight</v>
      </c>
      <c r="B473" s="17" t="str">
        <f>IFERROR(__xludf.DUMMYFUNCTION("""COMPUTED_VALUE"""),"Net-Leased Portfolio 8")</f>
        <v>Net-Leased Portfolio 8</v>
      </c>
      <c r="C473" s="17"/>
      <c r="D473" s="17" t="str">
        <f>IFERROR(__xludf.DUMMYFUNCTION("""COMPUTED_VALUE"""),"Net Lease")</f>
        <v>Net Lease</v>
      </c>
      <c r="E473" s="17">
        <f>IFERROR(__xludf.DUMMYFUNCTION("""COMPUTED_VALUE"""),4.7)</f>
        <v>4.7</v>
      </c>
      <c r="F473" s="27">
        <f>IFERROR(__xludf.DUMMYFUNCTION("""COMPUTED_VALUE"""),1.36)</f>
        <v>1.36</v>
      </c>
      <c r="G473" s="13">
        <f>IFERROR(__xludf.DUMMYFUNCTION("""COMPUTED_VALUE"""),0.0769)</f>
        <v>0.0769</v>
      </c>
    </row>
    <row r="474">
      <c r="A474" s="17" t="str">
        <f>IFERROR(__xludf.DUMMYFUNCTION("""COMPUTED_VALUE"""),"ExchangeRight")</f>
        <v>ExchangeRight</v>
      </c>
      <c r="B474" s="17" t="str">
        <f>IFERROR(__xludf.DUMMYFUNCTION("""COMPUTED_VALUE"""),"Net-Leased Portfolio 9")</f>
        <v>Net-Leased Portfolio 9</v>
      </c>
      <c r="C474" s="17"/>
      <c r="D474" s="17" t="str">
        <f>IFERROR(__xludf.DUMMYFUNCTION("""COMPUTED_VALUE"""),"Net Lease")</f>
        <v>Net Lease</v>
      </c>
      <c r="E474" s="17">
        <f>IFERROR(__xludf.DUMMYFUNCTION("""COMPUTED_VALUE"""),7.38)</f>
        <v>7.38</v>
      </c>
      <c r="F474" s="27">
        <f>IFERROR(__xludf.DUMMYFUNCTION("""COMPUTED_VALUE"""),1.53)</f>
        <v>1.53</v>
      </c>
      <c r="G474" s="13">
        <f>IFERROR(__xludf.DUMMYFUNCTION("""COMPUTED_VALUE"""),0.0725)</f>
        <v>0.0725</v>
      </c>
    </row>
    <row r="475">
      <c r="A475" s="17" t="str">
        <f>IFERROR(__xludf.DUMMYFUNCTION("""COMPUTED_VALUE"""),"Inland")</f>
        <v>Inland</v>
      </c>
      <c r="B475" s="17" t="str">
        <f>IFERROR(__xludf.DUMMYFUNCTION("""COMPUTED_VALUE"""),"New York Grocery DST")</f>
        <v>New York Grocery DST</v>
      </c>
      <c r="C475" s="17"/>
      <c r="D475" s="17" t="str">
        <f>IFERROR(__xludf.DUMMYFUNCTION("""COMPUTED_VALUE"""),"Retail")</f>
        <v>Retail</v>
      </c>
      <c r="E475" s="17">
        <f>IFERROR(__xludf.DUMMYFUNCTION("""COMPUTED_VALUE"""),3.83)</f>
        <v>3.83</v>
      </c>
      <c r="F475" s="27">
        <f>IFERROR(__xludf.DUMMYFUNCTION("""COMPUTED_VALUE"""),0.76)</f>
        <v>0.76</v>
      </c>
      <c r="G475" s="13">
        <f>IFERROR(__xludf.DUMMYFUNCTION("""COMPUTED_VALUE"""),-0.0832)</f>
        <v>-0.0832</v>
      </c>
    </row>
    <row r="476">
      <c r="A476" s="17" t="str">
        <f>IFERROR(__xludf.DUMMYFUNCTION("""COMPUTED_VALUE"""),"Inland")</f>
        <v>Inland</v>
      </c>
      <c r="B476" s="17" t="str">
        <f>IFERROR(__xludf.DUMMYFUNCTION("""COMPUTED_VALUE"""),"New York Power DST")</f>
        <v>New York Power DST</v>
      </c>
      <c r="C476" s="17"/>
      <c r="D476" s="17" t="str">
        <f>IFERROR(__xludf.DUMMYFUNCTION("""COMPUTED_VALUE"""),"Industrial")</f>
        <v>Industrial</v>
      </c>
      <c r="E476" s="17">
        <f>IFERROR(__xludf.DUMMYFUNCTION("""COMPUTED_VALUE"""),10.5)</f>
        <v>10.5</v>
      </c>
      <c r="F476" s="27">
        <f>IFERROR(__xludf.DUMMYFUNCTION("""COMPUTED_VALUE"""),1.93)</f>
        <v>1.93</v>
      </c>
      <c r="G476" s="13">
        <f>IFERROR(__xludf.DUMMYFUNCTION("""COMPUTED_VALUE"""),0.0863)</f>
        <v>0.0863</v>
      </c>
    </row>
    <row r="477">
      <c r="A477" s="17" t="str">
        <f>IFERROR(__xludf.DUMMYFUNCTION("""COMPUTED_VALUE"""),"Bluerock")</f>
        <v>Bluerock</v>
      </c>
      <c r="B477" s="17" t="str">
        <f>IFERROR(__xludf.DUMMYFUNCTION("""COMPUTED_VALUE"""),"North Park Towers")</f>
        <v>North Park Towers</v>
      </c>
      <c r="C477" s="17" t="str">
        <f>IFERROR(__xludf.DUMMYFUNCTION("""COMPUTED_VALUE"""),"Southfield, MI")</f>
        <v>Southfield, MI</v>
      </c>
      <c r="D477" s="17" t="str">
        <f>IFERROR(__xludf.DUMMYFUNCTION("""COMPUTED_VALUE"""),"Multifamily")</f>
        <v>Multifamily</v>
      </c>
      <c r="E477" s="17">
        <f>IFERROR(__xludf.DUMMYFUNCTION("""COMPUTED_VALUE"""),9.83)</f>
        <v>9.83</v>
      </c>
      <c r="F477" s="27">
        <f>IFERROR(__xludf.DUMMYFUNCTION("""COMPUTED_VALUE"""),0.25)</f>
        <v>0.25</v>
      </c>
      <c r="G477" s="13">
        <f>IFERROR(__xludf.DUMMYFUNCTION("""COMPUTED_VALUE"""),-0.116)</f>
        <v>-0.116</v>
      </c>
    </row>
    <row r="478">
      <c r="A478" s="17" t="str">
        <f>IFERROR(__xludf.DUMMYFUNCTION("""COMPUTED_VALUE"""),"Syndicated Equities")</f>
        <v>Syndicated Equities</v>
      </c>
      <c r="B478" s="17" t="str">
        <f>IFERROR(__xludf.DUMMYFUNCTION("""COMPUTED_VALUE"""),"NorthShore University HealthSystem")</f>
        <v>NorthShore University HealthSystem</v>
      </c>
      <c r="C478" s="17" t="str">
        <f>IFERROR(__xludf.DUMMYFUNCTION("""COMPUTED_VALUE"""),"Bannockburn, IL")</f>
        <v>Bannockburn, IL</v>
      </c>
      <c r="D478" s="17"/>
      <c r="E478" s="17">
        <f>IFERROR(__xludf.DUMMYFUNCTION("""COMPUTED_VALUE"""),9.33)</f>
        <v>9.33</v>
      </c>
      <c r="F478" s="27">
        <f>IFERROR(__xludf.DUMMYFUNCTION("""COMPUTED_VALUE"""),1.83)</f>
        <v>1.83</v>
      </c>
      <c r="G478" s="13">
        <f>IFERROR(__xludf.DUMMYFUNCTION("""COMPUTED_VALUE"""),0.067)</f>
        <v>0.067</v>
      </c>
    </row>
    <row r="479">
      <c r="A479" s="17" t="str">
        <f>IFERROR(__xludf.DUMMYFUNCTION("""COMPUTED_VALUE"""),"Syndicated Equities")</f>
        <v>Syndicated Equities</v>
      </c>
      <c r="B479" s="17" t="str">
        <f>IFERROR(__xludf.DUMMYFUNCTION("""COMPUTED_VALUE"""),"Norwalk Office Building")</f>
        <v>Norwalk Office Building</v>
      </c>
      <c r="C479" s="17" t="str">
        <f>IFERROR(__xludf.DUMMYFUNCTION("""COMPUTED_VALUE"""),"Norwalk, CA")</f>
        <v>Norwalk, CA</v>
      </c>
      <c r="D479" s="17"/>
      <c r="E479" s="17">
        <f>IFERROR(__xludf.DUMMYFUNCTION("""COMPUTED_VALUE"""),15.0)</f>
        <v>15</v>
      </c>
      <c r="F479" s="27">
        <f>IFERROR(__xludf.DUMMYFUNCTION("""COMPUTED_VALUE"""),1.26)</f>
        <v>1.26</v>
      </c>
      <c r="G479" s="13">
        <f>IFERROR(__xludf.DUMMYFUNCTION("""COMPUTED_VALUE"""),0.0155)</f>
        <v>0.0155</v>
      </c>
    </row>
    <row r="480">
      <c r="A480" s="17" t="str">
        <f>IFERROR(__xludf.DUMMYFUNCTION("""COMPUTED_VALUE"""),"Bluerock")</f>
        <v>Bluerock</v>
      </c>
      <c r="B480" s="17" t="str">
        <f>IFERROR(__xludf.DUMMYFUNCTION("""COMPUTED_VALUE"""),"Note 16")</f>
        <v>Note 16</v>
      </c>
      <c r="C480" s="17" t="str">
        <f>IFERROR(__xludf.DUMMYFUNCTION("""COMPUTED_VALUE"""),"Nashville, TN")</f>
        <v>Nashville, TN</v>
      </c>
      <c r="D480" s="17" t="str">
        <f>IFERROR(__xludf.DUMMYFUNCTION("""COMPUTED_VALUE"""),"Multifamily")</f>
        <v>Multifamily</v>
      </c>
      <c r="E480" s="17">
        <f>IFERROR(__xludf.DUMMYFUNCTION("""COMPUTED_VALUE"""),1.25)</f>
        <v>1.25</v>
      </c>
      <c r="F480" s="27">
        <f>IFERROR(__xludf.DUMMYFUNCTION("""COMPUTED_VALUE"""),1.77)</f>
        <v>1.77</v>
      </c>
      <c r="G480" s="13">
        <f>IFERROR(__xludf.DUMMYFUNCTION("""COMPUTED_VALUE"""),0.445)</f>
        <v>0.445</v>
      </c>
    </row>
    <row r="481">
      <c r="A481" s="17" t="str">
        <f>IFERROR(__xludf.DUMMYFUNCTION("""COMPUTED_VALUE"""),"Bluerock")</f>
        <v>Bluerock</v>
      </c>
      <c r="B481" s="17" t="str">
        <f>IFERROR(__xludf.DUMMYFUNCTION("""COMPUTED_VALUE"""),"Novel Perimeter")</f>
        <v>Novel Perimeter</v>
      </c>
      <c r="C481" s="17" t="str">
        <f>IFERROR(__xludf.DUMMYFUNCTION("""COMPUTED_VALUE"""),"Atlanta, GA")</f>
        <v>Atlanta, GA</v>
      </c>
      <c r="D481" s="17" t="str">
        <f>IFERROR(__xludf.DUMMYFUNCTION("""COMPUTED_VALUE"""),"Multifamily")</f>
        <v>Multifamily</v>
      </c>
      <c r="E481" s="17">
        <f>IFERROR(__xludf.DUMMYFUNCTION("""COMPUTED_VALUE"""),4.0)</f>
        <v>4</v>
      </c>
      <c r="F481" s="27">
        <f>IFERROR(__xludf.DUMMYFUNCTION("""COMPUTED_VALUE"""),1.4)</f>
        <v>1.4</v>
      </c>
      <c r="G481" s="13">
        <f>IFERROR(__xludf.DUMMYFUNCTION("""COMPUTED_VALUE"""),0.1)</f>
        <v>0.1</v>
      </c>
    </row>
    <row r="482">
      <c r="A482" s="17" t="str">
        <f>IFERROR(__xludf.DUMMYFUNCTION("""COMPUTED_VALUE"""),"NexPoint")</f>
        <v>NexPoint</v>
      </c>
      <c r="B482" s="17" t="str">
        <f>IFERROR(__xludf.DUMMYFUNCTION("""COMPUTED_VALUE"""),"NREA Adair DST")</f>
        <v>NREA Adair DST</v>
      </c>
      <c r="C482" s="17"/>
      <c r="D482" s="17" t="str">
        <f>IFERROR(__xludf.DUMMYFUNCTION("""COMPUTED_VALUE"""),"Multifamily")</f>
        <v>Multifamily</v>
      </c>
      <c r="E482" s="17">
        <f>IFERROR(__xludf.DUMMYFUNCTION("""COMPUTED_VALUE"""),4.5)</f>
        <v>4.5</v>
      </c>
      <c r="F482" s="27">
        <f>IFERROR(__xludf.DUMMYFUNCTION("""COMPUTED_VALUE"""),1.7)</f>
        <v>1.7</v>
      </c>
      <c r="G482" s="13">
        <f>IFERROR(__xludf.DUMMYFUNCTION("""COMPUTED_VALUE"""),0.171)</f>
        <v>0.171</v>
      </c>
    </row>
    <row r="483">
      <c r="A483" s="17" t="str">
        <f>IFERROR(__xludf.DUMMYFUNCTION("""COMPUTED_VALUE"""),"NexPoint")</f>
        <v>NexPoint</v>
      </c>
      <c r="B483" s="17" t="str">
        <f>IFERROR(__xludf.DUMMYFUNCTION("""COMPUTED_VALUE"""),"NREA Estates DST")</f>
        <v>NREA Estates DST</v>
      </c>
      <c r="C483" s="17"/>
      <c r="D483" s="17" t="str">
        <f>IFERROR(__xludf.DUMMYFUNCTION("""COMPUTED_VALUE"""),"Multifamily")</f>
        <v>Multifamily</v>
      </c>
      <c r="E483" s="17">
        <f>IFERROR(__xludf.DUMMYFUNCTION("""COMPUTED_VALUE"""),3.75)</f>
        <v>3.75</v>
      </c>
      <c r="F483" s="27">
        <f>IFERROR(__xludf.DUMMYFUNCTION("""COMPUTED_VALUE"""),2.0)</f>
        <v>2</v>
      </c>
      <c r="G483" s="13">
        <f>IFERROR(__xludf.DUMMYFUNCTION("""COMPUTED_VALUE"""),0.288)</f>
        <v>0.288</v>
      </c>
    </row>
    <row r="484">
      <c r="A484" s="17" t="str">
        <f>IFERROR(__xludf.DUMMYFUNCTION("""COMPUTED_VALUE"""),"NexPoint")</f>
        <v>NexPoint</v>
      </c>
      <c r="B484" s="17" t="str">
        <f>IFERROR(__xludf.DUMMYFUNCTION("""COMPUTED_VALUE"""),"NREA Meritage DST")</f>
        <v>NREA Meritage DST</v>
      </c>
      <c r="C484" s="17"/>
      <c r="D484" s="17" t="str">
        <f>IFERROR(__xludf.DUMMYFUNCTION("""COMPUTED_VALUE"""),"Multifamily")</f>
        <v>Multifamily</v>
      </c>
      <c r="E484" s="17">
        <f>IFERROR(__xludf.DUMMYFUNCTION("""COMPUTED_VALUE"""),5.67)</f>
        <v>5.67</v>
      </c>
      <c r="F484" s="27">
        <f>IFERROR(__xludf.DUMMYFUNCTION("""COMPUTED_VALUE"""),1.24)</f>
        <v>1.24</v>
      </c>
      <c r="G484" s="13">
        <f>IFERROR(__xludf.DUMMYFUNCTION("""COMPUTED_VALUE"""),0.046)</f>
        <v>0.046</v>
      </c>
    </row>
    <row r="485">
      <c r="A485" s="17" t="str">
        <f>IFERROR(__xludf.DUMMYFUNCTION("""COMPUTED_VALUE"""),"Four Springs Capital")</f>
        <v>Four Springs Capital</v>
      </c>
      <c r="B485" s="17" t="str">
        <f>IFERROR(__xludf.DUMMYFUNCTION("""COMPUTED_VALUE"""),"O'Reilly Automotive – Atmore, AL")</f>
        <v>O'Reilly Automotive – Atmore, AL</v>
      </c>
      <c r="C485" s="17" t="str">
        <f>IFERROR(__xludf.DUMMYFUNCTION("""COMPUTED_VALUE"""),"Atmore, AL")</f>
        <v>Atmore, AL</v>
      </c>
      <c r="D485" s="17" t="str">
        <f>IFERROR(__xludf.DUMMYFUNCTION("""COMPUTED_VALUE"""),"Retail")</f>
        <v>Retail</v>
      </c>
      <c r="E485" s="17">
        <f>IFERROR(__xludf.DUMMYFUNCTION("""COMPUTED_VALUE"""),0.58)</f>
        <v>0.58</v>
      </c>
      <c r="F485" s="27">
        <f>IFERROR(__xludf.DUMMYFUNCTION("""COMPUTED_VALUE"""),1.04)</f>
        <v>1.04</v>
      </c>
      <c r="G485" s="13">
        <f>IFERROR(__xludf.DUMMYFUNCTION("""COMPUTED_VALUE"""),0.065)</f>
        <v>0.065</v>
      </c>
    </row>
    <row r="486">
      <c r="A486" s="17" t="str">
        <f>IFERROR(__xludf.DUMMYFUNCTION("""COMPUTED_VALUE"""),"Walton Global Holdings")</f>
        <v>Walton Global Holdings</v>
      </c>
      <c r="B486" s="17" t="str">
        <f>IFERROR(__xludf.DUMMYFUNCTION("""COMPUTED_VALUE"""),"Oak Springs")</f>
        <v>Oak Springs</v>
      </c>
      <c r="C486" s="17" t="str">
        <f>IFERROR(__xludf.DUMMYFUNCTION("""COMPUTED_VALUE"""),"Atlanta, GA")</f>
        <v>Atlanta, GA</v>
      </c>
      <c r="D486" s="17" t="str">
        <f>IFERROR(__xludf.DUMMYFUNCTION("""COMPUTED_VALUE"""),"Land")</f>
        <v>Land</v>
      </c>
      <c r="E486" s="17">
        <f>IFERROR(__xludf.DUMMYFUNCTION("""COMPUTED_VALUE"""),2.19)</f>
        <v>2.19</v>
      </c>
      <c r="F486" s="27">
        <f>IFERROR(__xludf.DUMMYFUNCTION("""COMPUTED_VALUE"""),1.75)</f>
        <v>1.75</v>
      </c>
      <c r="G486" s="13">
        <f>IFERROR(__xludf.DUMMYFUNCTION("""COMPUTED_VALUE"""),0.3468)</f>
        <v>0.3468</v>
      </c>
    </row>
    <row r="487">
      <c r="A487" s="17" t="str">
        <f>IFERROR(__xludf.DUMMYFUNCTION("""COMPUTED_VALUE"""),"Inland")</f>
        <v>Inland</v>
      </c>
      <c r="B487" s="17" t="str">
        <f>IFERROR(__xludf.DUMMYFUNCTION("""COMPUTED_VALUE"""),"Omaha Headquarters Ventures DST")</f>
        <v>Omaha Headquarters Ventures DST</v>
      </c>
      <c r="C487" s="17"/>
      <c r="D487" s="17" t="str">
        <f>IFERROR(__xludf.DUMMYFUNCTION("""COMPUTED_VALUE"""),"Office")</f>
        <v>Office</v>
      </c>
      <c r="E487" s="17">
        <f>IFERROR(__xludf.DUMMYFUNCTION("""COMPUTED_VALUE"""),9.5)</f>
        <v>9.5</v>
      </c>
      <c r="F487" s="27">
        <f>IFERROR(__xludf.DUMMYFUNCTION("""COMPUTED_VALUE"""),1.1)</f>
        <v>1.1</v>
      </c>
      <c r="G487" s="13">
        <f>IFERROR(__xludf.DUMMYFUNCTION("""COMPUTED_VALUE"""),0.0159)</f>
        <v>0.0159</v>
      </c>
    </row>
    <row r="488">
      <c r="A488" s="17" t="str">
        <f>IFERROR(__xludf.DUMMYFUNCTION("""COMPUTED_VALUE"""),"Bluerock")</f>
        <v>Bluerock</v>
      </c>
      <c r="B488" s="17" t="str">
        <f>IFERROR(__xludf.DUMMYFUNCTION("""COMPUTED_VALUE"""),"Orange City Apartments")</f>
        <v>Orange City Apartments</v>
      </c>
      <c r="C488" s="17" t="str">
        <f>IFERROR(__xludf.DUMMYFUNCTION("""COMPUTED_VALUE"""),"Orange City, FL")</f>
        <v>Orange City, FL</v>
      </c>
      <c r="D488" s="17" t="str">
        <f>IFERROR(__xludf.DUMMYFUNCTION("""COMPUTED_VALUE"""),"Multifamily")</f>
        <v>Multifamily</v>
      </c>
      <c r="E488" s="17">
        <f>IFERROR(__xludf.DUMMYFUNCTION("""COMPUTED_VALUE"""),1.17)</f>
        <v>1.17</v>
      </c>
      <c r="F488" s="27">
        <f>IFERROR(__xludf.DUMMYFUNCTION("""COMPUTED_VALUE"""),1.25)</f>
        <v>1.25</v>
      </c>
      <c r="G488" s="13">
        <f>IFERROR(__xludf.DUMMYFUNCTION("""COMPUTED_VALUE"""),0.9876)</f>
        <v>0.9876</v>
      </c>
    </row>
    <row r="489">
      <c r="A489" s="17" t="str">
        <f>IFERROR(__xludf.DUMMYFUNCTION("""COMPUTED_VALUE"""),"Inland")</f>
        <v>Inland</v>
      </c>
      <c r="B489" s="17" t="str">
        <f>IFERROR(__xludf.DUMMYFUNCTION("""COMPUTED_VALUE"""),"Orlando Student Housing DST")</f>
        <v>Orlando Student Housing DST</v>
      </c>
      <c r="C489" s="17"/>
      <c r="D489" s="17" t="str">
        <f>IFERROR(__xludf.DUMMYFUNCTION("""COMPUTED_VALUE"""),"Student Housing")</f>
        <v>Student Housing</v>
      </c>
      <c r="E489" s="17">
        <f>IFERROR(__xludf.DUMMYFUNCTION("""COMPUTED_VALUE"""),2.67)</f>
        <v>2.67</v>
      </c>
      <c r="F489" s="27">
        <f>IFERROR(__xludf.DUMMYFUNCTION("""COMPUTED_VALUE"""),1.28)</f>
        <v>1.28</v>
      </c>
      <c r="G489" s="13">
        <f>IFERROR(__xludf.DUMMYFUNCTION("""COMPUTED_VALUE"""),0.105)</f>
        <v>0.105</v>
      </c>
    </row>
    <row r="490">
      <c r="A490" s="17" t="str">
        <f>IFERROR(__xludf.DUMMYFUNCTION("""COMPUTED_VALUE"""),"Bluerock")</f>
        <v>Bluerock</v>
      </c>
      <c r="B490" s="17" t="str">
        <f>IFERROR(__xludf.DUMMYFUNCTION("""COMPUTED_VALUE"""),"Outlook at Greystone")</f>
        <v>Outlook at Greystone</v>
      </c>
      <c r="C490" s="17" t="str">
        <f>IFERROR(__xludf.DUMMYFUNCTION("""COMPUTED_VALUE"""),"Birmingham, AL")</f>
        <v>Birmingham, AL</v>
      </c>
      <c r="D490" s="17" t="str">
        <f>IFERROR(__xludf.DUMMYFUNCTION("""COMPUTED_VALUE"""),"Multifamily")</f>
        <v>Multifamily</v>
      </c>
      <c r="E490" s="17">
        <f>IFERROR(__xludf.DUMMYFUNCTION("""COMPUTED_VALUE"""),5.0)</f>
        <v>5</v>
      </c>
      <c r="F490" s="27">
        <f>IFERROR(__xludf.DUMMYFUNCTION("""COMPUTED_VALUE"""),1.21)</f>
        <v>1.21</v>
      </c>
      <c r="G490" s="13">
        <f>IFERROR(__xludf.DUMMYFUNCTION("""COMPUTED_VALUE"""),0.2197)</f>
        <v>0.2197</v>
      </c>
    </row>
    <row r="491">
      <c r="A491" s="17" t="str">
        <f>IFERROR(__xludf.DUMMYFUNCTION("""COMPUTED_VALUE"""),"Bluerock")</f>
        <v>Bluerock</v>
      </c>
      <c r="B491" s="17" t="str">
        <f>IFERROR(__xludf.DUMMYFUNCTION("""COMPUTED_VALUE"""),"Park and Kingston")</f>
        <v>Park and Kingston</v>
      </c>
      <c r="C491" s="17" t="str">
        <f>IFERROR(__xludf.DUMMYFUNCTION("""COMPUTED_VALUE"""),"Charlotte, NC")</f>
        <v>Charlotte, NC</v>
      </c>
      <c r="D491" s="17" t="str">
        <f>IFERROR(__xludf.DUMMYFUNCTION("""COMPUTED_VALUE"""),"Multifamily")</f>
        <v>Multifamily</v>
      </c>
      <c r="E491" s="17">
        <f>IFERROR(__xludf.DUMMYFUNCTION("""COMPUTED_VALUE"""),5.58)</f>
        <v>5.58</v>
      </c>
      <c r="F491" s="27">
        <f>IFERROR(__xludf.DUMMYFUNCTION("""COMPUTED_VALUE"""),2.37)</f>
        <v>2.37</v>
      </c>
      <c r="G491" s="13">
        <f>IFERROR(__xludf.DUMMYFUNCTION("""COMPUTED_VALUE"""),0.1755)</f>
        <v>0.1755</v>
      </c>
    </row>
    <row r="492">
      <c r="A492" s="17" t="str">
        <f>IFERROR(__xludf.DUMMYFUNCTION("""COMPUTED_VALUE"""),"Inland")</f>
        <v>Inland</v>
      </c>
      <c r="B492" s="17" t="str">
        <f>IFERROR(__xludf.DUMMYFUNCTION("""COMPUTED_VALUE"""),"Park Creek Steeple Multifamily DST")</f>
        <v>Park Creek Steeple Multifamily DST</v>
      </c>
      <c r="C492" s="17"/>
      <c r="D492" s="17" t="str">
        <f>IFERROR(__xludf.DUMMYFUNCTION("""COMPUTED_VALUE"""),"Multifamily")</f>
        <v>Multifamily</v>
      </c>
      <c r="E492" s="17">
        <f>IFERROR(__xludf.DUMMYFUNCTION("""COMPUTED_VALUE"""),6.42)</f>
        <v>6.42</v>
      </c>
      <c r="F492" s="27">
        <f>IFERROR(__xludf.DUMMYFUNCTION("""COMPUTED_VALUE"""),2.92)</f>
        <v>2.92</v>
      </c>
      <c r="G492" s="13">
        <f>IFERROR(__xludf.DUMMYFUNCTION("""COMPUTED_VALUE"""),0.2016)</f>
        <v>0.2016</v>
      </c>
    </row>
    <row r="493">
      <c r="A493" s="17" t="str">
        <f>IFERROR(__xludf.DUMMYFUNCTION("""COMPUTED_VALUE"""),"Bluerock")</f>
        <v>Bluerock</v>
      </c>
      <c r="B493" s="17" t="str">
        <f>IFERROR(__xludf.DUMMYFUNCTION("""COMPUTED_VALUE"""),"Park on the Square")</f>
        <v>Park on the Square</v>
      </c>
      <c r="C493" s="17" t="str">
        <f>IFERROR(__xludf.DUMMYFUNCTION("""COMPUTED_VALUE"""),"Pensacola, FL")</f>
        <v>Pensacola, FL</v>
      </c>
      <c r="D493" s="17" t="str">
        <f>IFERROR(__xludf.DUMMYFUNCTION("""COMPUTED_VALUE"""),"Multifamily")</f>
        <v>Multifamily</v>
      </c>
      <c r="E493" s="17">
        <f>IFERROR(__xludf.DUMMYFUNCTION("""COMPUTED_VALUE"""),2.25)</f>
        <v>2.25</v>
      </c>
      <c r="F493" s="27">
        <f>IFERROR(__xludf.DUMMYFUNCTION("""COMPUTED_VALUE"""),1.23)</f>
        <v>1.23</v>
      </c>
      <c r="G493" s="13">
        <f>IFERROR(__xludf.DUMMYFUNCTION("""COMPUTED_VALUE"""),0.1138)</f>
        <v>0.1138</v>
      </c>
    </row>
    <row r="494">
      <c r="A494" s="17" t="str">
        <f>IFERROR(__xludf.DUMMYFUNCTION("""COMPUTED_VALUE"""),"Passco")</f>
        <v>Passco</v>
      </c>
      <c r="B494" s="17" t="str">
        <f>IFERROR(__xludf.DUMMYFUNCTION("""COMPUTED_VALUE"""),"Parkcrest Landings")</f>
        <v>Parkcrest Landings</v>
      </c>
      <c r="C494" s="17" t="str">
        <f>IFERROR(__xludf.DUMMYFUNCTION("""COMPUTED_VALUE"""),"Bradenton, FL")</f>
        <v>Bradenton, FL</v>
      </c>
      <c r="D494" s="17" t="str">
        <f>IFERROR(__xludf.DUMMYFUNCTION("""COMPUTED_VALUE"""),"Multifamily")</f>
        <v>Multifamily</v>
      </c>
      <c r="E494" s="17">
        <f>IFERROR(__xludf.DUMMYFUNCTION("""COMPUTED_VALUE"""),7.0)</f>
        <v>7</v>
      </c>
      <c r="F494" s="27">
        <f>IFERROR(__xludf.DUMMYFUNCTION("""COMPUTED_VALUE"""),2.04)</f>
        <v>2.04</v>
      </c>
      <c r="G494" s="13">
        <f>IFERROR(__xludf.DUMMYFUNCTION("""COMPUTED_VALUE"""),0.107)</f>
        <v>0.107</v>
      </c>
    </row>
    <row r="495">
      <c r="A495" s="17" t="str">
        <f>IFERROR(__xludf.DUMMYFUNCTION("""COMPUTED_VALUE"""),"Denholtz")</f>
        <v>Denholtz</v>
      </c>
      <c r="B495" s="17" t="str">
        <f>IFERROR(__xludf.DUMMYFUNCTION("""COMPUTED_VALUE"""),"Parkway Commerce Center")</f>
        <v>Parkway Commerce Center</v>
      </c>
      <c r="C495" s="17" t="str">
        <f>IFERROR(__xludf.DUMMYFUNCTION("""COMPUTED_VALUE"""),"Orlando, FL")</f>
        <v>Orlando, FL</v>
      </c>
      <c r="D495" s="17" t="str">
        <f>IFERROR(__xludf.DUMMYFUNCTION("""COMPUTED_VALUE"""),"Industrial")</f>
        <v>Industrial</v>
      </c>
      <c r="E495" s="17">
        <f>IFERROR(__xludf.DUMMYFUNCTION("""COMPUTED_VALUE"""),2.17)</f>
        <v>2.17</v>
      </c>
      <c r="F495" s="27">
        <f>IFERROR(__xludf.DUMMYFUNCTION("""COMPUTED_VALUE"""),1.4)</f>
        <v>1.4</v>
      </c>
      <c r="G495" s="13">
        <f>IFERROR(__xludf.DUMMYFUNCTION("""COMPUTED_VALUE"""),0.1767)</f>
        <v>0.1767</v>
      </c>
    </row>
    <row r="496">
      <c r="A496" s="17" t="str">
        <f>IFERROR(__xludf.DUMMYFUNCTION("""COMPUTED_VALUE"""),"Walton Global Holdings")</f>
        <v>Walton Global Holdings</v>
      </c>
      <c r="B496" s="17" t="str">
        <f>IFERROR(__xludf.DUMMYFUNCTION("""COMPUTED_VALUE"""),"Peak at University Parkway")</f>
        <v>Peak at University Parkway</v>
      </c>
      <c r="C496" s="17" t="str">
        <f>IFERROR(__xludf.DUMMYFUNCTION("""COMPUTED_VALUE"""),"Atlanta, GA")</f>
        <v>Atlanta, GA</v>
      </c>
      <c r="D496" s="17" t="str">
        <f>IFERROR(__xludf.DUMMYFUNCTION("""COMPUTED_VALUE"""),"Land")</f>
        <v>Land</v>
      </c>
      <c r="E496" s="17">
        <f>IFERROR(__xludf.DUMMYFUNCTION("""COMPUTED_VALUE"""),14.39)</f>
        <v>14.39</v>
      </c>
      <c r="F496" s="27">
        <f>IFERROR(__xludf.DUMMYFUNCTION("""COMPUTED_VALUE"""),1.07)</f>
        <v>1.07</v>
      </c>
      <c r="G496" s="13">
        <f>IFERROR(__xludf.DUMMYFUNCTION("""COMPUTED_VALUE"""),0.0045)</f>
        <v>0.0045</v>
      </c>
    </row>
    <row r="497">
      <c r="A497" s="17" t="str">
        <f>IFERROR(__xludf.DUMMYFUNCTION("""COMPUTED_VALUE"""),"Bluerock")</f>
        <v>Bluerock</v>
      </c>
      <c r="B497" s="17" t="str">
        <f>IFERROR(__xludf.DUMMYFUNCTION("""COMPUTED_VALUE"""),"Peak Housing Operating Partnership")</f>
        <v>Peak Housing Operating Partnership</v>
      </c>
      <c r="C497" s="17" t="str">
        <f>IFERROR(__xludf.DUMMYFUNCTION("""COMPUTED_VALUE"""),"Dallas, TX")</f>
        <v>Dallas, TX</v>
      </c>
      <c r="D497" s="17" t="str">
        <f>IFERROR(__xludf.DUMMYFUNCTION("""COMPUTED_VALUE"""),"Multifamily")</f>
        <v>Multifamily</v>
      </c>
      <c r="E497" s="17">
        <f>IFERROR(__xludf.DUMMYFUNCTION("""COMPUTED_VALUE"""),3.67)</f>
        <v>3.67</v>
      </c>
      <c r="F497" s="27">
        <f>IFERROR(__xludf.DUMMYFUNCTION("""COMPUTED_VALUE"""),1.23)</f>
        <v>1.23</v>
      </c>
      <c r="G497" s="13">
        <f>IFERROR(__xludf.DUMMYFUNCTION("""COMPUTED_VALUE"""),0.095)</f>
        <v>0.095</v>
      </c>
    </row>
    <row r="498">
      <c r="A498" s="17" t="str">
        <f>IFERROR(__xludf.DUMMYFUNCTION("""COMPUTED_VALUE"""),"Passco")</f>
        <v>Passco</v>
      </c>
      <c r="B498" s="17" t="str">
        <f>IFERROR(__xludf.DUMMYFUNCTION("""COMPUTED_VALUE"""),"Pearce at Pavilion")</f>
        <v>Pearce at Pavilion</v>
      </c>
      <c r="C498" s="17" t="str">
        <f>IFERROR(__xludf.DUMMYFUNCTION("""COMPUTED_VALUE"""),"Riverview, FL")</f>
        <v>Riverview, FL</v>
      </c>
      <c r="D498" s="17" t="str">
        <f>IFERROR(__xludf.DUMMYFUNCTION("""COMPUTED_VALUE"""),"Multifamily")</f>
        <v>Multifamily</v>
      </c>
      <c r="E498" s="17">
        <f>IFERROR(__xludf.DUMMYFUNCTION("""COMPUTED_VALUE"""),6.0)</f>
        <v>6</v>
      </c>
      <c r="F498" s="27">
        <f>IFERROR(__xludf.DUMMYFUNCTION("""COMPUTED_VALUE"""),1.73)</f>
        <v>1.73</v>
      </c>
      <c r="G498" s="13">
        <f>IFERROR(__xludf.DUMMYFUNCTION("""COMPUTED_VALUE"""),0.0955)</f>
        <v>0.0955</v>
      </c>
    </row>
    <row r="499">
      <c r="A499" s="17" t="str">
        <f>IFERROR(__xludf.DUMMYFUNCTION("""COMPUTED_VALUE"""),"Inland")</f>
        <v>Inland</v>
      </c>
      <c r="B499" s="17" t="str">
        <f>IFERROR(__xludf.DUMMYFUNCTION("""COMPUTED_VALUE"""),"Pearland Multifamily DST")</f>
        <v>Pearland Multifamily DST</v>
      </c>
      <c r="C499" s="17"/>
      <c r="D499" s="17" t="str">
        <f>IFERROR(__xludf.DUMMYFUNCTION("""COMPUTED_VALUE"""),"Multifamily")</f>
        <v>Multifamily</v>
      </c>
      <c r="E499" s="17">
        <f>IFERROR(__xludf.DUMMYFUNCTION("""COMPUTED_VALUE"""),4.83)</f>
        <v>4.83</v>
      </c>
      <c r="F499" s="27">
        <f>IFERROR(__xludf.DUMMYFUNCTION("""COMPUTED_VALUE"""),1.27)</f>
        <v>1.27</v>
      </c>
      <c r="G499" s="13">
        <f>IFERROR(__xludf.DUMMYFUNCTION("""COMPUTED_VALUE"""),0.0564)</f>
        <v>0.0564</v>
      </c>
    </row>
    <row r="500">
      <c r="A500" s="17" t="str">
        <f>IFERROR(__xludf.DUMMYFUNCTION("""COMPUTED_VALUE"""),"Inland")</f>
        <v>Inland</v>
      </c>
      <c r="B500" s="17" t="str">
        <f>IFERROR(__xludf.DUMMYFUNCTION("""COMPUTED_VALUE"""),"Pharmacy Portfolio III DST")</f>
        <v>Pharmacy Portfolio III DST</v>
      </c>
      <c r="C500" s="17"/>
      <c r="D500" s="17" t="str">
        <f>IFERROR(__xludf.DUMMYFUNCTION("""COMPUTED_VALUE"""),"Retail")</f>
        <v>Retail</v>
      </c>
      <c r="E500" s="17">
        <f>IFERROR(__xludf.DUMMYFUNCTION("""COMPUTED_VALUE"""),10.92)</f>
        <v>10.92</v>
      </c>
      <c r="F500" s="27">
        <f>IFERROR(__xludf.DUMMYFUNCTION("""COMPUTED_VALUE"""),2.98)</f>
        <v>2.98</v>
      </c>
      <c r="G500" s="13">
        <f>IFERROR(__xludf.DUMMYFUNCTION("""COMPUTED_VALUE"""),0.1055)</f>
        <v>0.1055</v>
      </c>
    </row>
    <row r="501">
      <c r="A501" s="17" t="str">
        <f>IFERROR(__xludf.DUMMYFUNCTION("""COMPUTED_VALUE"""),"Inland")</f>
        <v>Inland</v>
      </c>
      <c r="B501" s="17" t="str">
        <f>IFERROR(__xludf.DUMMYFUNCTION("""COMPUTED_VALUE"""),"Pharmacy Portfolio IV DST")</f>
        <v>Pharmacy Portfolio IV DST</v>
      </c>
      <c r="C501" s="17"/>
      <c r="D501" s="17" t="str">
        <f>IFERROR(__xludf.DUMMYFUNCTION("""COMPUTED_VALUE"""),"Retail")</f>
        <v>Retail</v>
      </c>
      <c r="E501" s="17">
        <f>IFERROR(__xludf.DUMMYFUNCTION("""COMPUTED_VALUE"""),10.59)</f>
        <v>10.59</v>
      </c>
      <c r="F501" s="27">
        <f>IFERROR(__xludf.DUMMYFUNCTION("""COMPUTED_VALUE"""),2.7)</f>
        <v>2.7</v>
      </c>
      <c r="G501" s="13">
        <f>IFERROR(__xludf.DUMMYFUNCTION("""COMPUTED_VALUE"""),0.0995)</f>
        <v>0.0995</v>
      </c>
    </row>
    <row r="502">
      <c r="A502" s="17" t="str">
        <f>IFERROR(__xludf.DUMMYFUNCTION("""COMPUTED_VALUE"""),"Inland")</f>
        <v>Inland</v>
      </c>
      <c r="B502" s="17" t="str">
        <f>IFERROR(__xludf.DUMMYFUNCTION("""COMPUTED_VALUE"""),"Pharmacy Sale Leaseback DST")</f>
        <v>Pharmacy Sale Leaseback DST</v>
      </c>
      <c r="C502" s="17"/>
      <c r="D502" s="17" t="str">
        <f>IFERROR(__xludf.DUMMYFUNCTION("""COMPUTED_VALUE"""),"Retail")</f>
        <v>Retail</v>
      </c>
      <c r="E502" s="17">
        <f>IFERROR(__xludf.DUMMYFUNCTION("""COMPUTED_VALUE"""),9.53)</f>
        <v>9.53</v>
      </c>
      <c r="F502" s="27">
        <f>IFERROR(__xludf.DUMMYFUNCTION("""COMPUTED_VALUE"""),1.69)</f>
        <v>1.69</v>
      </c>
      <c r="G502" s="13">
        <f>IFERROR(__xludf.DUMMYFUNCTION("""COMPUTED_VALUE"""),0.0763)</f>
        <v>0.0763</v>
      </c>
    </row>
    <row r="503">
      <c r="A503" s="17" t="str">
        <f>IFERROR(__xludf.DUMMYFUNCTION("""COMPUTED_VALUE"""),"Inland")</f>
        <v>Inland</v>
      </c>
      <c r="B503" s="17" t="str">
        <f>IFERROR(__xludf.DUMMYFUNCTION("""COMPUTED_VALUE"""),"Pharmacy Sale Leaseback II DST")</f>
        <v>Pharmacy Sale Leaseback II DST</v>
      </c>
      <c r="C503" s="17"/>
      <c r="D503" s="17" t="str">
        <f>IFERROR(__xludf.DUMMYFUNCTION("""COMPUTED_VALUE"""),"Retail")</f>
        <v>Retail</v>
      </c>
      <c r="E503" s="17">
        <f>IFERROR(__xludf.DUMMYFUNCTION("""COMPUTED_VALUE"""),7.5)</f>
        <v>7.5</v>
      </c>
      <c r="F503" s="27">
        <f>IFERROR(__xludf.DUMMYFUNCTION("""COMPUTED_VALUE"""),1.57)</f>
        <v>1.57</v>
      </c>
      <c r="G503" s="13">
        <f>IFERROR(__xludf.DUMMYFUNCTION("""COMPUTED_VALUE"""),0.0719)</f>
        <v>0.0719</v>
      </c>
    </row>
    <row r="504">
      <c r="A504" s="17" t="str">
        <f>IFERROR(__xludf.DUMMYFUNCTION("""COMPUTED_VALUE"""),"Walton Global Holdings")</f>
        <v>Walton Global Holdings</v>
      </c>
      <c r="B504" s="17" t="str">
        <f>IFERROR(__xludf.DUMMYFUNCTION("""COMPUTED_VALUE"""),"Picacho View 1")</f>
        <v>Picacho View 1</v>
      </c>
      <c r="C504" s="17" t="str">
        <f>IFERROR(__xludf.DUMMYFUNCTION("""COMPUTED_VALUE"""),"Phoenix, AZ")</f>
        <v>Phoenix, AZ</v>
      </c>
      <c r="D504" s="17" t="str">
        <f>IFERROR(__xludf.DUMMYFUNCTION("""COMPUTED_VALUE"""),"Land")</f>
        <v>Land</v>
      </c>
      <c r="E504" s="17">
        <f>IFERROR(__xludf.DUMMYFUNCTION("""COMPUTED_VALUE"""),2.81)</f>
        <v>2.81</v>
      </c>
      <c r="F504" s="27">
        <f>IFERROR(__xludf.DUMMYFUNCTION("""COMPUTED_VALUE"""),0.62)</f>
        <v>0.62</v>
      </c>
      <c r="G504" s="13">
        <f>IFERROR(__xludf.DUMMYFUNCTION("""COMPUTED_VALUE"""),-0.1564)</f>
        <v>-0.1564</v>
      </c>
    </row>
    <row r="505">
      <c r="A505" s="17" t="str">
        <f>IFERROR(__xludf.DUMMYFUNCTION("""COMPUTED_VALUE"""),"Walton Global Holdings")</f>
        <v>Walton Global Holdings</v>
      </c>
      <c r="B505" s="17" t="str">
        <f>IFERROR(__xludf.DUMMYFUNCTION("""COMPUTED_VALUE"""),"Picacho View 2")</f>
        <v>Picacho View 2</v>
      </c>
      <c r="C505" s="17" t="str">
        <f>IFERROR(__xludf.DUMMYFUNCTION("""COMPUTED_VALUE"""),"Phoenix, AZ")</f>
        <v>Phoenix, AZ</v>
      </c>
      <c r="D505" s="17" t="str">
        <f>IFERROR(__xludf.DUMMYFUNCTION("""COMPUTED_VALUE"""),"Land")</f>
        <v>Land</v>
      </c>
      <c r="E505" s="17">
        <f>IFERROR(__xludf.DUMMYFUNCTION("""COMPUTED_VALUE"""),2.81)</f>
        <v>2.81</v>
      </c>
      <c r="F505" s="27">
        <f>IFERROR(__xludf.DUMMYFUNCTION("""COMPUTED_VALUE"""),0.58)</f>
        <v>0.58</v>
      </c>
      <c r="G505" s="13">
        <f>IFERROR(__xludf.DUMMYFUNCTION("""COMPUTED_VALUE"""),-0.1762)</f>
        <v>-0.1762</v>
      </c>
    </row>
    <row r="506">
      <c r="A506" s="17" t="str">
        <f>IFERROR(__xludf.DUMMYFUNCTION("""COMPUTED_VALUE"""),"Walton Global Holdings")</f>
        <v>Walton Global Holdings</v>
      </c>
      <c r="B506" s="17" t="str">
        <f>IFERROR(__xludf.DUMMYFUNCTION("""COMPUTED_VALUE"""),"Picacho View 3")</f>
        <v>Picacho View 3</v>
      </c>
      <c r="C506" s="17" t="str">
        <f>IFERROR(__xludf.DUMMYFUNCTION("""COMPUTED_VALUE"""),"Phoenix, AZ")</f>
        <v>Phoenix, AZ</v>
      </c>
      <c r="D506" s="17" t="str">
        <f>IFERROR(__xludf.DUMMYFUNCTION("""COMPUTED_VALUE"""),"Land")</f>
        <v>Land</v>
      </c>
      <c r="E506" s="17">
        <f>IFERROR(__xludf.DUMMYFUNCTION("""COMPUTED_VALUE"""),2.81)</f>
        <v>2.81</v>
      </c>
      <c r="F506" s="27">
        <f>IFERROR(__xludf.DUMMYFUNCTION("""COMPUTED_VALUE"""),0.62)</f>
        <v>0.62</v>
      </c>
      <c r="G506" s="13">
        <f>IFERROR(__xludf.DUMMYFUNCTION("""COMPUTED_VALUE"""),-0.1564)</f>
        <v>-0.1564</v>
      </c>
    </row>
    <row r="507">
      <c r="A507" s="17" t="str">
        <f>IFERROR(__xludf.DUMMYFUNCTION("""COMPUTED_VALUE"""),"Bluerock")</f>
        <v>Bluerock</v>
      </c>
      <c r="B507" s="17" t="str">
        <f>IFERROR(__xludf.DUMMYFUNCTION("""COMPUTED_VALUE"""),"Pine Lakes Preserve")</f>
        <v>Pine Lakes Preserve</v>
      </c>
      <c r="C507" s="17" t="str">
        <f>IFERROR(__xludf.DUMMYFUNCTION("""COMPUTED_VALUE"""),"Port St. Lucie, FL")</f>
        <v>Port St. Lucie, FL</v>
      </c>
      <c r="D507" s="17" t="str">
        <f>IFERROR(__xludf.DUMMYFUNCTION("""COMPUTED_VALUE"""),"Multifamily")</f>
        <v>Multifamily</v>
      </c>
      <c r="E507" s="17">
        <f>IFERROR(__xludf.DUMMYFUNCTION("""COMPUTED_VALUE"""),5.83)</f>
        <v>5.83</v>
      </c>
      <c r="F507" s="27">
        <f>IFERROR(__xludf.DUMMYFUNCTION("""COMPUTED_VALUE"""),4.14)</f>
        <v>4.14</v>
      </c>
      <c r="G507" s="13">
        <f>IFERROR(__xludf.DUMMYFUNCTION("""COMPUTED_VALUE"""),0.4171)</f>
        <v>0.4171</v>
      </c>
    </row>
    <row r="508">
      <c r="A508" s="17" t="str">
        <f>IFERROR(__xludf.DUMMYFUNCTION("""COMPUTED_VALUE"""),"Denholtz")</f>
        <v>Denholtz</v>
      </c>
      <c r="B508" s="17" t="str">
        <f>IFERROR(__xludf.DUMMYFUNCTION("""COMPUTED_VALUE"""),"Pinellas Business Center")</f>
        <v>Pinellas Business Center</v>
      </c>
      <c r="C508" s="17" t="str">
        <f>IFERROR(__xludf.DUMMYFUNCTION("""COMPUTED_VALUE"""),"St. Petersburg, FL")</f>
        <v>St. Petersburg, FL</v>
      </c>
      <c r="D508" s="17" t="str">
        <f>IFERROR(__xludf.DUMMYFUNCTION("""COMPUTED_VALUE"""),"Industrial")</f>
        <v>Industrial</v>
      </c>
      <c r="E508" s="17">
        <f>IFERROR(__xludf.DUMMYFUNCTION("""COMPUTED_VALUE"""),8.92)</f>
        <v>8.92</v>
      </c>
      <c r="F508" s="27">
        <f>IFERROR(__xludf.DUMMYFUNCTION("""COMPUTED_VALUE"""),1.51)</f>
        <v>1.51</v>
      </c>
      <c r="G508" s="13">
        <f>IFERROR(__xludf.DUMMYFUNCTION("""COMPUTED_VALUE"""),0.1488)</f>
        <v>0.1488</v>
      </c>
    </row>
    <row r="509">
      <c r="A509" s="17" t="str">
        <f>IFERROR(__xludf.DUMMYFUNCTION("""COMPUTED_VALUE"""),"Walton Global Holdings")</f>
        <v>Walton Global Holdings</v>
      </c>
      <c r="B509" s="17" t="str">
        <f>IFERROR(__xludf.DUMMYFUNCTION("""COMPUTED_VALUE"""),"Piney Lake")</f>
        <v>Piney Lake</v>
      </c>
      <c r="C509" s="17" t="str">
        <f>IFERROR(__xludf.DUMMYFUNCTION("""COMPUTED_VALUE"""),"Denver, CO")</f>
        <v>Denver, CO</v>
      </c>
      <c r="D509" s="17" t="str">
        <f>IFERROR(__xludf.DUMMYFUNCTION("""COMPUTED_VALUE"""),"Land")</f>
        <v>Land</v>
      </c>
      <c r="E509" s="17">
        <f>IFERROR(__xludf.DUMMYFUNCTION("""COMPUTED_VALUE"""),5.88)</f>
        <v>5.88</v>
      </c>
      <c r="F509" s="27">
        <f>IFERROR(__xludf.DUMMYFUNCTION("""COMPUTED_VALUE"""),1.81)</f>
        <v>1.81</v>
      </c>
      <c r="G509" s="13">
        <f>IFERROR(__xludf.DUMMYFUNCTION("""COMPUTED_VALUE"""),0.1296)</f>
        <v>0.1296</v>
      </c>
    </row>
    <row r="510">
      <c r="A510" s="17" t="str">
        <f>IFERROR(__xludf.DUMMYFUNCTION("""COMPUTED_VALUE"""),"Time Equities")</f>
        <v>Time Equities</v>
      </c>
      <c r="B510" s="17" t="str">
        <f>IFERROR(__xludf.DUMMYFUNCTION("""COMPUTED_VALUE"""),"Placerville Equities LLC")</f>
        <v>Placerville Equities LLC</v>
      </c>
      <c r="C510" s="17" t="str">
        <f>IFERROR(__xludf.DUMMYFUNCTION("""COMPUTED_VALUE"""),"Rancho Cordova, CA")</f>
        <v>Rancho Cordova, CA</v>
      </c>
      <c r="D510" s="17" t="str">
        <f>IFERROR(__xludf.DUMMYFUNCTION("""COMPUTED_VALUE"""),"Office")</f>
        <v>Office</v>
      </c>
      <c r="E510" s="17">
        <f>IFERROR(__xludf.DUMMYFUNCTION("""COMPUTED_VALUE"""),6.95)</f>
        <v>6.95</v>
      </c>
      <c r="F510" s="27">
        <f>IFERROR(__xludf.DUMMYFUNCTION("""COMPUTED_VALUE"""),2.63)</f>
        <v>2.63</v>
      </c>
      <c r="G510" s="13">
        <f>IFERROR(__xludf.DUMMYFUNCTION("""COMPUTED_VALUE"""),0.1775)</f>
        <v>0.1775</v>
      </c>
    </row>
    <row r="511">
      <c r="A511" s="17" t="str">
        <f>IFERROR(__xludf.DUMMYFUNCTION("""COMPUTED_VALUE"""),"Bluerock")</f>
        <v>Bluerock</v>
      </c>
      <c r="B511" s="17" t="str">
        <f>IFERROR(__xludf.DUMMYFUNCTION("""COMPUTED_VALUE"""),"Plantation Park")</f>
        <v>Plantation Park</v>
      </c>
      <c r="C511" s="17" t="str">
        <f>IFERROR(__xludf.DUMMYFUNCTION("""COMPUTED_VALUE"""),"Lake Jackson, TX")</f>
        <v>Lake Jackson, TX</v>
      </c>
      <c r="D511" s="17" t="str">
        <f>IFERROR(__xludf.DUMMYFUNCTION("""COMPUTED_VALUE"""),"Multifamily")</f>
        <v>Multifamily</v>
      </c>
      <c r="E511" s="17">
        <f>IFERROR(__xludf.DUMMYFUNCTION("""COMPUTED_VALUE"""),3.0)</f>
        <v>3</v>
      </c>
      <c r="F511" s="27">
        <f>IFERROR(__xludf.DUMMYFUNCTION("""COMPUTED_VALUE"""),0.59)</f>
        <v>0.59</v>
      </c>
      <c r="G511" s="13">
        <f>IFERROR(__xludf.DUMMYFUNCTION("""COMPUTED_VALUE"""),-0.194)</f>
        <v>-0.194</v>
      </c>
    </row>
    <row r="512">
      <c r="A512" s="17" t="str">
        <f>IFERROR(__xludf.DUMMYFUNCTION("""COMPUTED_VALUE"""),"Syndicated Equities")</f>
        <v>Syndicated Equities</v>
      </c>
      <c r="B512" s="17" t="str">
        <f>IFERROR(__xludf.DUMMYFUNCTION("""COMPUTED_VALUE"""),"Plaza at the Pointe")</f>
        <v>Plaza at the Pointe</v>
      </c>
      <c r="C512" s="17" t="str">
        <f>IFERROR(__xludf.DUMMYFUNCTION("""COMPUTED_VALUE"""),"Pittsburgh, PA")</f>
        <v>Pittsburgh, PA</v>
      </c>
      <c r="D512" s="17"/>
      <c r="E512" s="17">
        <f>IFERROR(__xludf.DUMMYFUNCTION("""COMPUTED_VALUE"""),5.6)</f>
        <v>5.6</v>
      </c>
      <c r="F512" s="27">
        <f>IFERROR(__xludf.DUMMYFUNCTION("""COMPUTED_VALUE"""),1.71)</f>
        <v>1.71</v>
      </c>
      <c r="G512" s="13">
        <f>IFERROR(__xludf.DUMMYFUNCTION("""COMPUTED_VALUE"""),0.1005)</f>
        <v>0.1005</v>
      </c>
    </row>
    <row r="513">
      <c r="A513" s="17" t="str">
        <f>IFERROR(__xludf.DUMMYFUNCTION("""COMPUTED_VALUE"""),"Bluerock")</f>
        <v>Bluerock</v>
      </c>
      <c r="B513" s="17" t="str">
        <f>IFERROR(__xludf.DUMMYFUNCTION("""COMPUTED_VALUE"""),"Plaza Gardens")</f>
        <v>Plaza Gardens</v>
      </c>
      <c r="C513" s="17" t="str">
        <f>IFERROR(__xludf.DUMMYFUNCTION("""COMPUTED_VALUE"""),"Overland Park, KS")</f>
        <v>Overland Park, KS</v>
      </c>
      <c r="D513" s="17" t="str">
        <f>IFERROR(__xludf.DUMMYFUNCTION("""COMPUTED_VALUE"""),"Multifamily")</f>
        <v>Multifamily</v>
      </c>
      <c r="E513" s="17">
        <f>IFERROR(__xludf.DUMMYFUNCTION("""COMPUTED_VALUE"""),10.92)</f>
        <v>10.92</v>
      </c>
      <c r="F513" s="27">
        <f>IFERROR(__xludf.DUMMYFUNCTION("""COMPUTED_VALUE"""),1.34)</f>
        <v>1.34</v>
      </c>
      <c r="G513" s="13">
        <f>IFERROR(__xludf.DUMMYFUNCTION("""COMPUTED_VALUE"""),0.042)</f>
        <v>0.042</v>
      </c>
    </row>
    <row r="514">
      <c r="A514" s="17" t="str">
        <f>IFERROR(__xludf.DUMMYFUNCTION("""COMPUTED_VALUE"""),"Inland")</f>
        <v>Inland</v>
      </c>
      <c r="B514" s="17" t="str">
        <f>IFERROR(__xludf.DUMMYFUNCTION("""COMPUTED_VALUE"""),"PNS Grocery DST")</f>
        <v>PNS Grocery DST</v>
      </c>
      <c r="C514" s="17"/>
      <c r="D514" s="17" t="str">
        <f>IFERROR(__xludf.DUMMYFUNCTION("""COMPUTED_VALUE"""),"Retail")</f>
        <v>Retail</v>
      </c>
      <c r="E514" s="17">
        <f>IFERROR(__xludf.DUMMYFUNCTION("""COMPUTED_VALUE"""),4.25)</f>
        <v>4.25</v>
      </c>
      <c r="F514" s="27">
        <f>IFERROR(__xludf.DUMMYFUNCTION("""COMPUTED_VALUE"""),1.24)</f>
        <v>1.24</v>
      </c>
      <c r="G514" s="13">
        <f>IFERROR(__xludf.DUMMYFUNCTION("""COMPUTED_VALUE"""),0.0607)</f>
        <v>0.0607</v>
      </c>
    </row>
    <row r="515">
      <c r="A515" s="17" t="str">
        <f>IFERROR(__xludf.DUMMYFUNCTION("""COMPUTED_VALUE"""),"Passco")</f>
        <v>Passco</v>
      </c>
      <c r="B515" s="17" t="str">
        <f>IFERROR(__xludf.DUMMYFUNCTION("""COMPUTED_VALUE"""),"Point at Tamaya")</f>
        <v>Point at Tamaya</v>
      </c>
      <c r="C515" s="17" t="str">
        <f>IFERROR(__xludf.DUMMYFUNCTION("""COMPUTED_VALUE"""),"Jacksonville, FL")</f>
        <v>Jacksonville, FL</v>
      </c>
      <c r="D515" s="17" t="str">
        <f>IFERROR(__xludf.DUMMYFUNCTION("""COMPUTED_VALUE"""),"Multifamily")</f>
        <v>Multifamily</v>
      </c>
      <c r="E515" s="17">
        <f>IFERROR(__xludf.DUMMYFUNCTION("""COMPUTED_VALUE"""),6.0)</f>
        <v>6</v>
      </c>
      <c r="F515" s="27">
        <f>IFERROR(__xludf.DUMMYFUNCTION("""COMPUTED_VALUE"""),1.3)</f>
        <v>1.3</v>
      </c>
      <c r="G515" s="13">
        <f>IFERROR(__xludf.DUMMYFUNCTION("""COMPUTED_VALUE"""),0.0443)</f>
        <v>0.0443</v>
      </c>
    </row>
    <row r="516">
      <c r="A516" s="17" t="str">
        <f>IFERROR(__xludf.DUMMYFUNCTION("""COMPUTED_VALUE"""),"Syndicated Equities")</f>
        <v>Syndicated Equities</v>
      </c>
      <c r="B516" s="17" t="str">
        <f>IFERROR(__xludf.DUMMYFUNCTION("""COMPUTED_VALUE"""),"Pointe Plaza Shopping Center")</f>
        <v>Pointe Plaza Shopping Center</v>
      </c>
      <c r="C516" s="17" t="str">
        <f>IFERROR(__xludf.DUMMYFUNCTION("""COMPUTED_VALUE"""),"Niles, IL")</f>
        <v>Niles, IL</v>
      </c>
      <c r="D516" s="17"/>
      <c r="E516" s="17">
        <f>IFERROR(__xludf.DUMMYFUNCTION("""COMPUTED_VALUE"""),2.49)</f>
        <v>2.49</v>
      </c>
      <c r="F516" s="27">
        <f>IFERROR(__xludf.DUMMYFUNCTION("""COMPUTED_VALUE"""),1.17)</f>
        <v>1.17</v>
      </c>
      <c r="G516" s="13">
        <f>IFERROR(__xludf.DUMMYFUNCTION("""COMPUTED_VALUE"""),0.065)</f>
        <v>0.065</v>
      </c>
    </row>
    <row r="517">
      <c r="A517" s="17" t="str">
        <f>IFERROR(__xludf.DUMMYFUNCTION("""COMPUTED_VALUE"""),"Bluerock")</f>
        <v>Bluerock</v>
      </c>
      <c r="B517" s="17" t="str">
        <f>IFERROR(__xludf.DUMMYFUNCTION("""COMPUTED_VALUE"""),"Preston View")</f>
        <v>Preston View</v>
      </c>
      <c r="C517" s="17" t="str">
        <f>IFERROR(__xludf.DUMMYFUNCTION("""COMPUTED_VALUE"""),"Morrisville, NC")</f>
        <v>Morrisville, NC</v>
      </c>
      <c r="D517" s="17" t="str">
        <f>IFERROR(__xludf.DUMMYFUNCTION("""COMPUTED_VALUE"""),"Multifamily")</f>
        <v>Multifamily</v>
      </c>
      <c r="E517" s="17">
        <f>IFERROR(__xludf.DUMMYFUNCTION("""COMPUTED_VALUE"""),2.58)</f>
        <v>2.58</v>
      </c>
      <c r="F517" s="27">
        <f>IFERROR(__xludf.DUMMYFUNCTION("""COMPUTED_VALUE"""),1.16)</f>
        <v>1.16</v>
      </c>
      <c r="G517" s="13">
        <f>IFERROR(__xludf.DUMMYFUNCTION("""COMPUTED_VALUE"""),0.068)</f>
        <v>0.068</v>
      </c>
    </row>
    <row r="518">
      <c r="A518" s="17" t="str">
        <f>IFERROR(__xludf.DUMMYFUNCTION("""COMPUTED_VALUE"""),"Time Equities")</f>
        <v>Time Equities</v>
      </c>
      <c r="B518" s="17" t="str">
        <f>IFERROR(__xludf.DUMMYFUNCTION("""COMPUTED_VALUE"""),"Prospect Drive Equities LLC")</f>
        <v>Prospect Drive Equities LLC</v>
      </c>
      <c r="C518" s="17" t="str">
        <f>IFERROR(__xludf.DUMMYFUNCTION("""COMPUTED_VALUE"""),"Rancho Cordova, CA")</f>
        <v>Rancho Cordova, CA</v>
      </c>
      <c r="D518" s="17" t="str">
        <f>IFERROR(__xludf.DUMMYFUNCTION("""COMPUTED_VALUE"""),"Office")</f>
        <v>Office</v>
      </c>
      <c r="E518" s="17">
        <f>IFERROR(__xludf.DUMMYFUNCTION("""COMPUTED_VALUE"""),6.64)</f>
        <v>6.64</v>
      </c>
      <c r="F518" s="27">
        <f>IFERROR(__xludf.DUMMYFUNCTION("""COMPUTED_VALUE"""),2.24)</f>
        <v>2.24</v>
      </c>
      <c r="G518" s="13">
        <f>IFERROR(__xludf.DUMMYFUNCTION("""COMPUTED_VALUE"""),0.1492)</f>
        <v>0.1492</v>
      </c>
    </row>
    <row r="519">
      <c r="A519" s="17" t="str">
        <f>IFERROR(__xludf.DUMMYFUNCTION("""COMPUTED_VALUE"""),"Bluerock")</f>
        <v>Bluerock</v>
      </c>
      <c r="B519" s="17" t="str">
        <f>IFERROR(__xludf.DUMMYFUNCTION("""COMPUTED_VALUE"""),"Providence Trail")</f>
        <v>Providence Trail</v>
      </c>
      <c r="C519" s="17" t="str">
        <f>IFERROR(__xludf.DUMMYFUNCTION("""COMPUTED_VALUE"""),"Mount Juliet, TN")</f>
        <v>Mount Juliet, TN</v>
      </c>
      <c r="D519" s="17" t="str">
        <f>IFERROR(__xludf.DUMMYFUNCTION("""COMPUTED_VALUE"""),"Multifamily")</f>
        <v>Multifamily</v>
      </c>
      <c r="E519" s="17">
        <f>IFERROR(__xludf.DUMMYFUNCTION("""COMPUTED_VALUE"""),3.33)</f>
        <v>3.33</v>
      </c>
      <c r="F519" s="27">
        <f>IFERROR(__xludf.DUMMYFUNCTION("""COMPUTED_VALUE"""),2.93)</f>
        <v>2.93</v>
      </c>
      <c r="G519" s="13">
        <f>IFERROR(__xludf.DUMMYFUNCTION("""COMPUTED_VALUE"""),0.4187)</f>
        <v>0.4187</v>
      </c>
    </row>
    <row r="520">
      <c r="A520" s="17" t="str">
        <f>IFERROR(__xludf.DUMMYFUNCTION("""COMPUTED_VALUE"""),"Syndicated Equities")</f>
        <v>Syndicated Equities</v>
      </c>
      <c r="B520" s="17" t="str">
        <f>IFERROR(__xludf.DUMMYFUNCTION("""COMPUTED_VALUE"""),"Public Square Garage")</f>
        <v>Public Square Garage</v>
      </c>
      <c r="C520" s="17" t="str">
        <f>IFERROR(__xludf.DUMMYFUNCTION("""COMPUTED_VALUE"""),"Nashville, TN")</f>
        <v>Nashville, TN</v>
      </c>
      <c r="D520" s="17"/>
      <c r="E520" s="17">
        <f>IFERROR(__xludf.DUMMYFUNCTION("""COMPUTED_VALUE"""),9.26)</f>
        <v>9.26</v>
      </c>
      <c r="F520" s="27">
        <f>IFERROR(__xludf.DUMMYFUNCTION("""COMPUTED_VALUE"""),0.39)</f>
        <v>0.39</v>
      </c>
      <c r="G520" s="13">
        <f>IFERROR(__xludf.DUMMYFUNCTION("""COMPUTED_VALUE"""),-0.0966)</f>
        <v>-0.0966</v>
      </c>
    </row>
    <row r="521">
      <c r="A521" s="17" t="str">
        <f>IFERROR(__xludf.DUMMYFUNCTION("""COMPUTED_VALUE"""),"Bluerock")</f>
        <v>Bluerock</v>
      </c>
      <c r="B521" s="17" t="str">
        <f>IFERROR(__xludf.DUMMYFUNCTION("""COMPUTED_VALUE"""),"Quinn35")</f>
        <v>Quinn35</v>
      </c>
      <c r="C521" s="17" t="str">
        <f>IFERROR(__xludf.DUMMYFUNCTION("""COMPUTED_VALUE"""),"Shrewsbury, MA")</f>
        <v>Shrewsbury, MA</v>
      </c>
      <c r="D521" s="17" t="str">
        <f>IFERROR(__xludf.DUMMYFUNCTION("""COMPUTED_VALUE"""),"Multifamily")</f>
        <v>Multifamily</v>
      </c>
      <c r="E521" s="17">
        <f>IFERROR(__xludf.DUMMYFUNCTION("""COMPUTED_VALUE"""),5.25)</f>
        <v>5.25</v>
      </c>
      <c r="F521" s="27">
        <f>IFERROR(__xludf.DUMMYFUNCTION("""COMPUTED_VALUE"""),1.49)</f>
        <v>1.49</v>
      </c>
      <c r="G521" s="13">
        <f>IFERROR(__xludf.DUMMYFUNCTION("""COMPUTED_VALUE"""),0.097)</f>
        <v>0.097</v>
      </c>
    </row>
    <row r="522">
      <c r="A522" s="17" t="str">
        <f>IFERROR(__xludf.DUMMYFUNCTION("""COMPUTED_VALUE"""),"Syndicated Equities")</f>
        <v>Syndicated Equities</v>
      </c>
      <c r="B522" s="17" t="str">
        <f>IFERROR(__xludf.DUMMYFUNCTION("""COMPUTED_VALUE"""),"Ravinia Plaza Shopping Center")</f>
        <v>Ravinia Plaza Shopping Center</v>
      </c>
      <c r="C522" s="17" t="str">
        <f>IFERROR(__xludf.DUMMYFUNCTION("""COMPUTED_VALUE"""),"Orland Park, IL")</f>
        <v>Orland Park, IL</v>
      </c>
      <c r="D522" s="17"/>
      <c r="E522" s="17">
        <f>IFERROR(__xludf.DUMMYFUNCTION("""COMPUTED_VALUE"""),3.12)</f>
        <v>3.12</v>
      </c>
      <c r="F522" s="27">
        <f>IFERROR(__xludf.DUMMYFUNCTION("""COMPUTED_VALUE"""),1.31)</f>
        <v>1.31</v>
      </c>
      <c r="G522" s="13">
        <f>IFERROR(__xludf.DUMMYFUNCTION("""COMPUTED_VALUE"""),0.0905)</f>
        <v>0.0905</v>
      </c>
    </row>
    <row r="523">
      <c r="A523" s="17" t="str">
        <f>IFERROR(__xludf.DUMMYFUNCTION("""COMPUTED_VALUE"""),"Walton Global Holdings")</f>
        <v>Walton Global Holdings</v>
      </c>
      <c r="B523" s="17" t="str">
        <f>IFERROR(__xludf.DUMMYFUNCTION("""COMPUTED_VALUE"""),"Red Oak Crossing")</f>
        <v>Red Oak Crossing</v>
      </c>
      <c r="C523" s="17" t="str">
        <f>IFERROR(__xludf.DUMMYFUNCTION("""COMPUTED_VALUE"""),"Dallas-Fort Worth, TX")</f>
        <v>Dallas-Fort Worth, TX</v>
      </c>
      <c r="D523" s="17" t="str">
        <f>IFERROR(__xludf.DUMMYFUNCTION("""COMPUTED_VALUE"""),"Land")</f>
        <v>Land</v>
      </c>
      <c r="E523" s="17">
        <f>IFERROR(__xludf.DUMMYFUNCTION("""COMPUTED_VALUE"""),12.75)</f>
        <v>12.75</v>
      </c>
      <c r="F523" s="27">
        <f>IFERROR(__xludf.DUMMYFUNCTION("""COMPUTED_VALUE"""),1.34)</f>
        <v>1.34</v>
      </c>
      <c r="G523" s="13">
        <f>IFERROR(__xludf.DUMMYFUNCTION("""COMPUTED_VALUE"""),0.0344)</f>
        <v>0.0344</v>
      </c>
    </row>
    <row r="524">
      <c r="A524" s="17" t="str">
        <f>IFERROR(__xludf.DUMMYFUNCTION("""COMPUTED_VALUE"""),"Time Equities")</f>
        <v>Time Equities</v>
      </c>
      <c r="B524" s="17" t="str">
        <f>IFERROR(__xludf.DUMMYFUNCTION("""COMPUTED_VALUE"""),"Renaissance Equities LLC")</f>
        <v>Renaissance Equities LLC</v>
      </c>
      <c r="C524" s="17" t="str">
        <f>IFERROR(__xludf.DUMMYFUNCTION("""COMPUTED_VALUE"""),"Oklahoma City, OK")</f>
        <v>Oklahoma City, OK</v>
      </c>
      <c r="D524" s="17" t="str">
        <f>IFERROR(__xludf.DUMMYFUNCTION("""COMPUTED_VALUE"""),"Multifamily")</f>
        <v>Multifamily</v>
      </c>
      <c r="E524" s="17">
        <f>IFERROR(__xludf.DUMMYFUNCTION("""COMPUTED_VALUE"""),2.7)</f>
        <v>2.7</v>
      </c>
      <c r="F524" s="17"/>
      <c r="G524" s="17"/>
    </row>
    <row r="525">
      <c r="A525" s="17" t="str">
        <f>IFERROR(__xludf.DUMMYFUNCTION("""COMPUTED_VALUE"""),"Bluerock")</f>
        <v>Bluerock</v>
      </c>
      <c r="B525" s="17" t="str">
        <f>IFERROR(__xludf.DUMMYFUNCTION("""COMPUTED_VALUE"""),"Renew 3030")</f>
        <v>Renew 3030</v>
      </c>
      <c r="C525" s="17" t="str">
        <f>IFERROR(__xludf.DUMMYFUNCTION("""COMPUTED_VALUE"""),"Mesa, AZ")</f>
        <v>Mesa, AZ</v>
      </c>
      <c r="D525" s="17" t="str">
        <f>IFERROR(__xludf.DUMMYFUNCTION("""COMPUTED_VALUE"""),"Multifamily")</f>
        <v>Multifamily</v>
      </c>
      <c r="E525" s="17">
        <f>IFERROR(__xludf.DUMMYFUNCTION("""COMPUTED_VALUE"""),1.17)</f>
        <v>1.17</v>
      </c>
      <c r="F525" s="27">
        <f>IFERROR(__xludf.DUMMYFUNCTION("""COMPUTED_VALUE"""),1.12)</f>
        <v>1.12</v>
      </c>
      <c r="G525" s="13">
        <f>IFERROR(__xludf.DUMMYFUNCTION("""COMPUTED_VALUE"""),0.1091)</f>
        <v>0.1091</v>
      </c>
    </row>
    <row r="526">
      <c r="A526" s="17" t="str">
        <f>IFERROR(__xludf.DUMMYFUNCTION("""COMPUTED_VALUE"""),"Walton Global Holdings")</f>
        <v>Walton Global Holdings</v>
      </c>
      <c r="B526" s="17" t="str">
        <f>IFERROR(__xludf.DUMMYFUNCTION("""COMPUTED_VALUE"""),"Reserve Club")</f>
        <v>Reserve Club</v>
      </c>
      <c r="C526" s="17" t="str">
        <f>IFERROR(__xludf.DUMMYFUNCTION("""COMPUTED_VALUE"""),"Atlanta, GA")</f>
        <v>Atlanta, GA</v>
      </c>
      <c r="D526" s="17" t="str">
        <f>IFERROR(__xludf.DUMMYFUNCTION("""COMPUTED_VALUE"""),"Land")</f>
        <v>Land</v>
      </c>
      <c r="E526" s="17">
        <f>IFERROR(__xludf.DUMMYFUNCTION("""COMPUTED_VALUE"""),6.03)</f>
        <v>6.03</v>
      </c>
      <c r="F526" s="27">
        <f>IFERROR(__xludf.DUMMYFUNCTION("""COMPUTED_VALUE"""),1.43)</f>
        <v>1.43</v>
      </c>
      <c r="G526" s="13">
        <f>IFERROR(__xludf.DUMMYFUNCTION("""COMPUTED_VALUE"""),0.08)</f>
        <v>0.08</v>
      </c>
    </row>
    <row r="527">
      <c r="A527" s="17" t="str">
        <f>IFERROR(__xludf.DUMMYFUNCTION("""COMPUTED_VALUE"""),"Peachtree Group")</f>
        <v>Peachtree Group</v>
      </c>
      <c r="B527" s="17" t="str">
        <f>IFERROR(__xludf.DUMMYFUNCTION("""COMPUTED_VALUE"""),"Residence Inn – Little Rock, AR")</f>
        <v>Residence Inn – Little Rock, AR</v>
      </c>
      <c r="C527" s="17" t="str">
        <f>IFERROR(__xludf.DUMMYFUNCTION("""COMPUTED_VALUE"""),"Little Rock, AR")</f>
        <v>Little Rock, AR</v>
      </c>
      <c r="D527" s="17" t="str">
        <f>IFERROR(__xludf.DUMMYFUNCTION("""COMPUTED_VALUE"""),"Hotel")</f>
        <v>Hotel</v>
      </c>
      <c r="E527" s="17">
        <f>IFERROR(__xludf.DUMMYFUNCTION("""COMPUTED_VALUE"""),5.02)</f>
        <v>5.02</v>
      </c>
      <c r="F527" s="27">
        <f>IFERROR(__xludf.DUMMYFUNCTION("""COMPUTED_VALUE"""),1.79)</f>
        <v>1.79</v>
      </c>
      <c r="G527" s="13">
        <f>IFERROR(__xludf.DUMMYFUNCTION("""COMPUTED_VALUE"""),0.153)</f>
        <v>0.153</v>
      </c>
    </row>
    <row r="528">
      <c r="A528" s="17" t="str">
        <f>IFERROR(__xludf.DUMMYFUNCTION("""COMPUTED_VALUE"""),"Peachtree Group")</f>
        <v>Peachtree Group</v>
      </c>
      <c r="B528" s="17" t="str">
        <f>IFERROR(__xludf.DUMMYFUNCTION("""COMPUTED_VALUE"""),"Residence Inn – Southern Pines, NC")</f>
        <v>Residence Inn – Southern Pines, NC</v>
      </c>
      <c r="C528" s="17" t="str">
        <f>IFERROR(__xludf.DUMMYFUNCTION("""COMPUTED_VALUE"""),"Southern Pines, NC")</f>
        <v>Southern Pines, NC</v>
      </c>
      <c r="D528" s="17" t="str">
        <f>IFERROR(__xludf.DUMMYFUNCTION("""COMPUTED_VALUE"""),"Hotel")</f>
        <v>Hotel</v>
      </c>
      <c r="E528" s="17">
        <f>IFERROR(__xludf.DUMMYFUNCTION("""COMPUTED_VALUE"""),6.48)</f>
        <v>6.48</v>
      </c>
      <c r="F528" s="27">
        <f>IFERROR(__xludf.DUMMYFUNCTION("""COMPUTED_VALUE"""),1.91)</f>
        <v>1.91</v>
      </c>
      <c r="G528" s="13">
        <f>IFERROR(__xludf.DUMMYFUNCTION("""COMPUTED_VALUE"""),0.113)</f>
        <v>0.113</v>
      </c>
    </row>
    <row r="529">
      <c r="A529" s="17" t="str">
        <f>IFERROR(__xludf.DUMMYFUNCTION("""COMPUTED_VALUE"""),"Syndicated Equities")</f>
        <v>Syndicated Equities</v>
      </c>
      <c r="B529" s="17" t="str">
        <f>IFERROR(__xludf.DUMMYFUNCTION("""COMPUTED_VALUE"""),"Retail Shopping Centers")</f>
        <v>Retail Shopping Centers</v>
      </c>
      <c r="C529" s="17" t="str">
        <f>IFERROR(__xludf.DUMMYFUNCTION("""COMPUTED_VALUE"""),"Indiana &amp; Kentucky")</f>
        <v>Indiana &amp; Kentucky</v>
      </c>
      <c r="D529" s="17"/>
      <c r="E529" s="17">
        <f>IFERROR(__xludf.DUMMYFUNCTION("""COMPUTED_VALUE"""),8.08)</f>
        <v>8.08</v>
      </c>
      <c r="F529" s="27">
        <f>IFERROR(__xludf.DUMMYFUNCTION("""COMPUTED_VALUE"""),0.32)</f>
        <v>0.32</v>
      </c>
      <c r="G529" s="13">
        <f>IFERROR(__xludf.DUMMYFUNCTION("""COMPUTED_VALUE"""),-0.1315)</f>
        <v>-0.1315</v>
      </c>
    </row>
    <row r="530">
      <c r="A530" s="17" t="str">
        <f>IFERROR(__xludf.DUMMYFUNCTION("""COMPUTED_VALUE"""),"Bluerock")</f>
        <v>Bluerock</v>
      </c>
      <c r="B530" s="17" t="str">
        <f>IFERROR(__xludf.DUMMYFUNCTION("""COMPUTED_VALUE"""),"Reunion Apartments")</f>
        <v>Reunion Apartments</v>
      </c>
      <c r="C530" s="17" t="str">
        <f>IFERROR(__xludf.DUMMYFUNCTION("""COMPUTED_VALUE"""),"Orlando, FL")</f>
        <v>Orlando, FL</v>
      </c>
      <c r="D530" s="17" t="str">
        <f>IFERROR(__xludf.DUMMYFUNCTION("""COMPUTED_VALUE"""),"Multifamily")</f>
        <v>Multifamily</v>
      </c>
      <c r="E530" s="17">
        <f>IFERROR(__xludf.DUMMYFUNCTION("""COMPUTED_VALUE"""),1.5)</f>
        <v>1.5</v>
      </c>
      <c r="F530" s="27">
        <f>IFERROR(__xludf.DUMMYFUNCTION("""COMPUTED_VALUE"""),1.25)</f>
        <v>1.25</v>
      </c>
      <c r="G530" s="13">
        <f>IFERROR(__xludf.DUMMYFUNCTION("""COMPUTED_VALUE"""),0.1919)</f>
        <v>0.1919</v>
      </c>
    </row>
    <row r="531">
      <c r="A531" s="17" t="str">
        <f>IFERROR(__xludf.DUMMYFUNCTION("""COMPUTED_VALUE"""),"Syndicated Equities")</f>
        <v>Syndicated Equities</v>
      </c>
      <c r="B531" s="17" t="str">
        <f>IFERROR(__xludf.DUMMYFUNCTION("""COMPUTED_VALUE"""),"Rio 21 and Texan 28 (UT)")</f>
        <v>Rio 21 and Texan 28 (UT)</v>
      </c>
      <c r="C531" s="17" t="str">
        <f>IFERROR(__xludf.DUMMYFUNCTION("""COMPUTED_VALUE"""),"Austin, TX")</f>
        <v>Austin, TX</v>
      </c>
      <c r="D531" s="17"/>
      <c r="E531" s="17">
        <f>IFERROR(__xludf.DUMMYFUNCTION("""COMPUTED_VALUE"""),8.12)</f>
        <v>8.12</v>
      </c>
      <c r="F531" s="27">
        <f>IFERROR(__xludf.DUMMYFUNCTION("""COMPUTED_VALUE"""),0.92)</f>
        <v>0.92</v>
      </c>
      <c r="G531" s="13">
        <f>IFERROR(__xludf.DUMMYFUNCTION("""COMPUTED_VALUE"""),-0.0102)</f>
        <v>-0.0102</v>
      </c>
    </row>
    <row r="532">
      <c r="A532" s="17" t="str">
        <f>IFERROR(__xludf.DUMMYFUNCTION("""COMPUTED_VALUE"""),"AEI Capital Corporation")</f>
        <v>AEI Capital Corporation</v>
      </c>
      <c r="B532" s="17" t="str">
        <f>IFERROR(__xludf.DUMMYFUNCTION("""COMPUTED_VALUE"""),"Rio Bravo")</f>
        <v>Rio Bravo</v>
      </c>
      <c r="C532" s="17" t="str">
        <f>IFERROR(__xludf.DUMMYFUNCTION("""COMPUTED_VALUE"""),"St. Paul, MN")</f>
        <v>St. Paul, MN</v>
      </c>
      <c r="D532" s="17" t="str">
        <f>IFERROR(__xludf.DUMMYFUNCTION("""COMPUTED_VALUE"""),"Net Lease")</f>
        <v>Net Lease</v>
      </c>
      <c r="E532" s="17">
        <f>IFERROR(__xludf.DUMMYFUNCTION("""COMPUTED_VALUE"""),9.81)</f>
        <v>9.81</v>
      </c>
      <c r="F532" s="27">
        <f>IFERROR(__xludf.DUMMYFUNCTION("""COMPUTED_VALUE"""),1.67)</f>
        <v>1.67</v>
      </c>
      <c r="G532" s="13">
        <f>IFERROR(__xludf.DUMMYFUNCTION("""COMPUTED_VALUE"""),0.0549)</f>
        <v>0.0549</v>
      </c>
    </row>
    <row r="533">
      <c r="A533" s="17" t="str">
        <f>IFERROR(__xludf.DUMMYFUNCTION("""COMPUTED_VALUE"""),"Syndicated Equities")</f>
        <v>Syndicated Equities</v>
      </c>
      <c r="B533" s="17" t="str">
        <f>IFERROR(__xludf.DUMMYFUNCTION("""COMPUTED_VALUE"""),"Rite Aid")</f>
        <v>Rite Aid</v>
      </c>
      <c r="C533" s="17" t="str">
        <f>IFERROR(__xludf.DUMMYFUNCTION("""COMPUTED_VALUE"""),"Youngstown, OH")</f>
        <v>Youngstown, OH</v>
      </c>
      <c r="D533" s="17"/>
      <c r="E533" s="17">
        <f>IFERROR(__xludf.DUMMYFUNCTION("""COMPUTED_VALUE"""),16.01)</f>
        <v>16.01</v>
      </c>
      <c r="F533" s="27">
        <f>IFERROR(__xludf.DUMMYFUNCTION("""COMPUTED_VALUE"""),2.6)</f>
        <v>2.6</v>
      </c>
      <c r="G533" s="13">
        <f>IFERROR(__xludf.DUMMYFUNCTION("""COMPUTED_VALUE"""),0.0615)</f>
        <v>0.0615</v>
      </c>
    </row>
    <row r="534">
      <c r="A534" s="17" t="str">
        <f>IFERROR(__xludf.DUMMYFUNCTION("""COMPUTED_VALUE"""),"AEI Capital Corporation")</f>
        <v>AEI Capital Corporation</v>
      </c>
      <c r="B534" s="17" t="str">
        <f>IFERROR(__xludf.DUMMYFUNCTION("""COMPUTED_VALUE"""),"Rite Aid")</f>
        <v>Rite Aid</v>
      </c>
      <c r="C534" s="17" t="str">
        <f>IFERROR(__xludf.DUMMYFUNCTION("""COMPUTED_VALUE"""),"Cicero, NY")</f>
        <v>Cicero, NY</v>
      </c>
      <c r="D534" s="17" t="str">
        <f>IFERROR(__xludf.DUMMYFUNCTION("""COMPUTED_VALUE"""),"Net Lease")</f>
        <v>Net Lease</v>
      </c>
      <c r="E534" s="17">
        <f>IFERROR(__xludf.DUMMYFUNCTION("""COMPUTED_VALUE"""),19.22)</f>
        <v>19.22</v>
      </c>
      <c r="F534" s="27">
        <f>IFERROR(__xludf.DUMMYFUNCTION("""COMPUTED_VALUE"""),1.25)</f>
        <v>1.25</v>
      </c>
      <c r="G534" s="13">
        <f>IFERROR(__xludf.DUMMYFUNCTION("""COMPUTED_VALUE"""),0.052)</f>
        <v>0.052</v>
      </c>
    </row>
    <row r="535">
      <c r="A535" s="17" t="str">
        <f>IFERROR(__xludf.DUMMYFUNCTION("""COMPUTED_VALUE"""),"Syndicated Equities")</f>
        <v>Syndicated Equities</v>
      </c>
      <c r="B535" s="17" t="str">
        <f>IFERROR(__xludf.DUMMYFUNCTION("""COMPUTED_VALUE"""),"River North Retail Development")</f>
        <v>River North Retail Development</v>
      </c>
      <c r="C535" s="17" t="str">
        <f>IFERROR(__xludf.DUMMYFUNCTION("""COMPUTED_VALUE"""),"Chicago, IL")</f>
        <v>Chicago, IL</v>
      </c>
      <c r="D535" s="17"/>
      <c r="E535" s="17">
        <f>IFERROR(__xludf.DUMMYFUNCTION("""COMPUTED_VALUE"""),6.91)</f>
        <v>6.91</v>
      </c>
      <c r="F535" s="27">
        <f>IFERROR(__xludf.DUMMYFUNCTION("""COMPUTED_VALUE"""),1.21)</f>
        <v>1.21</v>
      </c>
      <c r="G535" s="13">
        <f>IFERROR(__xludf.DUMMYFUNCTION("""COMPUTED_VALUE"""),0.028)</f>
        <v>0.028</v>
      </c>
    </row>
    <row r="536">
      <c r="A536" s="17" t="str">
        <f>IFERROR(__xludf.DUMMYFUNCTION("""COMPUTED_VALUE"""),"Walton Global Holdings")</f>
        <v>Walton Global Holdings</v>
      </c>
      <c r="B536" s="17" t="str">
        <f>IFERROR(__xludf.DUMMYFUNCTION("""COMPUTED_VALUE"""),"River Park")</f>
        <v>River Park</v>
      </c>
      <c r="C536" s="17" t="str">
        <f>IFERROR(__xludf.DUMMYFUNCTION("""COMPUTED_VALUE"""),"Charlotte, NC")</f>
        <v>Charlotte, NC</v>
      </c>
      <c r="D536" s="17" t="str">
        <f>IFERROR(__xludf.DUMMYFUNCTION("""COMPUTED_VALUE"""),"Land")</f>
        <v>Land</v>
      </c>
      <c r="E536" s="17">
        <f>IFERROR(__xludf.DUMMYFUNCTION("""COMPUTED_VALUE"""),5.5)</f>
        <v>5.5</v>
      </c>
      <c r="F536" s="27">
        <f>IFERROR(__xludf.DUMMYFUNCTION("""COMPUTED_VALUE"""),1.05)</f>
        <v>1.05</v>
      </c>
      <c r="G536" s="13">
        <f>IFERROR(__xludf.DUMMYFUNCTION("""COMPUTED_VALUE"""),0.0099)</f>
        <v>0.0099</v>
      </c>
    </row>
    <row r="537">
      <c r="A537" s="17" t="str">
        <f>IFERROR(__xludf.DUMMYFUNCTION("""COMPUTED_VALUE"""),"Walton Global Holdings")</f>
        <v>Walton Global Holdings</v>
      </c>
      <c r="B537" s="17" t="str">
        <f>IFERROR(__xludf.DUMMYFUNCTION("""COMPUTED_VALUE"""),"River Pointe")</f>
        <v>River Pointe</v>
      </c>
      <c r="C537" s="17" t="str">
        <f>IFERROR(__xludf.DUMMYFUNCTION("""COMPUTED_VALUE"""),"Charlotte, NC")</f>
        <v>Charlotte, NC</v>
      </c>
      <c r="D537" s="17" t="str">
        <f>IFERROR(__xludf.DUMMYFUNCTION("""COMPUTED_VALUE"""),"Land")</f>
        <v>Land</v>
      </c>
      <c r="E537" s="17">
        <f>IFERROR(__xludf.DUMMYFUNCTION("""COMPUTED_VALUE"""),5.98)</f>
        <v>5.98</v>
      </c>
      <c r="F537" s="27">
        <f>IFERROR(__xludf.DUMMYFUNCTION("""COMPUTED_VALUE"""),2.07)</f>
        <v>2.07</v>
      </c>
      <c r="G537" s="13">
        <f>IFERROR(__xludf.DUMMYFUNCTION("""COMPUTED_VALUE"""),0.3939)</f>
        <v>0.3939</v>
      </c>
    </row>
    <row r="538">
      <c r="A538" s="17" t="str">
        <f>IFERROR(__xludf.DUMMYFUNCTION("""COMPUTED_VALUE"""),"Walton Global Holdings")</f>
        <v>Walton Global Holdings</v>
      </c>
      <c r="B538" s="17" t="str">
        <f>IFERROR(__xludf.DUMMYFUNCTION("""COMPUTED_VALUE"""),"Riverbend West")</f>
        <v>Riverbend West</v>
      </c>
      <c r="C538" s="17" t="str">
        <f>IFERROR(__xludf.DUMMYFUNCTION("""COMPUTED_VALUE"""),"Rockford, IL")</f>
        <v>Rockford, IL</v>
      </c>
      <c r="D538" s="17" t="str">
        <f>IFERROR(__xludf.DUMMYFUNCTION("""COMPUTED_VALUE"""),"Land")</f>
        <v>Land</v>
      </c>
      <c r="E538" s="17">
        <f>IFERROR(__xludf.DUMMYFUNCTION("""COMPUTED_VALUE"""),6.03)</f>
        <v>6.03</v>
      </c>
      <c r="F538" s="27">
        <f>IFERROR(__xludf.DUMMYFUNCTION("""COMPUTED_VALUE"""),0.19)</f>
        <v>0.19</v>
      </c>
      <c r="G538" s="13">
        <f>IFERROR(__xludf.DUMMYFUNCTION("""COMPUTED_VALUE"""),-0.2407)</f>
        <v>-0.2407</v>
      </c>
    </row>
    <row r="539">
      <c r="A539" s="17" t="str">
        <f>IFERROR(__xludf.DUMMYFUNCTION("""COMPUTED_VALUE"""),"Bluerock")</f>
        <v>Bluerock</v>
      </c>
      <c r="B539" s="17" t="str">
        <f>IFERROR(__xludf.DUMMYFUNCTION("""COMPUTED_VALUE"""),"Riverside")</f>
        <v>Riverside</v>
      </c>
      <c r="C539" s="17" t="str">
        <f>IFERROR(__xludf.DUMMYFUNCTION("""COMPUTED_VALUE"""),"Jacksonville, FL")</f>
        <v>Jacksonville, FL</v>
      </c>
      <c r="D539" s="17" t="str">
        <f>IFERROR(__xludf.DUMMYFUNCTION("""COMPUTED_VALUE"""),"Multifamily")</f>
        <v>Multifamily</v>
      </c>
      <c r="E539" s="17">
        <f>IFERROR(__xludf.DUMMYFUNCTION("""COMPUTED_VALUE"""),5.5)</f>
        <v>5.5</v>
      </c>
      <c r="F539" s="27">
        <f>IFERROR(__xludf.DUMMYFUNCTION("""COMPUTED_VALUE"""),1.6)</f>
        <v>1.6</v>
      </c>
      <c r="G539" s="13">
        <f>IFERROR(__xludf.DUMMYFUNCTION("""COMPUTED_VALUE"""),0.11)</f>
        <v>0.11</v>
      </c>
    </row>
    <row r="540">
      <c r="A540" s="17" t="str">
        <f>IFERROR(__xludf.DUMMYFUNCTION("""COMPUTED_VALUE"""),"Bluerock")</f>
        <v>Bluerock</v>
      </c>
      <c r="B540" s="17" t="str">
        <f>IFERROR(__xludf.DUMMYFUNCTION("""COMPUTED_VALUE"""),"Riverside Apartments")</f>
        <v>Riverside Apartments</v>
      </c>
      <c r="C540" s="17" t="str">
        <f>IFERROR(__xludf.DUMMYFUNCTION("""COMPUTED_VALUE"""),"Austin, TX")</f>
        <v>Austin, TX</v>
      </c>
      <c r="D540" s="17" t="str">
        <f>IFERROR(__xludf.DUMMYFUNCTION("""COMPUTED_VALUE"""),"Multifamily")</f>
        <v>Multifamily</v>
      </c>
      <c r="E540" s="17">
        <f>IFERROR(__xludf.DUMMYFUNCTION("""COMPUTED_VALUE"""),2.0)</f>
        <v>2</v>
      </c>
      <c r="F540" s="27">
        <f>IFERROR(__xludf.DUMMYFUNCTION("""COMPUTED_VALUE"""),1.18)</f>
        <v>1.18</v>
      </c>
      <c r="G540" s="13">
        <f>IFERROR(__xludf.DUMMYFUNCTION("""COMPUTED_VALUE"""),0.131)</f>
        <v>0.131</v>
      </c>
    </row>
    <row r="541">
      <c r="A541" s="17" t="str">
        <f>IFERROR(__xludf.DUMMYFUNCTION("""COMPUTED_VALUE"""),"Syndicated Equities")</f>
        <v>Syndicated Equities</v>
      </c>
      <c r="B541" s="17" t="str">
        <f>IFERROR(__xludf.DUMMYFUNCTION("""COMPUTED_VALUE"""),"Riverstone Apartments")</f>
        <v>Riverstone Apartments</v>
      </c>
      <c r="C541" s="17" t="str">
        <f>IFERROR(__xludf.DUMMYFUNCTION("""COMPUTED_VALUE"""),"Kansas City, MO")</f>
        <v>Kansas City, MO</v>
      </c>
      <c r="D541" s="17"/>
      <c r="E541" s="17">
        <f>IFERROR(__xludf.DUMMYFUNCTION("""COMPUTED_VALUE"""),3.29)</f>
        <v>3.29</v>
      </c>
      <c r="F541" s="27">
        <f>IFERROR(__xludf.DUMMYFUNCTION("""COMPUTED_VALUE"""),1.5)</f>
        <v>1.5</v>
      </c>
      <c r="G541" s="13">
        <f>IFERROR(__xludf.DUMMYFUNCTION("""COMPUTED_VALUE"""),0.1312)</f>
        <v>0.1312</v>
      </c>
    </row>
    <row r="542">
      <c r="A542" s="17" t="str">
        <f>IFERROR(__xludf.DUMMYFUNCTION("""COMPUTED_VALUE"""),"Denholtz")</f>
        <v>Denholtz</v>
      </c>
      <c r="B542" s="17" t="str">
        <f>IFERROR(__xludf.DUMMYFUNCTION("""COMPUTED_VALUE"""),"Riviera Beach")</f>
        <v>Riviera Beach</v>
      </c>
      <c r="C542" s="17" t="str">
        <f>IFERROR(__xludf.DUMMYFUNCTION("""COMPUTED_VALUE"""),"Riviera Beach, FL")</f>
        <v>Riviera Beach, FL</v>
      </c>
      <c r="D542" s="17" t="str">
        <f>IFERROR(__xludf.DUMMYFUNCTION("""COMPUTED_VALUE"""),"Industrial")</f>
        <v>Industrial</v>
      </c>
      <c r="E542" s="17">
        <f>IFERROR(__xludf.DUMMYFUNCTION("""COMPUTED_VALUE"""),3.42)</f>
        <v>3.42</v>
      </c>
      <c r="F542" s="27">
        <f>IFERROR(__xludf.DUMMYFUNCTION("""COMPUTED_VALUE"""),1.29)</f>
        <v>1.29</v>
      </c>
      <c r="G542" s="13">
        <f>IFERROR(__xludf.DUMMYFUNCTION("""COMPUTED_VALUE"""),0.0785)</f>
        <v>0.0785</v>
      </c>
    </row>
    <row r="543">
      <c r="A543" s="17" t="str">
        <f>IFERROR(__xludf.DUMMYFUNCTION("""COMPUTED_VALUE"""),"Bluerock")</f>
        <v>Bluerock</v>
      </c>
      <c r="B543" s="17" t="str">
        <f>IFERROR(__xludf.DUMMYFUNCTION("""COMPUTED_VALUE"""),"Roswell City Walk")</f>
        <v>Roswell City Walk</v>
      </c>
      <c r="C543" s="17" t="str">
        <f>IFERROR(__xludf.DUMMYFUNCTION("""COMPUTED_VALUE"""),"Roswell, GA")</f>
        <v>Roswell, GA</v>
      </c>
      <c r="D543" s="17" t="str">
        <f>IFERROR(__xludf.DUMMYFUNCTION("""COMPUTED_VALUE"""),"Multifamily")</f>
        <v>Multifamily</v>
      </c>
      <c r="E543" s="17">
        <f>IFERROR(__xludf.DUMMYFUNCTION("""COMPUTED_VALUE"""),5.83)</f>
        <v>5.83</v>
      </c>
      <c r="F543" s="27">
        <f>IFERROR(__xludf.DUMMYFUNCTION("""COMPUTED_VALUE"""),3.07)</f>
        <v>3.07</v>
      </c>
      <c r="G543" s="13">
        <f>IFERROR(__xludf.DUMMYFUNCTION("""COMPUTED_VALUE"""),0.2491)</f>
        <v>0.2491</v>
      </c>
    </row>
    <row r="544">
      <c r="A544" s="17" t="str">
        <f>IFERROR(__xludf.DUMMYFUNCTION("""COMPUTED_VALUE"""),"Inland")</f>
        <v>Inland</v>
      </c>
      <c r="B544" s="17" t="str">
        <f>IFERROR(__xludf.DUMMYFUNCTION("""COMPUTED_VALUE"""),"RR-HV Venture Holdings DST")</f>
        <v>RR-HV Venture Holdings DST</v>
      </c>
      <c r="C544" s="17"/>
      <c r="D544" s="17" t="str">
        <f>IFERROR(__xludf.DUMMYFUNCTION("""COMPUTED_VALUE"""),"Office")</f>
        <v>Office</v>
      </c>
      <c r="E544" s="17">
        <f>IFERROR(__xludf.DUMMYFUNCTION("""COMPUTED_VALUE"""),11.13)</f>
        <v>11.13</v>
      </c>
      <c r="F544" s="27">
        <f>IFERROR(__xludf.DUMMYFUNCTION("""COMPUTED_VALUE"""),1.85)</f>
        <v>1.85</v>
      </c>
      <c r="G544" s="13">
        <f>IFERROR(__xludf.DUMMYFUNCTION("""COMPUTED_VALUE"""),0.0753)</f>
        <v>0.0753</v>
      </c>
    </row>
    <row r="545">
      <c r="A545" s="17" t="str">
        <f>IFERROR(__xludf.DUMMYFUNCTION("""COMPUTED_VALUE"""),"Syndicated Equities")</f>
        <v>Syndicated Equities</v>
      </c>
      <c r="B545" s="17" t="str">
        <f>IFERROR(__xludf.DUMMYFUNCTION("""COMPUTED_VALUE"""),"Rush-Copley")</f>
        <v>Rush-Copley</v>
      </c>
      <c r="C545" s="17" t="str">
        <f>IFERROR(__xludf.DUMMYFUNCTION("""COMPUTED_VALUE"""),"Aurora, IL")</f>
        <v>Aurora, IL</v>
      </c>
      <c r="D545" s="17"/>
      <c r="E545" s="17">
        <f>IFERROR(__xludf.DUMMYFUNCTION("""COMPUTED_VALUE"""),9.82)</f>
        <v>9.82</v>
      </c>
      <c r="F545" s="27">
        <f>IFERROR(__xludf.DUMMYFUNCTION("""COMPUTED_VALUE"""),0.42)</f>
        <v>0.42</v>
      </c>
      <c r="G545" s="13">
        <f>IFERROR(__xludf.DUMMYFUNCTION("""COMPUTED_VALUE"""),-0.0845)</f>
        <v>-0.0845</v>
      </c>
    </row>
    <row r="546">
      <c r="A546" s="17" t="str">
        <f>IFERROR(__xludf.DUMMYFUNCTION("""COMPUTED_VALUE"""),"Inland")</f>
        <v>Inland</v>
      </c>
      <c r="B546" s="17" t="str">
        <f>IFERROR(__xludf.DUMMYFUNCTION("""COMPUTED_VALUE"""),"San Antonio Multifamily DST")</f>
        <v>San Antonio Multifamily DST</v>
      </c>
      <c r="C546" s="17"/>
      <c r="D546" s="17" t="str">
        <f>IFERROR(__xludf.DUMMYFUNCTION("""COMPUTED_VALUE"""),"Multifamily")</f>
        <v>Multifamily</v>
      </c>
      <c r="E546" s="17">
        <f>IFERROR(__xludf.DUMMYFUNCTION("""COMPUTED_VALUE"""),4.67)</f>
        <v>4.67</v>
      </c>
      <c r="F546" s="27">
        <f>IFERROR(__xludf.DUMMYFUNCTION("""COMPUTED_VALUE"""),0.89)</f>
        <v>0.89</v>
      </c>
      <c r="G546" s="13">
        <f>IFERROR(__xludf.DUMMYFUNCTION("""COMPUTED_VALUE"""),-0.0286)</f>
        <v>-0.0286</v>
      </c>
    </row>
    <row r="547">
      <c r="A547" s="17" t="str">
        <f>IFERROR(__xludf.DUMMYFUNCTION("""COMPUTED_VALUE"""),"Inland")</f>
        <v>Inland</v>
      </c>
      <c r="B547" s="17" t="str">
        <f>IFERROR(__xludf.DUMMYFUNCTION("""COMPUTED_VALUE"""),"San Antonio Multifamily II DST")</f>
        <v>San Antonio Multifamily II DST</v>
      </c>
      <c r="C547" s="17"/>
      <c r="D547" s="17" t="str">
        <f>IFERROR(__xludf.DUMMYFUNCTION("""COMPUTED_VALUE"""),"Multifamily")</f>
        <v>Multifamily</v>
      </c>
      <c r="E547" s="17">
        <f>IFERROR(__xludf.DUMMYFUNCTION("""COMPUTED_VALUE"""),4.58)</f>
        <v>4.58</v>
      </c>
      <c r="F547" s="27">
        <f>IFERROR(__xludf.DUMMYFUNCTION("""COMPUTED_VALUE"""),1.13)</f>
        <v>1.13</v>
      </c>
      <c r="G547" s="13">
        <f>IFERROR(__xludf.DUMMYFUNCTION("""COMPUTED_VALUE"""),0.0306)</f>
        <v>0.0306</v>
      </c>
    </row>
    <row r="548">
      <c r="A548" s="17" t="str">
        <f>IFERROR(__xludf.DUMMYFUNCTION("""COMPUTED_VALUE"""),"Walton Global Holdings")</f>
        <v>Walton Global Holdings</v>
      </c>
      <c r="B548" s="17" t="str">
        <f>IFERROR(__xludf.DUMMYFUNCTION("""COMPUTED_VALUE"""),"Sandia Troon")</f>
        <v>Sandia Troon</v>
      </c>
      <c r="C548" s="17" t="str">
        <f>IFERROR(__xludf.DUMMYFUNCTION("""COMPUTED_VALUE"""),"Phoenix, AZ")</f>
        <v>Phoenix, AZ</v>
      </c>
      <c r="D548" s="17" t="str">
        <f>IFERROR(__xludf.DUMMYFUNCTION("""COMPUTED_VALUE"""),"Land")</f>
        <v>Land</v>
      </c>
      <c r="E548" s="17">
        <f>IFERROR(__xludf.DUMMYFUNCTION("""COMPUTED_VALUE"""),4.54)</f>
        <v>4.54</v>
      </c>
      <c r="F548" s="27">
        <f>IFERROR(__xludf.DUMMYFUNCTION("""COMPUTED_VALUE"""),1.31)</f>
        <v>1.31</v>
      </c>
      <c r="G548" s="13">
        <f>IFERROR(__xludf.DUMMYFUNCTION("""COMPUTED_VALUE"""),0.08)</f>
        <v>0.08</v>
      </c>
    </row>
    <row r="549">
      <c r="A549" s="17" t="str">
        <f>IFERROR(__xludf.DUMMYFUNCTION("""COMPUTED_VALUE"""),"Bluerock")</f>
        <v>Bluerock</v>
      </c>
      <c r="B549" s="17" t="str">
        <f>IFERROR(__xludf.DUMMYFUNCTION("""COMPUTED_VALUE"""),"Sands Parc")</f>
        <v>Sands Parc</v>
      </c>
      <c r="C549" s="17" t="str">
        <f>IFERROR(__xludf.DUMMYFUNCTION("""COMPUTED_VALUE"""),"Daytona Beach, FL")</f>
        <v>Daytona Beach, FL</v>
      </c>
      <c r="D549" s="17" t="str">
        <f>IFERROR(__xludf.DUMMYFUNCTION("""COMPUTED_VALUE"""),"Multifamily")</f>
        <v>Multifamily</v>
      </c>
      <c r="E549" s="17">
        <f>IFERROR(__xludf.DUMMYFUNCTION("""COMPUTED_VALUE"""),4.33)</f>
        <v>4.33</v>
      </c>
      <c r="F549" s="27">
        <f>IFERROR(__xludf.DUMMYFUNCTION("""COMPUTED_VALUE"""),1.6)</f>
        <v>1.6</v>
      </c>
      <c r="G549" s="13">
        <f>IFERROR(__xludf.DUMMYFUNCTION("""COMPUTED_VALUE"""),0.1616)</f>
        <v>0.1616</v>
      </c>
    </row>
    <row r="550">
      <c r="A550" s="17" t="str">
        <f>IFERROR(__xludf.DUMMYFUNCTION("""COMPUTED_VALUE"""),"Inland")</f>
        <v>Inland</v>
      </c>
      <c r="B550" s="17" t="str">
        <f>IFERROR(__xludf.DUMMYFUNCTION("""COMPUTED_VALUE"""),"Scarborough Medical DST")</f>
        <v>Scarborough Medical DST</v>
      </c>
      <c r="C550" s="17"/>
      <c r="D550" s="17" t="str">
        <f>IFERROR(__xludf.DUMMYFUNCTION("""COMPUTED_VALUE"""),"Healthcare")</f>
        <v>Healthcare</v>
      </c>
      <c r="E550" s="17">
        <f>IFERROR(__xludf.DUMMYFUNCTION("""COMPUTED_VALUE"""),9.5)</f>
        <v>9.5</v>
      </c>
      <c r="F550" s="27">
        <f>IFERROR(__xludf.DUMMYFUNCTION("""COMPUTED_VALUE"""),2.12)</f>
        <v>2.12</v>
      </c>
      <c r="G550" s="13">
        <f>IFERROR(__xludf.DUMMYFUNCTION("""COMPUTED_VALUE"""),0.1016)</f>
        <v>0.1016</v>
      </c>
    </row>
    <row r="551">
      <c r="A551" s="17" t="str">
        <f>IFERROR(__xludf.DUMMYFUNCTION("""COMPUTED_VALUE"""),"Inland")</f>
        <v>Inland</v>
      </c>
      <c r="B551" s="17" t="str">
        <f>IFERROR(__xludf.DUMMYFUNCTION("""COMPUTED_VALUE"""),"Schaumburg Childcare DST")</f>
        <v>Schaumburg Childcare DST</v>
      </c>
      <c r="C551" s="17"/>
      <c r="D551" s="17" t="str">
        <f>IFERROR(__xludf.DUMMYFUNCTION("""COMPUTED_VALUE"""),"Office")</f>
        <v>Office</v>
      </c>
      <c r="E551" s="17">
        <f>IFERROR(__xludf.DUMMYFUNCTION("""COMPUTED_VALUE"""),9.33)</f>
        <v>9.33</v>
      </c>
      <c r="F551" s="27">
        <f>IFERROR(__xludf.DUMMYFUNCTION("""COMPUTED_VALUE"""),1.29)</f>
        <v>1.29</v>
      </c>
      <c r="G551" s="13">
        <f>IFERROR(__xludf.DUMMYFUNCTION("""COMPUTED_VALUE"""),0.0319)</f>
        <v>0.0319</v>
      </c>
    </row>
    <row r="552">
      <c r="A552" s="17" t="str">
        <f>IFERROR(__xludf.DUMMYFUNCTION("""COMPUTED_VALUE"""),"Syndicated Equities")</f>
        <v>Syndicated Equities</v>
      </c>
      <c r="B552" s="17" t="str">
        <f>IFERROR(__xludf.DUMMYFUNCTION("""COMPUTED_VALUE"""),"Sears Sterling")</f>
        <v>Sears Sterling</v>
      </c>
      <c r="C552" s="17" t="str">
        <f>IFERROR(__xludf.DUMMYFUNCTION("""COMPUTED_VALUE"""),"Lombard, IL")</f>
        <v>Lombard, IL</v>
      </c>
      <c r="D552" s="17"/>
      <c r="E552" s="17">
        <f>IFERROR(__xludf.DUMMYFUNCTION("""COMPUTED_VALUE"""),15.23)</f>
        <v>15.23</v>
      </c>
      <c r="F552" s="27">
        <f>IFERROR(__xludf.DUMMYFUNCTION("""COMPUTED_VALUE"""),3.11)</f>
        <v>3.11</v>
      </c>
      <c r="G552" s="13">
        <f>IFERROR(__xludf.DUMMYFUNCTION("""COMPUTED_VALUE"""),0.0774)</f>
        <v>0.0774</v>
      </c>
    </row>
    <row r="553">
      <c r="A553" s="17" t="str">
        <f>IFERROR(__xludf.DUMMYFUNCTION("""COMPUTED_VALUE"""),"Walton Global Holdings")</f>
        <v>Walton Global Holdings</v>
      </c>
      <c r="B553" s="17" t="str">
        <f>IFERROR(__xludf.DUMMYFUNCTION("""COMPUTED_VALUE"""),"Seasons at Pendergrass UDI")</f>
        <v>Seasons at Pendergrass UDI</v>
      </c>
      <c r="C553" s="17" t="str">
        <f>IFERROR(__xludf.DUMMYFUNCTION("""COMPUTED_VALUE"""),"Atlanta, GA")</f>
        <v>Atlanta, GA</v>
      </c>
      <c r="D553" s="17" t="str">
        <f>IFERROR(__xludf.DUMMYFUNCTION("""COMPUTED_VALUE"""),"Land")</f>
        <v>Land</v>
      </c>
      <c r="E553" s="17">
        <f>IFERROR(__xludf.DUMMYFUNCTION("""COMPUTED_VALUE"""),0.94)</f>
        <v>0.94</v>
      </c>
      <c r="F553" s="27">
        <f>IFERROR(__xludf.DUMMYFUNCTION("""COMPUTED_VALUE"""),1.18)</f>
        <v>1.18</v>
      </c>
      <c r="G553" s="13">
        <f>IFERROR(__xludf.DUMMYFUNCTION("""COMPUTED_VALUE"""),0.1909)</f>
        <v>0.1909</v>
      </c>
    </row>
    <row r="554">
      <c r="A554" s="17" t="str">
        <f>IFERROR(__xludf.DUMMYFUNCTION("""COMPUTED_VALUE"""),"Walton Global Holdings")</f>
        <v>Walton Global Holdings</v>
      </c>
      <c r="B554" s="17" t="str">
        <f>IFERROR(__xludf.DUMMYFUNCTION("""COMPUTED_VALUE"""),"Seasons of Pendergrass")</f>
        <v>Seasons of Pendergrass</v>
      </c>
      <c r="C554" s="17" t="str">
        <f>IFERROR(__xludf.DUMMYFUNCTION("""COMPUTED_VALUE"""),"Atlanta, GA")</f>
        <v>Atlanta, GA</v>
      </c>
      <c r="D554" s="17" t="str">
        <f>IFERROR(__xludf.DUMMYFUNCTION("""COMPUTED_VALUE"""),"Land")</f>
        <v>Land</v>
      </c>
      <c r="E554" s="17">
        <f>IFERROR(__xludf.DUMMYFUNCTION("""COMPUTED_VALUE"""),1.68)</f>
        <v>1.68</v>
      </c>
      <c r="F554" s="27">
        <f>IFERROR(__xludf.DUMMYFUNCTION("""COMPUTED_VALUE"""),3.22)</f>
        <v>3.22</v>
      </c>
      <c r="G554" s="13">
        <f>IFERROR(__xludf.DUMMYFUNCTION("""COMPUTED_VALUE"""),1.3072)</f>
        <v>1.3072</v>
      </c>
    </row>
    <row r="555">
      <c r="A555" s="17" t="str">
        <f>IFERROR(__xludf.DUMMYFUNCTION("""COMPUTED_VALUE"""),"Walton Global Holdings")</f>
        <v>Walton Global Holdings</v>
      </c>
      <c r="B555" s="17" t="str">
        <f>IFERROR(__xludf.DUMMYFUNCTION("""COMPUTED_VALUE"""),"Sekani West")</f>
        <v>Sekani West</v>
      </c>
      <c r="C555" s="17" t="str">
        <f>IFERROR(__xludf.DUMMYFUNCTION("""COMPUTED_VALUE"""),"Spokane, WA")</f>
        <v>Spokane, WA</v>
      </c>
      <c r="D555" s="17" t="str">
        <f>IFERROR(__xludf.DUMMYFUNCTION("""COMPUTED_VALUE"""),"Land")</f>
        <v>Land</v>
      </c>
      <c r="E555" s="17">
        <f>IFERROR(__xludf.DUMMYFUNCTION("""COMPUTED_VALUE"""),2.19)</f>
        <v>2.19</v>
      </c>
      <c r="F555" s="27">
        <f>IFERROR(__xludf.DUMMYFUNCTION("""COMPUTED_VALUE"""),1.25)</f>
        <v>1.25</v>
      </c>
      <c r="G555" s="13">
        <f>IFERROR(__xludf.DUMMYFUNCTION("""COMPUTED_VALUE"""),0.091)</f>
        <v>0.091</v>
      </c>
    </row>
    <row r="556">
      <c r="A556" s="17" t="str">
        <f>IFERROR(__xludf.DUMMYFUNCTION("""COMPUTED_VALUE"""),"Inland")</f>
        <v>Inland</v>
      </c>
      <c r="B556" s="17" t="str">
        <f>IFERROR(__xludf.DUMMYFUNCTION("""COMPUTED_VALUE"""),"Self-Storage Portfolio I DST")</f>
        <v>Self-Storage Portfolio I DST</v>
      </c>
      <c r="C556" s="17"/>
      <c r="D556" s="17" t="str">
        <f>IFERROR(__xludf.DUMMYFUNCTION("""COMPUTED_VALUE"""),"Self-Storage")</f>
        <v>Self-Storage</v>
      </c>
      <c r="E556" s="17">
        <f>IFERROR(__xludf.DUMMYFUNCTION("""COMPUTED_VALUE"""),5.55)</f>
        <v>5.55</v>
      </c>
      <c r="F556" s="27">
        <f>IFERROR(__xludf.DUMMYFUNCTION("""COMPUTED_VALUE"""),1.61)</f>
        <v>1.61</v>
      </c>
      <c r="G556" s="13">
        <f>IFERROR(__xludf.DUMMYFUNCTION("""COMPUTED_VALUE"""),0.1007)</f>
        <v>0.1007</v>
      </c>
    </row>
    <row r="557">
      <c r="A557" s="17" t="str">
        <f>IFERROR(__xludf.DUMMYFUNCTION("""COMPUTED_VALUE"""),"Inland")</f>
        <v>Inland</v>
      </c>
      <c r="B557" s="17" t="str">
        <f>IFERROR(__xludf.DUMMYFUNCTION("""COMPUTED_VALUE"""),"Self-Storage Portfolio II DST")</f>
        <v>Self-Storage Portfolio II DST</v>
      </c>
      <c r="C557" s="17"/>
      <c r="D557" s="17" t="str">
        <f>IFERROR(__xludf.DUMMYFUNCTION("""COMPUTED_VALUE"""),"Self-Storage")</f>
        <v>Self-Storage</v>
      </c>
      <c r="E557" s="17">
        <f>IFERROR(__xludf.DUMMYFUNCTION("""COMPUTED_VALUE"""),4.97)</f>
        <v>4.97</v>
      </c>
      <c r="F557" s="27">
        <f>IFERROR(__xludf.DUMMYFUNCTION("""COMPUTED_VALUE"""),1.83)</f>
        <v>1.83</v>
      </c>
      <c r="G557" s="13">
        <f>IFERROR(__xludf.DUMMYFUNCTION("""COMPUTED_VALUE"""),0.1431)</f>
        <v>0.1431</v>
      </c>
    </row>
    <row r="558">
      <c r="A558" s="17" t="str">
        <f>IFERROR(__xludf.DUMMYFUNCTION("""COMPUTED_VALUE"""),"Inland")</f>
        <v>Inland</v>
      </c>
      <c r="B558" s="17" t="str">
        <f>IFERROR(__xludf.DUMMYFUNCTION("""COMPUTED_VALUE"""),"Self-Storage Portfolio IV DST")</f>
        <v>Self-Storage Portfolio IV DST</v>
      </c>
      <c r="C558" s="17"/>
      <c r="D558" s="17" t="str">
        <f>IFERROR(__xludf.DUMMYFUNCTION("""COMPUTED_VALUE"""),"Self-Storage")</f>
        <v>Self-Storage</v>
      </c>
      <c r="E558" s="17">
        <f>IFERROR(__xludf.DUMMYFUNCTION("""COMPUTED_VALUE"""),4.58)</f>
        <v>4.58</v>
      </c>
      <c r="F558" s="27">
        <f>IFERROR(__xludf.DUMMYFUNCTION("""COMPUTED_VALUE"""),1.76)</f>
        <v>1.76</v>
      </c>
      <c r="G558" s="13">
        <f>IFERROR(__xludf.DUMMYFUNCTION("""COMPUTED_VALUE"""),0.1467)</f>
        <v>0.1467</v>
      </c>
    </row>
    <row r="559">
      <c r="A559" s="17" t="str">
        <f>IFERROR(__xludf.DUMMYFUNCTION("""COMPUTED_VALUE"""),"Inland")</f>
        <v>Inland</v>
      </c>
      <c r="B559" s="17" t="str">
        <f>IFERROR(__xludf.DUMMYFUNCTION("""COMPUTED_VALUE"""),"Self-Storage Portfolio V DST")</f>
        <v>Self-Storage Portfolio V DST</v>
      </c>
      <c r="C559" s="17"/>
      <c r="D559" s="17" t="str">
        <f>IFERROR(__xludf.DUMMYFUNCTION("""COMPUTED_VALUE"""),"Self-Storage")</f>
        <v>Self-Storage</v>
      </c>
      <c r="E559" s="17">
        <f>IFERROR(__xludf.DUMMYFUNCTION("""COMPUTED_VALUE"""),6.75)</f>
        <v>6.75</v>
      </c>
      <c r="F559" s="27">
        <f>IFERROR(__xludf.DUMMYFUNCTION("""COMPUTED_VALUE"""),1.93)</f>
        <v>1.93</v>
      </c>
      <c r="G559" s="13">
        <f>IFERROR(__xludf.DUMMYFUNCTION("""COMPUTED_VALUE"""),0.1044)</f>
        <v>0.1044</v>
      </c>
    </row>
    <row r="560">
      <c r="A560" s="17" t="str">
        <f>IFERROR(__xludf.DUMMYFUNCTION("""COMPUTED_VALUE"""),"Inland")</f>
        <v>Inland</v>
      </c>
      <c r="B560" s="17" t="str">
        <f>IFERROR(__xludf.DUMMYFUNCTION("""COMPUTED_VALUE"""),"Sentry Office Building DBT")</f>
        <v>Sentry Office Building DBT</v>
      </c>
      <c r="C560" s="17"/>
      <c r="D560" s="17" t="str">
        <f>IFERROR(__xludf.DUMMYFUNCTION("""COMPUTED_VALUE"""),"Office")</f>
        <v>Office</v>
      </c>
      <c r="E560" s="17">
        <f>IFERROR(__xludf.DUMMYFUNCTION("""COMPUTED_VALUE"""),17.65)</f>
        <v>17.65</v>
      </c>
      <c r="F560" s="27">
        <f>IFERROR(__xludf.DUMMYFUNCTION("""COMPUTED_VALUE"""),2.29)</f>
        <v>2.29</v>
      </c>
      <c r="G560" s="13">
        <f>IFERROR(__xludf.DUMMYFUNCTION("""COMPUTED_VALUE"""),0.099)</f>
        <v>0.099</v>
      </c>
    </row>
    <row r="561">
      <c r="A561" s="17" t="str">
        <f>IFERROR(__xludf.DUMMYFUNCTION("""COMPUTED_VALUE"""),"Syndicated Equities")</f>
        <v>Syndicated Equities</v>
      </c>
      <c r="B561" s="17" t="str">
        <f>IFERROR(__xludf.DUMMYFUNCTION("""COMPUTED_VALUE"""),"Severance Town Center")</f>
        <v>Severance Town Center</v>
      </c>
      <c r="C561" s="17" t="str">
        <f>IFERROR(__xludf.DUMMYFUNCTION("""COMPUTED_VALUE"""),"Cleveland Heights, OH")</f>
        <v>Cleveland Heights, OH</v>
      </c>
      <c r="D561" s="17"/>
      <c r="E561" s="17">
        <f>IFERROR(__xludf.DUMMYFUNCTION("""COMPUTED_VALUE"""),11.75)</f>
        <v>11.75</v>
      </c>
      <c r="F561" s="27">
        <f>IFERROR(__xludf.DUMMYFUNCTION("""COMPUTED_VALUE"""),0.58)</f>
        <v>0.58</v>
      </c>
      <c r="G561" s="13">
        <f>IFERROR(__xludf.DUMMYFUNCTION("""COMPUTED_VALUE"""),-0.0453)</f>
        <v>-0.0453</v>
      </c>
    </row>
    <row r="562">
      <c r="A562" s="17" t="str">
        <f>IFERROR(__xludf.DUMMYFUNCTION("""COMPUTED_VALUE"""),"Time Equities")</f>
        <v>Time Equities</v>
      </c>
      <c r="B562" s="17" t="str">
        <f>IFERROR(__xludf.DUMMYFUNCTION("""COMPUTED_VALUE"""),"Shadow Ridge Growth Fund LP")</f>
        <v>Shadow Ridge Growth Fund LP</v>
      </c>
      <c r="C562" s="17" t="str">
        <f>IFERROR(__xludf.DUMMYFUNCTION("""COMPUTED_VALUE"""),"LaVista, NE")</f>
        <v>LaVista, NE</v>
      </c>
      <c r="D562" s="17" t="str">
        <f>IFERROR(__xludf.DUMMYFUNCTION("""COMPUTED_VALUE"""),"Multifamily")</f>
        <v>Multifamily</v>
      </c>
      <c r="E562" s="17">
        <f>IFERROR(__xludf.DUMMYFUNCTION("""COMPUTED_VALUE"""),13.14)</f>
        <v>13.14</v>
      </c>
      <c r="F562" s="27">
        <f>IFERROR(__xludf.DUMMYFUNCTION("""COMPUTED_VALUE"""),2.7)</f>
        <v>2.7</v>
      </c>
      <c r="G562" s="13">
        <f>IFERROR(__xludf.DUMMYFUNCTION("""COMPUTED_VALUE"""),0.1555)</f>
        <v>0.1555</v>
      </c>
    </row>
    <row r="563">
      <c r="A563" s="17" t="str">
        <f>IFERROR(__xludf.DUMMYFUNCTION("""COMPUTED_VALUE"""),"Peachtree Group")</f>
        <v>Peachtree Group</v>
      </c>
      <c r="B563" s="17" t="str">
        <f>IFERROR(__xludf.DUMMYFUNCTION("""COMPUTED_VALUE"""),"Sheraton – Jacksonville, FL")</f>
        <v>Sheraton – Jacksonville, FL</v>
      </c>
      <c r="C563" s="17" t="str">
        <f>IFERROR(__xludf.DUMMYFUNCTION("""COMPUTED_VALUE"""),"Jacksonville, FL")</f>
        <v>Jacksonville, FL</v>
      </c>
      <c r="D563" s="17" t="str">
        <f>IFERROR(__xludf.DUMMYFUNCTION("""COMPUTED_VALUE"""),"Hotel")</f>
        <v>Hotel</v>
      </c>
      <c r="E563" s="17">
        <f>IFERROR(__xludf.DUMMYFUNCTION("""COMPUTED_VALUE"""),3.41)</f>
        <v>3.41</v>
      </c>
      <c r="F563" s="27">
        <f>IFERROR(__xludf.DUMMYFUNCTION("""COMPUTED_VALUE"""),2.2)</f>
        <v>2.2</v>
      </c>
      <c r="G563" s="13">
        <f>IFERROR(__xludf.DUMMYFUNCTION("""COMPUTED_VALUE"""),0.282)</f>
        <v>0.282</v>
      </c>
    </row>
    <row r="564">
      <c r="A564" s="17" t="str">
        <f>IFERROR(__xludf.DUMMYFUNCTION("""COMPUTED_VALUE"""),"Syndicated Equities")</f>
        <v>Syndicated Equities</v>
      </c>
      <c r="B564" s="17" t="str">
        <f>IFERROR(__xludf.DUMMYFUNCTION("""COMPUTED_VALUE"""),"Shops of Beverly")</f>
        <v>Shops of Beverly</v>
      </c>
      <c r="C564" s="17" t="str">
        <f>IFERROR(__xludf.DUMMYFUNCTION("""COMPUTED_VALUE"""),"Beverly, IL")</f>
        <v>Beverly, IL</v>
      </c>
      <c r="D564" s="17"/>
      <c r="E564" s="17">
        <f>IFERROR(__xludf.DUMMYFUNCTION("""COMPUTED_VALUE"""),11.61)</f>
        <v>11.61</v>
      </c>
      <c r="F564" s="27">
        <f>IFERROR(__xludf.DUMMYFUNCTION("""COMPUTED_VALUE"""),0.56)</f>
        <v>0.56</v>
      </c>
      <c r="G564" s="13">
        <f>IFERROR(__xludf.DUMMYFUNCTION("""COMPUTED_VALUE"""),-0.0487)</f>
        <v>-0.0487</v>
      </c>
    </row>
    <row r="565">
      <c r="A565" s="17" t="str">
        <f>IFERROR(__xludf.DUMMYFUNCTION("""COMPUTED_VALUE"""),"Bluerock")</f>
        <v>Bluerock</v>
      </c>
      <c r="B565" s="17" t="str">
        <f>IFERROR(__xludf.DUMMYFUNCTION("""COMPUTED_VALUE"""),"Sierra Terrace")</f>
        <v>Sierra Terrace</v>
      </c>
      <c r="C565" s="17" t="str">
        <f>IFERROR(__xludf.DUMMYFUNCTION("""COMPUTED_VALUE"""),"Atlanta, GA")</f>
        <v>Atlanta, GA</v>
      </c>
      <c r="D565" s="17" t="str">
        <f>IFERROR(__xludf.DUMMYFUNCTION("""COMPUTED_VALUE"""),"Multifamily")</f>
        <v>Multifamily</v>
      </c>
      <c r="E565" s="17">
        <f>IFERROR(__xludf.DUMMYFUNCTION("""COMPUTED_VALUE"""),2.0)</f>
        <v>2</v>
      </c>
      <c r="F565" s="27">
        <f>IFERROR(__xludf.DUMMYFUNCTION("""COMPUTED_VALUE"""),1.25)</f>
        <v>1.25</v>
      </c>
      <c r="G565" s="13">
        <f>IFERROR(__xludf.DUMMYFUNCTION("""COMPUTED_VALUE"""),0.1139)</f>
        <v>0.1139</v>
      </c>
    </row>
    <row r="566">
      <c r="A566" s="17" t="str">
        <f>IFERROR(__xludf.DUMMYFUNCTION("""COMPUTED_VALUE"""),"Bluerock")</f>
        <v>Bluerock</v>
      </c>
      <c r="B566" s="17" t="str">
        <f>IFERROR(__xludf.DUMMYFUNCTION("""COMPUTED_VALUE"""),"Sierra Village")</f>
        <v>Sierra Village</v>
      </c>
      <c r="C566" s="17" t="str">
        <f>IFERROR(__xludf.DUMMYFUNCTION("""COMPUTED_VALUE"""),"Atlanta, GA")</f>
        <v>Atlanta, GA</v>
      </c>
      <c r="D566" s="17" t="str">
        <f>IFERROR(__xludf.DUMMYFUNCTION("""COMPUTED_VALUE"""),"Multifamily")</f>
        <v>Multifamily</v>
      </c>
      <c r="E566" s="17">
        <f>IFERROR(__xludf.DUMMYFUNCTION("""COMPUTED_VALUE"""),2.0)</f>
        <v>2</v>
      </c>
      <c r="F566" s="27">
        <f>IFERROR(__xludf.DUMMYFUNCTION("""COMPUTED_VALUE"""),1.22)</f>
        <v>1.22</v>
      </c>
      <c r="G566" s="13">
        <f>IFERROR(__xludf.DUMMYFUNCTION("""COMPUTED_VALUE"""),0.1139)</f>
        <v>0.1139</v>
      </c>
    </row>
    <row r="567">
      <c r="A567" s="17" t="str">
        <f>IFERROR(__xludf.DUMMYFUNCTION("""COMPUTED_VALUE"""),"Denholtz")</f>
        <v>Denholtz</v>
      </c>
      <c r="B567" s="17" t="str">
        <f>IFERROR(__xludf.DUMMYFUNCTION("""COMPUTED_VALUE"""),"Silver Star Commerce Center")</f>
        <v>Silver Star Commerce Center</v>
      </c>
      <c r="C567" s="17" t="str">
        <f>IFERROR(__xludf.DUMMYFUNCTION("""COMPUTED_VALUE"""),"Orlando, FL")</f>
        <v>Orlando, FL</v>
      </c>
      <c r="D567" s="17" t="str">
        <f>IFERROR(__xludf.DUMMYFUNCTION("""COMPUTED_VALUE"""),"Industrial")</f>
        <v>Industrial</v>
      </c>
      <c r="E567" s="17">
        <f>IFERROR(__xludf.DUMMYFUNCTION("""COMPUTED_VALUE"""),3.42)</f>
        <v>3.42</v>
      </c>
      <c r="F567" s="27">
        <f>IFERROR(__xludf.DUMMYFUNCTION("""COMPUTED_VALUE"""),2.12)</f>
        <v>2.12</v>
      </c>
      <c r="G567" s="13">
        <f>IFERROR(__xludf.DUMMYFUNCTION("""COMPUTED_VALUE"""),0.2903)</f>
        <v>0.2903</v>
      </c>
    </row>
    <row r="568">
      <c r="A568" s="17" t="str">
        <f>IFERROR(__xludf.DUMMYFUNCTION("""COMPUTED_VALUE"""),"Syndicated Equities")</f>
        <v>Syndicated Equities</v>
      </c>
      <c r="B568" s="17" t="str">
        <f>IFERROR(__xludf.DUMMYFUNCTION("""COMPUTED_VALUE"""),"Social Security Administration")</f>
        <v>Social Security Administration</v>
      </c>
      <c r="C568" s="17" t="str">
        <f>IFERROR(__xludf.DUMMYFUNCTION("""COMPUTED_VALUE"""),"Valparaiso, IN")</f>
        <v>Valparaiso, IN</v>
      </c>
      <c r="D568" s="17"/>
      <c r="E568" s="17">
        <f>IFERROR(__xludf.DUMMYFUNCTION("""COMPUTED_VALUE"""),12.98)</f>
        <v>12.98</v>
      </c>
      <c r="F568" s="27">
        <f>IFERROR(__xludf.DUMMYFUNCTION("""COMPUTED_VALUE"""),1.2)</f>
        <v>1.2</v>
      </c>
      <c r="G568" s="13">
        <f>IFERROR(__xludf.DUMMYFUNCTION("""COMPUTED_VALUE"""),0.0141)</f>
        <v>0.0141</v>
      </c>
    </row>
    <row r="569">
      <c r="A569" s="17" t="str">
        <f>IFERROR(__xludf.DUMMYFUNCTION("""COMPUTED_VALUE"""),"Syndicated Equities")</f>
        <v>Syndicated Equities</v>
      </c>
      <c r="B569" s="17" t="str">
        <f>IFERROR(__xludf.DUMMYFUNCTION("""COMPUTED_VALUE"""),"Social Security Administration")</f>
        <v>Social Security Administration</v>
      </c>
      <c r="C569" s="17" t="str">
        <f>IFERROR(__xludf.DUMMYFUNCTION("""COMPUTED_VALUE"""),"Aurora, IL")</f>
        <v>Aurora, IL</v>
      </c>
      <c r="D569" s="17"/>
      <c r="E569" s="17">
        <f>IFERROR(__xludf.DUMMYFUNCTION("""COMPUTED_VALUE"""),12.59)</f>
        <v>12.59</v>
      </c>
      <c r="F569" s="27">
        <f>IFERROR(__xludf.DUMMYFUNCTION("""COMPUTED_VALUE"""),1.4)</f>
        <v>1.4</v>
      </c>
      <c r="G569" s="13">
        <f>IFERROR(__xludf.DUMMYFUNCTION("""COMPUTED_VALUE"""),0.0271)</f>
        <v>0.0271</v>
      </c>
    </row>
    <row r="570">
      <c r="A570" s="17" t="str">
        <f>IFERROR(__xludf.DUMMYFUNCTION("""COMPUTED_VALUE"""),"Syndicated Equities")</f>
        <v>Syndicated Equities</v>
      </c>
      <c r="B570" s="17" t="str">
        <f>IFERROR(__xludf.DUMMYFUNCTION("""COMPUTED_VALUE"""),"Social Security Administration")</f>
        <v>Social Security Administration</v>
      </c>
      <c r="C570" s="17" t="str">
        <f>IFERROR(__xludf.DUMMYFUNCTION("""COMPUTED_VALUE"""),"Fort Wayne, IN")</f>
        <v>Fort Wayne, IN</v>
      </c>
      <c r="D570" s="17"/>
      <c r="E570" s="17">
        <f>IFERROR(__xludf.DUMMYFUNCTION("""COMPUTED_VALUE"""),12.66)</f>
        <v>12.66</v>
      </c>
      <c r="F570" s="27">
        <f>IFERROR(__xludf.DUMMYFUNCTION("""COMPUTED_VALUE"""),1.53)</f>
        <v>1.53</v>
      </c>
      <c r="G570" s="13">
        <f>IFERROR(__xludf.DUMMYFUNCTION("""COMPUTED_VALUE"""),0.0342)</f>
        <v>0.0342</v>
      </c>
    </row>
    <row r="571">
      <c r="A571" s="17" t="str">
        <f>IFERROR(__xludf.DUMMYFUNCTION("""COMPUTED_VALUE"""),"Syndicated Equities")</f>
        <v>Syndicated Equities</v>
      </c>
      <c r="B571" s="17" t="str">
        <f>IFERROR(__xludf.DUMMYFUNCTION("""COMPUTED_VALUE"""),"Social Security Administration")</f>
        <v>Social Security Administration</v>
      </c>
      <c r="C571" s="17" t="str">
        <f>IFERROR(__xludf.DUMMYFUNCTION("""COMPUTED_VALUE"""),"Worthington, OH")</f>
        <v>Worthington, OH</v>
      </c>
      <c r="D571" s="17"/>
      <c r="E571" s="17">
        <f>IFERROR(__xludf.DUMMYFUNCTION("""COMPUTED_VALUE"""),12.65)</f>
        <v>12.65</v>
      </c>
      <c r="F571" s="27">
        <f>IFERROR(__xludf.DUMMYFUNCTION("""COMPUTED_VALUE"""),1.36)</f>
        <v>1.36</v>
      </c>
      <c r="G571" s="13">
        <f>IFERROR(__xludf.DUMMYFUNCTION("""COMPUTED_VALUE"""),0.0246)</f>
        <v>0.0246</v>
      </c>
    </row>
    <row r="572">
      <c r="A572" s="17" t="str">
        <f>IFERROR(__xludf.DUMMYFUNCTION("""COMPUTED_VALUE"""),"Syndicated Equities")</f>
        <v>Syndicated Equities</v>
      </c>
      <c r="B572" s="17" t="str">
        <f>IFERROR(__xludf.DUMMYFUNCTION("""COMPUTED_VALUE"""),"Social Security Administration")</f>
        <v>Social Security Administration</v>
      </c>
      <c r="C572" s="17" t="str">
        <f>IFERROR(__xludf.DUMMYFUNCTION("""COMPUTED_VALUE"""),"Fort Smith, AR")</f>
        <v>Fort Smith, AR</v>
      </c>
      <c r="D572" s="17"/>
      <c r="E572" s="17">
        <f>IFERROR(__xludf.DUMMYFUNCTION("""COMPUTED_VALUE"""),12.22)</f>
        <v>12.22</v>
      </c>
      <c r="F572" s="27">
        <f>IFERROR(__xludf.DUMMYFUNCTION("""COMPUTED_VALUE"""),1.57)</f>
        <v>1.57</v>
      </c>
      <c r="G572" s="13">
        <f>IFERROR(__xludf.DUMMYFUNCTION("""COMPUTED_VALUE"""),0.0376)</f>
        <v>0.0376</v>
      </c>
    </row>
    <row r="573">
      <c r="A573" s="17" t="str">
        <f>IFERROR(__xludf.DUMMYFUNCTION("""COMPUTED_VALUE"""),"Syndicated Equities")</f>
        <v>Syndicated Equities</v>
      </c>
      <c r="B573" s="17" t="str">
        <f>IFERROR(__xludf.DUMMYFUNCTION("""COMPUTED_VALUE"""),"Social Security Administration")</f>
        <v>Social Security Administration</v>
      </c>
      <c r="C573" s="17" t="str">
        <f>IFERROR(__xludf.DUMMYFUNCTION("""COMPUTED_VALUE"""),"Whitehall, OH")</f>
        <v>Whitehall, OH</v>
      </c>
      <c r="D573" s="17"/>
      <c r="E573" s="17">
        <f>IFERROR(__xludf.DUMMYFUNCTION("""COMPUTED_VALUE"""),12.87)</f>
        <v>12.87</v>
      </c>
      <c r="F573" s="27">
        <f>IFERROR(__xludf.DUMMYFUNCTION("""COMPUTED_VALUE"""),1.51)</f>
        <v>1.51</v>
      </c>
      <c r="G573" s="13">
        <f>IFERROR(__xludf.DUMMYFUNCTION("""COMPUTED_VALUE"""),0.0325)</f>
        <v>0.0325</v>
      </c>
    </row>
    <row r="574">
      <c r="A574" s="17" t="str">
        <f>IFERROR(__xludf.DUMMYFUNCTION("""COMPUTED_VALUE"""),"Syndicated Equities")</f>
        <v>Syndicated Equities</v>
      </c>
      <c r="B574" s="17" t="str">
        <f>IFERROR(__xludf.DUMMYFUNCTION("""COMPUTED_VALUE"""),"Social Security Administration")</f>
        <v>Social Security Administration</v>
      </c>
      <c r="C574" s="17" t="str">
        <f>IFERROR(__xludf.DUMMYFUNCTION("""COMPUTED_VALUE"""),"Indianapolis, IN")</f>
        <v>Indianapolis, IN</v>
      </c>
      <c r="D574" s="17"/>
      <c r="E574" s="17">
        <f>IFERROR(__xludf.DUMMYFUNCTION("""COMPUTED_VALUE"""),12.82)</f>
        <v>12.82</v>
      </c>
      <c r="F574" s="27">
        <f>IFERROR(__xludf.DUMMYFUNCTION("""COMPUTED_VALUE"""),1.25)</f>
        <v>1.25</v>
      </c>
      <c r="G574" s="13">
        <f>IFERROR(__xludf.DUMMYFUNCTION("""COMPUTED_VALUE"""),0.0176)</f>
        <v>0.0176</v>
      </c>
    </row>
    <row r="575">
      <c r="A575" s="17" t="str">
        <f>IFERROR(__xludf.DUMMYFUNCTION("""COMPUTED_VALUE"""),"Bluerock")</f>
        <v>Bluerock</v>
      </c>
      <c r="B575" s="17" t="str">
        <f>IFERROR(__xludf.DUMMYFUNCTION("""COMPUTED_VALUE"""),"Sonoma Pointe")</f>
        <v>Sonoma Pointe</v>
      </c>
      <c r="C575" s="17" t="str">
        <f>IFERROR(__xludf.DUMMYFUNCTION("""COMPUTED_VALUE"""),"Kissimmee, FL")</f>
        <v>Kissimmee, FL</v>
      </c>
      <c r="D575" s="17" t="str">
        <f>IFERROR(__xludf.DUMMYFUNCTION("""COMPUTED_VALUE"""),"Multifamily")</f>
        <v>Multifamily</v>
      </c>
      <c r="E575" s="17">
        <f>IFERROR(__xludf.DUMMYFUNCTION("""COMPUTED_VALUE"""),5.0)</f>
        <v>5</v>
      </c>
      <c r="F575" s="27">
        <f>IFERROR(__xludf.DUMMYFUNCTION("""COMPUTED_VALUE"""),2.02)</f>
        <v>2.02</v>
      </c>
      <c r="G575" s="13">
        <f>IFERROR(__xludf.DUMMYFUNCTION("""COMPUTED_VALUE"""),0.203)</f>
        <v>0.203</v>
      </c>
    </row>
    <row r="576">
      <c r="A576" s="17" t="str">
        <f>IFERROR(__xludf.DUMMYFUNCTION("""COMPUTED_VALUE"""),"Bluerock")</f>
        <v>Bluerock</v>
      </c>
      <c r="B576" s="17" t="str">
        <f>IFERROR(__xludf.DUMMYFUNCTION("""COMPUTED_VALUE"""),"Sorrel Phillips Creek / Sovereign Apartments (Portfolio)")</f>
        <v>Sorrel Phillips Creek / Sovereign Apartments (Portfolio)</v>
      </c>
      <c r="C576" s="17" t="str">
        <f>IFERROR(__xludf.DUMMYFUNCTION("""COMPUTED_VALUE"""),"Frisco &amp; Fort Worth, TX")</f>
        <v>Frisco &amp; Fort Worth, TX</v>
      </c>
      <c r="D576" s="17" t="str">
        <f>IFERROR(__xludf.DUMMYFUNCTION("""COMPUTED_VALUE"""),"Multifamily")</f>
        <v>Multifamily</v>
      </c>
      <c r="E576" s="17">
        <f>IFERROR(__xludf.DUMMYFUNCTION("""COMPUTED_VALUE"""),3.83)</f>
        <v>3.83</v>
      </c>
      <c r="F576" s="27">
        <f>IFERROR(__xludf.DUMMYFUNCTION("""COMPUTED_VALUE"""),1.39)</f>
        <v>1.39</v>
      </c>
      <c r="G576" s="13">
        <f>IFERROR(__xludf.DUMMYFUNCTION("""COMPUTED_VALUE"""),0.103)</f>
        <v>0.103</v>
      </c>
    </row>
    <row r="577">
      <c r="A577" s="17" t="str">
        <f>IFERROR(__xludf.DUMMYFUNCTION("""COMPUTED_VALUE"""),"Blue Door")</f>
        <v>Blue Door</v>
      </c>
      <c r="B577" s="17" t="str">
        <f>IFERROR(__xludf.DUMMYFUNCTION("""COMPUTED_VALUE"""),"Southwest Colonial, DST")</f>
        <v>Southwest Colonial, DST</v>
      </c>
      <c r="C577" s="17" t="str">
        <f>IFERROR(__xludf.DUMMYFUNCTION("""COMPUTED_VALUE"""),"TX")</f>
        <v>TX</v>
      </c>
      <c r="D577" s="17" t="str">
        <f>IFERROR(__xludf.DUMMYFUNCTION("""COMPUTED_VALUE"""),"Self-Storage")</f>
        <v>Self-Storage</v>
      </c>
      <c r="E577" s="17"/>
      <c r="F577" s="17"/>
      <c r="G577" s="17"/>
    </row>
    <row r="578">
      <c r="A578" s="17" t="str">
        <f>IFERROR(__xludf.DUMMYFUNCTION("""COMPUTED_VALUE"""),"Peachtree Group")</f>
        <v>Peachtree Group</v>
      </c>
      <c r="B578" s="17" t="str">
        <f>IFERROR(__xludf.DUMMYFUNCTION("""COMPUTED_VALUE"""),"Springhill Suites – San Antonio, TX")</f>
        <v>Springhill Suites – San Antonio, TX</v>
      </c>
      <c r="C578" s="17" t="str">
        <f>IFERROR(__xludf.DUMMYFUNCTION("""COMPUTED_VALUE"""),"San Antonio, TX")</f>
        <v>San Antonio, TX</v>
      </c>
      <c r="D578" s="17" t="str">
        <f>IFERROR(__xludf.DUMMYFUNCTION("""COMPUTED_VALUE"""),"Hotel")</f>
        <v>Hotel</v>
      </c>
      <c r="E578" s="17">
        <f>IFERROR(__xludf.DUMMYFUNCTION("""COMPUTED_VALUE"""),5.2)</f>
        <v>5.2</v>
      </c>
      <c r="F578" s="27">
        <f>IFERROR(__xludf.DUMMYFUNCTION("""COMPUTED_VALUE"""),1.81)</f>
        <v>1.81</v>
      </c>
      <c r="G578" s="13">
        <f>IFERROR(__xludf.DUMMYFUNCTION("""COMPUTED_VALUE"""),0.127)</f>
        <v>0.127</v>
      </c>
    </row>
    <row r="579">
      <c r="A579" s="17" t="str">
        <f>IFERROR(__xludf.DUMMYFUNCTION("""COMPUTED_VALUE"""),"Bluerock")</f>
        <v>Bluerock</v>
      </c>
      <c r="B579" s="17" t="str">
        <f>IFERROR(__xludf.DUMMYFUNCTION("""COMPUTED_VALUE"""),"Springhouse")</f>
        <v>Springhouse</v>
      </c>
      <c r="C579" s="17" t="str">
        <f>IFERROR(__xludf.DUMMYFUNCTION("""COMPUTED_VALUE"""),"Newport News, VA")</f>
        <v>Newport News, VA</v>
      </c>
      <c r="D579" s="17" t="str">
        <f>IFERROR(__xludf.DUMMYFUNCTION("""COMPUTED_VALUE"""),"Multifamily")</f>
        <v>Multifamily</v>
      </c>
      <c r="E579" s="17">
        <f>IFERROR(__xludf.DUMMYFUNCTION("""COMPUTED_VALUE"""),6.67)</f>
        <v>6.67</v>
      </c>
      <c r="F579" s="27">
        <f>IFERROR(__xludf.DUMMYFUNCTION("""COMPUTED_VALUE"""),2.4)</f>
        <v>2.4</v>
      </c>
      <c r="G579" s="13">
        <f>IFERROR(__xludf.DUMMYFUNCTION("""COMPUTED_VALUE"""),0.136)</f>
        <v>0.136</v>
      </c>
    </row>
    <row r="580">
      <c r="A580" s="17" t="str">
        <f>IFERROR(__xludf.DUMMYFUNCTION("""COMPUTED_VALUE"""),"Starboard Realty Advisors")</f>
        <v>Starboard Realty Advisors</v>
      </c>
      <c r="B580" s="17" t="str">
        <f>IFERROR(__xludf.DUMMYFUNCTION("""COMPUTED_VALUE"""),"Starboard Diagonal DST")</f>
        <v>Starboard Diagonal DST</v>
      </c>
      <c r="C580" s="17" t="str">
        <f>IFERROR(__xludf.DUMMYFUNCTION("""COMPUTED_VALUE"""),"Longmont, CO")</f>
        <v>Longmont, CO</v>
      </c>
      <c r="D580" s="17" t="str">
        <f>IFERROR(__xludf.DUMMYFUNCTION("""COMPUTED_VALUE"""),"Shopping Center")</f>
        <v>Shopping Center</v>
      </c>
      <c r="E580" s="17">
        <f>IFERROR(__xludf.DUMMYFUNCTION("""COMPUTED_VALUE"""),10.06)</f>
        <v>10.06</v>
      </c>
      <c r="F580" s="27">
        <f>IFERROR(__xludf.DUMMYFUNCTION("""COMPUTED_VALUE"""),1.1)</f>
        <v>1.1</v>
      </c>
      <c r="G580" s="13">
        <f>IFERROR(__xludf.DUMMYFUNCTION("""COMPUTED_VALUE"""),0.0095)</f>
        <v>0.0095</v>
      </c>
    </row>
    <row r="581">
      <c r="A581" s="17" t="str">
        <f>IFERROR(__xludf.DUMMYFUNCTION("""COMPUTED_VALUE"""),"Starboard Realty Advisors")</f>
        <v>Starboard Realty Advisors</v>
      </c>
      <c r="B581" s="17" t="str">
        <f>IFERROR(__xludf.DUMMYFUNCTION("""COMPUTED_VALUE"""),"Starboard Mesa Ridge DST")</f>
        <v>Starboard Mesa Ridge DST</v>
      </c>
      <c r="C581" s="17" t="str">
        <f>IFERROR(__xludf.DUMMYFUNCTION("""COMPUTED_VALUE"""),"Fountain, CO")</f>
        <v>Fountain, CO</v>
      </c>
      <c r="D581" s="17" t="str">
        <f>IFERROR(__xludf.DUMMYFUNCTION("""COMPUTED_VALUE"""),"Shopping Center")</f>
        <v>Shopping Center</v>
      </c>
      <c r="E581" s="17">
        <f>IFERROR(__xludf.DUMMYFUNCTION("""COMPUTED_VALUE"""),7.39)</f>
        <v>7.39</v>
      </c>
      <c r="F581" s="27">
        <f>IFERROR(__xludf.DUMMYFUNCTION("""COMPUTED_VALUE"""),1.57)</f>
        <v>1.57</v>
      </c>
      <c r="G581" s="13">
        <f>IFERROR(__xludf.DUMMYFUNCTION("""COMPUTED_VALUE"""),0.0629)</f>
        <v>0.0629</v>
      </c>
    </row>
    <row r="582">
      <c r="A582" s="17" t="str">
        <f>IFERROR(__xludf.DUMMYFUNCTION("""COMPUTED_VALUE"""),"Starboard Realty Advisors")</f>
        <v>Starboard Realty Advisors</v>
      </c>
      <c r="B582" s="17" t="str">
        <f>IFERROR(__xludf.DUMMYFUNCTION("""COMPUTED_VALUE"""),"Starboard Metro DST")</f>
        <v>Starboard Metro DST</v>
      </c>
      <c r="C582" s="17" t="str">
        <f>IFERROR(__xludf.DUMMYFUNCTION("""COMPUTED_VALUE"""),"Atlanta, GA")</f>
        <v>Atlanta, GA</v>
      </c>
      <c r="D582" s="17" t="str">
        <f>IFERROR(__xludf.DUMMYFUNCTION("""COMPUTED_VALUE"""),"Multifamily")</f>
        <v>Multifamily</v>
      </c>
      <c r="E582" s="17">
        <f>IFERROR(__xludf.DUMMYFUNCTION("""COMPUTED_VALUE"""),3.28)</f>
        <v>3.28</v>
      </c>
      <c r="F582" s="27">
        <f>IFERROR(__xludf.DUMMYFUNCTION("""COMPUTED_VALUE"""),1.28)</f>
        <v>1.28</v>
      </c>
      <c r="G582" s="13">
        <f>IFERROR(__xludf.DUMMYFUNCTION("""COMPUTED_VALUE"""),0.0782)</f>
        <v>0.0782</v>
      </c>
    </row>
    <row r="583">
      <c r="A583" s="17" t="str">
        <f>IFERROR(__xludf.DUMMYFUNCTION("""COMPUTED_VALUE"""),"Starboard Realty Advisors")</f>
        <v>Starboard Realty Advisors</v>
      </c>
      <c r="B583" s="17" t="str">
        <f>IFERROR(__xludf.DUMMYFUNCTION("""COMPUTED_VALUE"""),"Starboard Mountain Ranch DST")</f>
        <v>Starboard Mountain Ranch DST</v>
      </c>
      <c r="C583" s="17" t="str">
        <f>IFERROR(__xludf.DUMMYFUNCTION("""COMPUTED_VALUE"""),"Richland, WA")</f>
        <v>Richland, WA</v>
      </c>
      <c r="D583" s="17" t="str">
        <f>IFERROR(__xludf.DUMMYFUNCTION("""COMPUTED_VALUE"""),"Multifamily")</f>
        <v>Multifamily</v>
      </c>
      <c r="E583" s="17">
        <f>IFERROR(__xludf.DUMMYFUNCTION("""COMPUTED_VALUE"""),3.79)</f>
        <v>3.79</v>
      </c>
      <c r="F583" s="27">
        <f>IFERROR(__xludf.DUMMYFUNCTION("""COMPUTED_VALUE"""),1.45)</f>
        <v>1.45</v>
      </c>
      <c r="G583" s="13">
        <f>IFERROR(__xludf.DUMMYFUNCTION("""COMPUTED_VALUE"""),0.1029)</f>
        <v>0.1029</v>
      </c>
    </row>
    <row r="584">
      <c r="A584" s="17" t="str">
        <f>IFERROR(__xludf.DUMMYFUNCTION("""COMPUTED_VALUE"""),"Syndicated Equities")</f>
        <v>Syndicated Equities</v>
      </c>
      <c r="B584" s="17" t="str">
        <f>IFERROR(__xludf.DUMMYFUNCTION("""COMPUTED_VALUE"""),"Staybridge Suites")</f>
        <v>Staybridge Suites</v>
      </c>
      <c r="C584" s="17" t="str">
        <f>IFERROR(__xludf.DUMMYFUNCTION("""COMPUTED_VALUE"""),"Mayfield, OH")</f>
        <v>Mayfield, OH</v>
      </c>
      <c r="D584" s="17"/>
      <c r="E584" s="17">
        <f>IFERROR(__xludf.DUMMYFUNCTION("""COMPUTED_VALUE"""),5.43)</f>
        <v>5.43</v>
      </c>
      <c r="F584" s="27">
        <f>IFERROR(__xludf.DUMMYFUNCTION("""COMPUTED_VALUE"""),0.14)</f>
        <v>0.14</v>
      </c>
      <c r="G584" s="13">
        <f>IFERROR(__xludf.DUMMYFUNCTION("""COMPUTED_VALUE"""),-0.3036)</f>
        <v>-0.3036</v>
      </c>
    </row>
    <row r="585">
      <c r="A585" s="17" t="str">
        <f>IFERROR(__xludf.DUMMYFUNCTION("""COMPUTED_VALUE"""),"Syndicated Equities")</f>
        <v>Syndicated Equities</v>
      </c>
      <c r="B585" s="17" t="str">
        <f>IFERROR(__xludf.DUMMYFUNCTION("""COMPUTED_VALUE"""),"Stone Falls of Ada")</f>
        <v>Stone Falls of Ada</v>
      </c>
      <c r="C585" s="17" t="str">
        <f>IFERROR(__xludf.DUMMYFUNCTION("""COMPUTED_VALUE"""),"Ada, MI")</f>
        <v>Ada, MI</v>
      </c>
      <c r="D585" s="17"/>
      <c r="E585" s="17">
        <f>IFERROR(__xludf.DUMMYFUNCTION("""COMPUTED_VALUE"""),3.67)</f>
        <v>3.67</v>
      </c>
      <c r="F585" s="27">
        <f>IFERROR(__xludf.DUMMYFUNCTION("""COMPUTED_VALUE"""),1.92)</f>
        <v>1.92</v>
      </c>
      <c r="G585" s="13">
        <f>IFERROR(__xludf.DUMMYFUNCTION("""COMPUTED_VALUE"""),0.1948)</f>
        <v>0.1948</v>
      </c>
    </row>
    <row r="586">
      <c r="A586" s="17" t="str">
        <f>IFERROR(__xludf.DUMMYFUNCTION("""COMPUTED_VALUE"""),"Bluerock")</f>
        <v>Bluerock</v>
      </c>
      <c r="B586" s="17" t="str">
        <f>IFERROR(__xludf.DUMMYFUNCTION("""COMPUTED_VALUE"""),"Stonebrook")</f>
        <v>Stonebrook</v>
      </c>
      <c r="C586" s="17" t="str">
        <f>IFERROR(__xludf.DUMMYFUNCTION("""COMPUTED_VALUE"""),"Nashville, TN")</f>
        <v>Nashville, TN</v>
      </c>
      <c r="D586" s="17" t="str">
        <f>IFERROR(__xludf.DUMMYFUNCTION("""COMPUTED_VALUE"""),"Multifamily")</f>
        <v>Multifamily</v>
      </c>
      <c r="E586" s="17">
        <f>IFERROR(__xludf.DUMMYFUNCTION("""COMPUTED_VALUE"""),7.58)</f>
        <v>7.58</v>
      </c>
      <c r="F586" s="27">
        <f>IFERROR(__xludf.DUMMYFUNCTION("""COMPUTED_VALUE"""),3.62)</f>
        <v>3.62</v>
      </c>
      <c r="G586" s="13">
        <f>IFERROR(__xludf.DUMMYFUNCTION("""COMPUTED_VALUE"""),0.227)</f>
        <v>0.227</v>
      </c>
    </row>
    <row r="587">
      <c r="A587" s="17" t="str">
        <f>IFERROR(__xludf.DUMMYFUNCTION("""COMPUTED_VALUE"""),"Passco")</f>
        <v>Passco</v>
      </c>
      <c r="B587" s="17" t="str">
        <f>IFERROR(__xludf.DUMMYFUNCTION("""COMPUTED_VALUE"""),"Stonegate")</f>
        <v>Stonegate</v>
      </c>
      <c r="C587" s="17" t="str">
        <f>IFERROR(__xludf.DUMMYFUNCTION("""COMPUTED_VALUE"""),"Birmingham, AL")</f>
        <v>Birmingham, AL</v>
      </c>
      <c r="D587" s="17" t="str">
        <f>IFERROR(__xludf.DUMMYFUNCTION("""COMPUTED_VALUE"""),"Multifamily")</f>
        <v>Multifamily</v>
      </c>
      <c r="E587" s="17">
        <f>IFERROR(__xludf.DUMMYFUNCTION("""COMPUTED_VALUE"""),6.0)</f>
        <v>6</v>
      </c>
      <c r="F587" s="27">
        <f>IFERROR(__xludf.DUMMYFUNCTION("""COMPUTED_VALUE"""),1.45)</f>
        <v>1.45</v>
      </c>
      <c r="G587" s="13">
        <f>IFERROR(__xludf.DUMMYFUNCTION("""COMPUTED_VALUE"""),0.0644)</f>
        <v>0.0644</v>
      </c>
    </row>
    <row r="588">
      <c r="A588" s="17" t="str">
        <f>IFERROR(__xludf.DUMMYFUNCTION("""COMPUTED_VALUE"""),"Syndicated Equities")</f>
        <v>Syndicated Equities</v>
      </c>
      <c r="B588" s="17" t="str">
        <f>IFERROR(__xludf.DUMMYFUNCTION("""COMPUTED_VALUE"""),"Student Housing Development")</f>
        <v>Student Housing Development</v>
      </c>
      <c r="C588" s="17" t="str">
        <f>IFERROR(__xludf.DUMMYFUNCTION("""COMPUTED_VALUE"""),"Carbondale, IL")</f>
        <v>Carbondale, IL</v>
      </c>
      <c r="D588" s="17"/>
      <c r="E588" s="17">
        <f>IFERROR(__xludf.DUMMYFUNCTION("""COMPUTED_VALUE"""),1.31)</f>
        <v>1.31</v>
      </c>
      <c r="F588" s="27">
        <f>IFERROR(__xludf.DUMMYFUNCTION("""COMPUTED_VALUE"""),1.13)</f>
        <v>1.13</v>
      </c>
      <c r="G588" s="13">
        <f>IFERROR(__xludf.DUMMYFUNCTION("""COMPUTED_VALUE"""),0.0981)</f>
        <v>0.0981</v>
      </c>
    </row>
    <row r="589">
      <c r="A589" s="17" t="str">
        <f>IFERROR(__xludf.DUMMYFUNCTION("""COMPUTED_VALUE"""),"Syndicated Equities")</f>
        <v>Syndicated Equities</v>
      </c>
      <c r="B589" s="17" t="str">
        <f>IFERROR(__xludf.DUMMYFUNCTION("""COMPUTED_VALUE"""),"Student Housing Development")</f>
        <v>Student Housing Development</v>
      </c>
      <c r="C589" s="17" t="str">
        <f>IFERROR(__xludf.DUMMYFUNCTION("""COMPUTED_VALUE"""),"Ottawa, Canada")</f>
        <v>Ottawa, Canada</v>
      </c>
      <c r="D589" s="17"/>
      <c r="E589" s="17">
        <f>IFERROR(__xludf.DUMMYFUNCTION("""COMPUTED_VALUE"""),2.4)</f>
        <v>2.4</v>
      </c>
      <c r="F589" s="27">
        <f>IFERROR(__xludf.DUMMYFUNCTION("""COMPUTED_VALUE"""),1.36)</f>
        <v>1.36</v>
      </c>
      <c r="G589" s="13">
        <f>IFERROR(__xludf.DUMMYFUNCTION("""COMPUTED_VALUE"""),0.137)</f>
        <v>0.137</v>
      </c>
    </row>
    <row r="590">
      <c r="A590" s="17" t="str">
        <f>IFERROR(__xludf.DUMMYFUNCTION("""COMPUTED_VALUE"""),"Net Lease Capital Advisors")</f>
        <v>Net Lease Capital Advisors</v>
      </c>
      <c r="B590" s="17" t="str">
        <f>IFERROR(__xludf.DUMMYFUNCTION("""COMPUTED_VALUE"""),"Sun Microsystems DST")</f>
        <v>Sun Microsystems DST</v>
      </c>
      <c r="C590" s="17" t="str">
        <f>IFERROR(__xludf.DUMMYFUNCTION("""COMPUTED_VALUE"""),"San Jose, CA")</f>
        <v>San Jose, CA</v>
      </c>
      <c r="D590" s="17" t="str">
        <f>IFERROR(__xludf.DUMMYFUNCTION("""COMPUTED_VALUE"""),"Office")</f>
        <v>Office</v>
      </c>
      <c r="E590" s="17">
        <f>IFERROR(__xludf.DUMMYFUNCTION("""COMPUTED_VALUE"""),12.69)</f>
        <v>12.69</v>
      </c>
      <c r="F590" s="27">
        <f>IFERROR(__xludf.DUMMYFUNCTION("""COMPUTED_VALUE"""),3.97)</f>
        <v>3.97</v>
      </c>
      <c r="G590" s="13">
        <f>IFERROR(__xludf.DUMMYFUNCTION("""COMPUTED_VALUE"""),0.1148)</f>
        <v>0.1148</v>
      </c>
    </row>
    <row r="591">
      <c r="A591" s="17" t="str">
        <f>IFERROR(__xludf.DUMMYFUNCTION("""COMPUTED_VALUE"""),"Passco")</f>
        <v>Passco</v>
      </c>
      <c r="B591" s="17" t="str">
        <f>IFERROR(__xludf.DUMMYFUNCTION("""COMPUTED_VALUE"""),"Sundance Creek")</f>
        <v>Sundance Creek</v>
      </c>
      <c r="C591" s="17" t="str">
        <f>IFERROR(__xludf.DUMMYFUNCTION("""COMPUTED_VALUE"""),"McDonough, GA")</f>
        <v>McDonough, GA</v>
      </c>
      <c r="D591" s="17" t="str">
        <f>IFERROR(__xludf.DUMMYFUNCTION("""COMPUTED_VALUE"""),"Multifamily")</f>
        <v>Multifamily</v>
      </c>
      <c r="E591" s="17">
        <f>IFERROR(__xludf.DUMMYFUNCTION("""COMPUTED_VALUE"""),6.0)</f>
        <v>6</v>
      </c>
      <c r="F591" s="27">
        <f>IFERROR(__xludf.DUMMYFUNCTION("""COMPUTED_VALUE"""),2.01)</f>
        <v>2.01</v>
      </c>
      <c r="G591" s="13">
        <f>IFERROR(__xludf.DUMMYFUNCTION("""COMPUTED_VALUE"""),0.1233)</f>
        <v>0.1233</v>
      </c>
    </row>
    <row r="592">
      <c r="A592" s="17" t="str">
        <f>IFERROR(__xludf.DUMMYFUNCTION("""COMPUTED_VALUE"""),"Walton Global Holdings")</f>
        <v>Walton Global Holdings</v>
      </c>
      <c r="B592" s="17" t="str">
        <f>IFERROR(__xludf.DUMMYFUNCTION("""COMPUTED_VALUE"""),"Sunshine Industrial - Dev LP")</f>
        <v>Sunshine Industrial - Dev LP</v>
      </c>
      <c r="C592" s="17" t="str">
        <f>IFERROR(__xludf.DUMMYFUNCTION("""COMPUTED_VALUE"""),"Phoenix, AZ")</f>
        <v>Phoenix, AZ</v>
      </c>
      <c r="D592" s="17" t="str">
        <f>IFERROR(__xludf.DUMMYFUNCTION("""COMPUTED_VALUE"""),"Land")</f>
        <v>Land</v>
      </c>
      <c r="E592" s="17">
        <f>IFERROR(__xludf.DUMMYFUNCTION("""COMPUTED_VALUE"""),13.93)</f>
        <v>13.93</v>
      </c>
      <c r="F592" s="27">
        <f>IFERROR(__xludf.DUMMYFUNCTION("""COMPUTED_VALUE"""),0.85)</f>
        <v>0.85</v>
      </c>
      <c r="G592" s="13">
        <f>IFERROR(__xludf.DUMMYFUNCTION("""COMPUTED_VALUE"""),-0.0116)</f>
        <v>-0.0116</v>
      </c>
    </row>
    <row r="593">
      <c r="A593" s="17" t="str">
        <f>IFERROR(__xludf.DUMMYFUNCTION("""COMPUTED_VALUE"""),"Walton Global Holdings")</f>
        <v>Walton Global Holdings</v>
      </c>
      <c r="B593" s="17" t="str">
        <f>IFERROR(__xludf.DUMMYFUNCTION("""COMPUTED_VALUE"""),"Sunshine Industrial - LP")</f>
        <v>Sunshine Industrial - LP</v>
      </c>
      <c r="C593" s="17" t="str">
        <f>IFERROR(__xludf.DUMMYFUNCTION("""COMPUTED_VALUE"""),"Phoenix, AZ")</f>
        <v>Phoenix, AZ</v>
      </c>
      <c r="D593" s="17" t="str">
        <f>IFERROR(__xludf.DUMMYFUNCTION("""COMPUTED_VALUE"""),"Land")</f>
        <v>Land</v>
      </c>
      <c r="E593" s="17">
        <f>IFERROR(__xludf.DUMMYFUNCTION("""COMPUTED_VALUE"""),13.93)</f>
        <v>13.93</v>
      </c>
      <c r="F593" s="27">
        <f>IFERROR(__xludf.DUMMYFUNCTION("""COMPUTED_VALUE"""),0.89)</f>
        <v>0.89</v>
      </c>
      <c r="G593" s="13">
        <f>IFERROR(__xludf.DUMMYFUNCTION("""COMPUTED_VALUE"""),-0.0083)</f>
        <v>-0.0083</v>
      </c>
    </row>
    <row r="594">
      <c r="A594" s="17" t="str">
        <f>IFERROR(__xludf.DUMMYFUNCTION("""COMPUTED_VALUE"""),"AEI Capital Corporation")</f>
        <v>AEI Capital Corporation</v>
      </c>
      <c r="B594" s="17" t="str">
        <f>IFERROR(__xludf.DUMMYFUNCTION("""COMPUTED_VALUE"""),"Taco Cabana")</f>
        <v>Taco Cabana</v>
      </c>
      <c r="C594" s="17" t="str">
        <f>IFERROR(__xludf.DUMMYFUNCTION("""COMPUTED_VALUE"""),"Waco, TX")</f>
        <v>Waco, TX</v>
      </c>
      <c r="D594" s="17" t="str">
        <f>IFERROR(__xludf.DUMMYFUNCTION("""COMPUTED_VALUE"""),"Net Lease")</f>
        <v>Net Lease</v>
      </c>
      <c r="E594" s="17">
        <f>IFERROR(__xludf.DUMMYFUNCTION("""COMPUTED_VALUE"""),13.88)</f>
        <v>13.88</v>
      </c>
      <c r="F594" s="27">
        <f>IFERROR(__xludf.DUMMYFUNCTION("""COMPUTED_VALUE"""),2.53)</f>
        <v>2.53</v>
      </c>
      <c r="G594" s="13">
        <f>IFERROR(__xludf.DUMMYFUNCTION("""COMPUTED_VALUE"""),0.0975)</f>
        <v>0.0975</v>
      </c>
    </row>
    <row r="595">
      <c r="A595" s="17" t="str">
        <f>IFERROR(__xludf.DUMMYFUNCTION("""COMPUTED_VALUE"""),"AEI Capital Corporation")</f>
        <v>AEI Capital Corporation</v>
      </c>
      <c r="B595" s="17" t="str">
        <f>IFERROR(__xludf.DUMMYFUNCTION("""COMPUTED_VALUE"""),"Taco Cabana")</f>
        <v>Taco Cabana</v>
      </c>
      <c r="C595" s="17" t="str">
        <f>IFERROR(__xludf.DUMMYFUNCTION("""COMPUTED_VALUE"""),"San Antonio, TX")</f>
        <v>San Antonio, TX</v>
      </c>
      <c r="D595" s="17" t="str">
        <f>IFERROR(__xludf.DUMMYFUNCTION("""COMPUTED_VALUE"""),"Net Lease")</f>
        <v>Net Lease</v>
      </c>
      <c r="E595" s="17">
        <f>IFERROR(__xludf.DUMMYFUNCTION("""COMPUTED_VALUE"""),13.17)</f>
        <v>13.17</v>
      </c>
      <c r="F595" s="27">
        <f>IFERROR(__xludf.DUMMYFUNCTION("""COMPUTED_VALUE"""),2.13)</f>
        <v>2.13</v>
      </c>
      <c r="G595" s="13">
        <f>IFERROR(__xludf.DUMMYFUNCTION("""COMPUTED_VALUE"""),0.0996)</f>
        <v>0.0996</v>
      </c>
    </row>
    <row r="596">
      <c r="A596" s="17" t="str">
        <f>IFERROR(__xludf.DUMMYFUNCTION("""COMPUTED_VALUE"""),"Bluerock")</f>
        <v>Bluerock</v>
      </c>
      <c r="B596" s="17" t="str">
        <f>IFERROR(__xludf.DUMMYFUNCTION("""COMPUTED_VALUE"""),"Tech Ridge")</f>
        <v>Tech Ridge</v>
      </c>
      <c r="C596" s="17" t="str">
        <f>IFERROR(__xludf.DUMMYFUNCTION("""COMPUTED_VALUE"""),"Austin, TX")</f>
        <v>Austin, TX</v>
      </c>
      <c r="D596" s="17" t="str">
        <f>IFERROR(__xludf.DUMMYFUNCTION("""COMPUTED_VALUE"""),"Multifamily")</f>
        <v>Multifamily</v>
      </c>
      <c r="E596" s="17">
        <f>IFERROR(__xludf.DUMMYFUNCTION("""COMPUTED_VALUE"""),2.5)</f>
        <v>2.5</v>
      </c>
      <c r="F596" s="27">
        <f>IFERROR(__xludf.DUMMYFUNCTION("""COMPUTED_VALUE"""),2.18)</f>
        <v>2.18</v>
      </c>
      <c r="G596" s="13">
        <f>IFERROR(__xludf.DUMMYFUNCTION("""COMPUTED_VALUE"""),0.282)</f>
        <v>0.282</v>
      </c>
    </row>
    <row r="597">
      <c r="A597" s="17" t="str">
        <f>IFERROR(__xludf.DUMMYFUNCTION("""COMPUTED_VALUE"""),"Time Equities")</f>
        <v>Time Equities</v>
      </c>
      <c r="B597" s="17" t="str">
        <f>IFERROR(__xludf.DUMMYFUNCTION("""COMPUTED_VALUE"""),"TEI Peachtree 25th TIC")</f>
        <v>TEI Peachtree 25th TIC</v>
      </c>
      <c r="C597" s="17" t="str">
        <f>IFERROR(__xludf.DUMMYFUNCTION("""COMPUTED_VALUE"""),"Atlanta, GA")</f>
        <v>Atlanta, GA</v>
      </c>
      <c r="D597" s="17" t="str">
        <f>IFERROR(__xludf.DUMMYFUNCTION("""COMPUTED_VALUE"""),"Office")</f>
        <v>Office</v>
      </c>
      <c r="E597" s="17">
        <f>IFERROR(__xludf.DUMMYFUNCTION("""COMPUTED_VALUE"""),9.74)</f>
        <v>9.74</v>
      </c>
      <c r="F597" s="27">
        <f>IFERROR(__xludf.DUMMYFUNCTION("""COMPUTED_VALUE"""),1.16)</f>
        <v>1.16</v>
      </c>
      <c r="G597" s="13">
        <f>IFERROR(__xludf.DUMMYFUNCTION("""COMPUTED_VALUE"""),0.0419)</f>
        <v>0.0419</v>
      </c>
    </row>
    <row r="598">
      <c r="A598" s="17" t="str">
        <f>IFERROR(__xludf.DUMMYFUNCTION("""COMPUTED_VALUE"""),"Bluerock")</f>
        <v>Bluerock</v>
      </c>
      <c r="B598" s="17" t="str">
        <f>IFERROR(__xludf.DUMMYFUNCTION("""COMPUTED_VALUE"""),"The Ashford")</f>
        <v>The Ashford</v>
      </c>
      <c r="C598" s="17" t="str">
        <f>IFERROR(__xludf.DUMMYFUNCTION("""COMPUTED_VALUE"""),"Atlanta, GA")</f>
        <v>Atlanta, GA</v>
      </c>
      <c r="D598" s="17" t="str">
        <f>IFERROR(__xludf.DUMMYFUNCTION("""COMPUTED_VALUE"""),"Multifamily")</f>
        <v>Multifamily</v>
      </c>
      <c r="E598" s="17">
        <f>IFERROR(__xludf.DUMMYFUNCTION("""COMPUTED_VALUE"""),1.92)</f>
        <v>1.92</v>
      </c>
      <c r="F598" s="27">
        <f>IFERROR(__xludf.DUMMYFUNCTION("""COMPUTED_VALUE"""),2.05)</f>
        <v>2.05</v>
      </c>
      <c r="G598" s="13">
        <f>IFERROR(__xludf.DUMMYFUNCTION("""COMPUTED_VALUE"""),0.304)</f>
        <v>0.304</v>
      </c>
    </row>
    <row r="599">
      <c r="A599" s="17" t="str">
        <f>IFERROR(__xludf.DUMMYFUNCTION("""COMPUTED_VALUE"""),"Bluerock")</f>
        <v>Bluerock</v>
      </c>
      <c r="B599" s="17" t="str">
        <f>IFERROR(__xludf.DUMMYFUNCTION("""COMPUTED_VALUE"""),"The Brodie")</f>
        <v>The Brodie</v>
      </c>
      <c r="C599" s="17" t="str">
        <f>IFERROR(__xludf.DUMMYFUNCTION("""COMPUTED_VALUE"""),"Austin, TX")</f>
        <v>Austin, TX</v>
      </c>
      <c r="D599" s="17" t="str">
        <f>IFERROR(__xludf.DUMMYFUNCTION("""COMPUTED_VALUE"""),"Multifamily")</f>
        <v>Multifamily</v>
      </c>
      <c r="E599" s="17">
        <f>IFERROR(__xludf.DUMMYFUNCTION("""COMPUTED_VALUE"""),5.83)</f>
        <v>5.83</v>
      </c>
      <c r="F599" s="27">
        <f>IFERROR(__xludf.DUMMYFUNCTION("""COMPUTED_VALUE"""),3.41)</f>
        <v>3.41</v>
      </c>
      <c r="G599" s="13">
        <f>IFERROR(__xludf.DUMMYFUNCTION("""COMPUTED_VALUE"""),0.249)</f>
        <v>0.249</v>
      </c>
    </row>
    <row r="600">
      <c r="A600" s="17" t="str">
        <f>IFERROR(__xludf.DUMMYFUNCTION("""COMPUTED_VALUE"""),"Bluerock")</f>
        <v>Bluerock</v>
      </c>
      <c r="B600" s="17" t="str">
        <f>IFERROR(__xludf.DUMMYFUNCTION("""COMPUTED_VALUE"""),"The Commons on Anniston")</f>
        <v>The Commons on Anniston</v>
      </c>
      <c r="C600" s="17" t="str">
        <f>IFERROR(__xludf.DUMMYFUNCTION("""COMPUTED_VALUE"""),"Jacksonville, FL")</f>
        <v>Jacksonville, FL</v>
      </c>
      <c r="D600" s="17" t="str">
        <f>IFERROR(__xludf.DUMMYFUNCTION("""COMPUTED_VALUE"""),"Multifamily")</f>
        <v>Multifamily</v>
      </c>
      <c r="E600" s="17">
        <f>IFERROR(__xludf.DUMMYFUNCTION("""COMPUTED_VALUE"""),2.17)</f>
        <v>2.17</v>
      </c>
      <c r="F600" s="27">
        <f>IFERROR(__xludf.DUMMYFUNCTION("""COMPUTED_VALUE"""),1.23)</f>
        <v>1.23</v>
      </c>
      <c r="G600" s="13">
        <f>IFERROR(__xludf.DUMMYFUNCTION("""COMPUTED_VALUE"""),0.1137)</f>
        <v>0.1137</v>
      </c>
    </row>
    <row r="601">
      <c r="A601" s="17" t="str">
        <f>IFERROR(__xludf.DUMMYFUNCTION("""COMPUTED_VALUE"""),"Bluerock")</f>
        <v>Bluerock</v>
      </c>
      <c r="B601" s="17" t="str">
        <f>IFERROR(__xludf.DUMMYFUNCTION("""COMPUTED_VALUE"""),"The Conley")</f>
        <v>The Conley</v>
      </c>
      <c r="C601" s="17" t="str">
        <f>IFERROR(__xludf.DUMMYFUNCTION("""COMPUTED_VALUE"""),"Leander, TX")</f>
        <v>Leander, TX</v>
      </c>
      <c r="D601" s="17" t="str">
        <f>IFERROR(__xludf.DUMMYFUNCTION("""COMPUTED_VALUE"""),"Multifamily")</f>
        <v>Multifamily</v>
      </c>
      <c r="E601" s="17">
        <f>IFERROR(__xludf.DUMMYFUNCTION("""COMPUTED_VALUE"""),2.42)</f>
        <v>2.42</v>
      </c>
      <c r="F601" s="27">
        <f>IFERROR(__xludf.DUMMYFUNCTION("""COMPUTED_VALUE"""),1.25)</f>
        <v>1.25</v>
      </c>
      <c r="G601" s="13">
        <f>IFERROR(__xludf.DUMMYFUNCTION("""COMPUTED_VALUE"""),0.13)</f>
        <v>0.13</v>
      </c>
    </row>
    <row r="602">
      <c r="A602" s="17" t="str">
        <f>IFERROR(__xludf.DUMMYFUNCTION("""COMPUTED_VALUE"""),"Bluerock")</f>
        <v>Bluerock</v>
      </c>
      <c r="B602" s="17" t="str">
        <f>IFERROR(__xludf.DUMMYFUNCTION("""COMPUTED_VALUE"""),"The Cottages at Warner Robins")</f>
        <v>The Cottages at Warner Robins</v>
      </c>
      <c r="C602" s="17" t="str">
        <f>IFERROR(__xludf.DUMMYFUNCTION("""COMPUTED_VALUE"""),"Warner Robins, GA")</f>
        <v>Warner Robins, GA</v>
      </c>
      <c r="D602" s="17" t="str">
        <f>IFERROR(__xludf.DUMMYFUNCTION("""COMPUTED_VALUE"""),"Multifamily")</f>
        <v>Multifamily</v>
      </c>
      <c r="E602" s="17">
        <f>IFERROR(__xludf.DUMMYFUNCTION("""COMPUTED_VALUE"""),2.0)</f>
        <v>2</v>
      </c>
      <c r="F602" s="27">
        <f>IFERROR(__xludf.DUMMYFUNCTION("""COMPUTED_VALUE"""),1.25)</f>
        <v>1.25</v>
      </c>
      <c r="G602" s="13">
        <f>IFERROR(__xludf.DUMMYFUNCTION("""COMPUTED_VALUE"""),0.125)</f>
        <v>0.125</v>
      </c>
    </row>
    <row r="603">
      <c r="A603" s="17" t="str">
        <f>IFERROR(__xludf.DUMMYFUNCTION("""COMPUTED_VALUE"""),"Bluerock")</f>
        <v>Bluerock</v>
      </c>
      <c r="B603" s="17" t="str">
        <f>IFERROR(__xludf.DUMMYFUNCTION("""COMPUTED_VALUE"""),"The DeSota")</f>
        <v>The DeSota</v>
      </c>
      <c r="C603" s="17" t="str">
        <f>IFERROR(__xludf.DUMMYFUNCTION("""COMPUTED_VALUE"""),"Sarasota, FL")</f>
        <v>Sarasota, FL</v>
      </c>
      <c r="D603" s="17" t="str">
        <f>IFERROR(__xludf.DUMMYFUNCTION("""COMPUTED_VALUE"""),"Multifamily")</f>
        <v>Multifamily</v>
      </c>
      <c r="E603" s="17">
        <f>IFERROR(__xludf.DUMMYFUNCTION("""COMPUTED_VALUE"""),3.92)</f>
        <v>3.92</v>
      </c>
      <c r="F603" s="27">
        <f>IFERROR(__xludf.DUMMYFUNCTION("""COMPUTED_VALUE"""),1.26)</f>
        <v>1.26</v>
      </c>
      <c r="G603" s="13">
        <f>IFERROR(__xludf.DUMMYFUNCTION("""COMPUTED_VALUE"""),0.131)</f>
        <v>0.131</v>
      </c>
    </row>
    <row r="604">
      <c r="A604" s="17" t="str">
        <f>IFERROR(__xludf.DUMMYFUNCTION("""COMPUTED_VALUE"""),"Bluerock")</f>
        <v>Bluerock</v>
      </c>
      <c r="B604" s="17" t="str">
        <f>IFERROR(__xludf.DUMMYFUNCTION("""COMPUTED_VALUE"""),"The District at Scottsdale")</f>
        <v>The District at Scottsdale</v>
      </c>
      <c r="C604" s="17" t="str">
        <f>IFERROR(__xludf.DUMMYFUNCTION("""COMPUTED_VALUE"""),"Scottsdale, AZ")</f>
        <v>Scottsdale, AZ</v>
      </c>
      <c r="D604" s="17" t="str">
        <f>IFERROR(__xludf.DUMMYFUNCTION("""COMPUTED_VALUE"""),"Multifamily")</f>
        <v>Multifamily</v>
      </c>
      <c r="E604" s="17">
        <f>IFERROR(__xludf.DUMMYFUNCTION("""COMPUTED_VALUE"""),1.58)</f>
        <v>1.58</v>
      </c>
      <c r="F604" s="27">
        <f>IFERROR(__xludf.DUMMYFUNCTION("""COMPUTED_VALUE"""),1.4)</f>
        <v>1.4</v>
      </c>
      <c r="G604" s="13">
        <f>IFERROR(__xludf.DUMMYFUNCTION("""COMPUTED_VALUE"""),0.2516)</f>
        <v>0.2516</v>
      </c>
    </row>
    <row r="605">
      <c r="A605" s="17" t="str">
        <f>IFERROR(__xludf.DUMMYFUNCTION("""COMPUTED_VALUE"""),"Walton Global Holdings")</f>
        <v>Walton Global Holdings</v>
      </c>
      <c r="B605" s="17" t="str">
        <f>IFERROR(__xludf.DUMMYFUNCTION("""COMPUTED_VALUE"""),"The Georgian Sub.")</f>
        <v>The Georgian Sub.</v>
      </c>
      <c r="C605" s="17" t="str">
        <f>IFERROR(__xludf.DUMMYFUNCTION("""COMPUTED_VALUE"""),"Atlanta, GA")</f>
        <v>Atlanta, GA</v>
      </c>
      <c r="D605" s="17" t="str">
        <f>IFERROR(__xludf.DUMMYFUNCTION("""COMPUTED_VALUE"""),"Land")</f>
        <v>Land</v>
      </c>
      <c r="E605" s="17">
        <f>IFERROR(__xludf.DUMMYFUNCTION("""COMPUTED_VALUE"""),7.93)</f>
        <v>7.93</v>
      </c>
      <c r="F605" s="27">
        <f>IFERROR(__xludf.DUMMYFUNCTION("""COMPUTED_VALUE"""),2.14)</f>
        <v>2.14</v>
      </c>
      <c r="G605" s="13">
        <f>IFERROR(__xludf.DUMMYFUNCTION("""COMPUTED_VALUE"""),0.2118)</f>
        <v>0.2118</v>
      </c>
    </row>
    <row r="606">
      <c r="A606" s="17" t="str">
        <f>IFERROR(__xludf.DUMMYFUNCTION("""COMPUTED_VALUE"""),"Bluerock")</f>
        <v>Bluerock</v>
      </c>
      <c r="B606" s="17" t="str">
        <f>IFERROR(__xludf.DUMMYFUNCTION("""COMPUTED_VALUE"""),"The Hartley at Blue Hill Loan")</f>
        <v>The Hartley at Blue Hill Loan</v>
      </c>
      <c r="C606" s="17" t="str">
        <f>IFERROR(__xludf.DUMMYFUNCTION("""COMPUTED_VALUE"""),"Chapel Hill, NC")</f>
        <v>Chapel Hill, NC</v>
      </c>
      <c r="D606" s="17" t="str">
        <f>IFERROR(__xludf.DUMMYFUNCTION("""COMPUTED_VALUE"""),"Multifamily")</f>
        <v>Multifamily</v>
      </c>
      <c r="E606" s="17">
        <f>IFERROR(__xludf.DUMMYFUNCTION("""COMPUTED_VALUE"""),2.17)</f>
        <v>2.17</v>
      </c>
      <c r="F606" s="27">
        <f>IFERROR(__xludf.DUMMYFUNCTION("""COMPUTED_VALUE"""),1.21)</f>
        <v>1.21</v>
      </c>
      <c r="G606" s="13">
        <f>IFERROR(__xludf.DUMMYFUNCTION("""COMPUTED_VALUE"""),0.115)</f>
        <v>0.115</v>
      </c>
    </row>
    <row r="607">
      <c r="A607" s="17" t="str">
        <f>IFERROR(__xludf.DUMMYFUNCTION("""COMPUTED_VALUE"""),"Passco")</f>
        <v>Passco</v>
      </c>
      <c r="B607" s="17" t="str">
        <f>IFERROR(__xludf.DUMMYFUNCTION("""COMPUTED_VALUE"""),"The Ivy")</f>
        <v>The Ivy</v>
      </c>
      <c r="C607" s="17" t="str">
        <f>IFERROR(__xludf.DUMMYFUNCTION("""COMPUTED_VALUE"""),"Orlando, FL")</f>
        <v>Orlando, FL</v>
      </c>
      <c r="D607" s="17" t="str">
        <f>IFERROR(__xludf.DUMMYFUNCTION("""COMPUTED_VALUE"""),"Multifamily")</f>
        <v>Multifamily</v>
      </c>
      <c r="E607" s="17">
        <f>IFERROR(__xludf.DUMMYFUNCTION("""COMPUTED_VALUE"""),5.0)</f>
        <v>5</v>
      </c>
      <c r="F607" s="27">
        <f>IFERROR(__xludf.DUMMYFUNCTION("""COMPUTED_VALUE"""),1.17)</f>
        <v>1.17</v>
      </c>
      <c r="G607" s="13">
        <f>IFERROR(__xludf.DUMMYFUNCTION("""COMPUTED_VALUE"""),0.0315)</f>
        <v>0.0315</v>
      </c>
    </row>
    <row r="608">
      <c r="A608" s="17" t="str">
        <f>IFERROR(__xludf.DUMMYFUNCTION("""COMPUTED_VALUE"""),"Passco")</f>
        <v>Passco</v>
      </c>
      <c r="B608" s="17" t="str">
        <f>IFERROR(__xludf.DUMMYFUNCTION("""COMPUTED_VALUE"""),"The Lexington")</f>
        <v>The Lexington</v>
      </c>
      <c r="C608" s="17" t="str">
        <f>IFERROR(__xludf.DUMMYFUNCTION("""COMPUTED_VALUE"""),"Nashville, TN")</f>
        <v>Nashville, TN</v>
      </c>
      <c r="D608" s="17" t="str">
        <f>IFERROR(__xludf.DUMMYFUNCTION("""COMPUTED_VALUE"""),"Multifamily")</f>
        <v>Multifamily</v>
      </c>
      <c r="E608" s="17">
        <f>IFERROR(__xludf.DUMMYFUNCTION("""COMPUTED_VALUE"""),5.0)</f>
        <v>5</v>
      </c>
      <c r="F608" s="27">
        <f>IFERROR(__xludf.DUMMYFUNCTION("""COMPUTED_VALUE"""),1.52)</f>
        <v>1.52</v>
      </c>
      <c r="G608" s="13">
        <f>IFERROR(__xludf.DUMMYFUNCTION("""COMPUTED_VALUE"""),0.0867)</f>
        <v>0.0867</v>
      </c>
    </row>
    <row r="609">
      <c r="A609" s="17" t="str">
        <f>IFERROR(__xludf.DUMMYFUNCTION("""COMPUTED_VALUE"""),"Bluerock")</f>
        <v>Bluerock</v>
      </c>
      <c r="B609" s="17" t="str">
        <f>IFERROR(__xludf.DUMMYFUNCTION("""COMPUTED_VALUE"""),"The Links at Plum Creek")</f>
        <v>The Links at Plum Creek</v>
      </c>
      <c r="C609" s="17" t="str">
        <f>IFERROR(__xludf.DUMMYFUNCTION("""COMPUTED_VALUE"""),"Castle Rock, CO")</f>
        <v>Castle Rock, CO</v>
      </c>
      <c r="D609" s="17" t="str">
        <f>IFERROR(__xludf.DUMMYFUNCTION("""COMPUTED_VALUE"""),"Multifamily")</f>
        <v>Multifamily</v>
      </c>
      <c r="E609" s="17">
        <f>IFERROR(__xludf.DUMMYFUNCTION("""COMPUTED_VALUE"""),4.5)</f>
        <v>4.5</v>
      </c>
      <c r="F609" s="27">
        <f>IFERROR(__xludf.DUMMYFUNCTION("""COMPUTED_VALUE"""),2.54)</f>
        <v>2.54</v>
      </c>
      <c r="G609" s="13">
        <f>IFERROR(__xludf.DUMMYFUNCTION("""COMPUTED_VALUE"""),0.2523)</f>
        <v>0.2523</v>
      </c>
    </row>
    <row r="610">
      <c r="A610" s="17" t="str">
        <f>IFERROR(__xludf.DUMMYFUNCTION("""COMPUTED_VALUE"""),"Bluerock")</f>
        <v>Bluerock</v>
      </c>
      <c r="B610" s="17" t="str">
        <f>IFERROR(__xludf.DUMMYFUNCTION("""COMPUTED_VALUE"""),"The Mills")</f>
        <v>The Mills</v>
      </c>
      <c r="C610" s="17" t="str">
        <f>IFERROR(__xludf.DUMMYFUNCTION("""COMPUTED_VALUE"""),"Greenville, SC")</f>
        <v>Greenville, SC</v>
      </c>
      <c r="D610" s="17" t="str">
        <f>IFERROR(__xludf.DUMMYFUNCTION("""COMPUTED_VALUE"""),"Multifamily")</f>
        <v>Multifamily</v>
      </c>
      <c r="E610" s="17">
        <f>IFERROR(__xludf.DUMMYFUNCTION("""COMPUTED_VALUE"""),4.92)</f>
        <v>4.92</v>
      </c>
      <c r="F610" s="27">
        <f>IFERROR(__xludf.DUMMYFUNCTION("""COMPUTED_VALUE"""),3.15)</f>
        <v>3.15</v>
      </c>
      <c r="G610" s="13">
        <f>IFERROR(__xludf.DUMMYFUNCTION("""COMPUTED_VALUE"""),0.2967)</f>
        <v>0.2967</v>
      </c>
    </row>
    <row r="611">
      <c r="A611" s="17" t="str">
        <f>IFERROR(__xludf.DUMMYFUNCTION("""COMPUTED_VALUE"""),"Passco")</f>
        <v>Passco</v>
      </c>
      <c r="B611" s="17" t="str">
        <f>IFERROR(__xludf.DUMMYFUNCTION("""COMPUTED_VALUE"""),"The Overlook")</f>
        <v>The Overlook</v>
      </c>
      <c r="C611" s="17" t="str">
        <f>IFERROR(__xludf.DUMMYFUNCTION("""COMPUTED_VALUE"""),"Antioch, TN")</f>
        <v>Antioch, TN</v>
      </c>
      <c r="D611" s="17" t="str">
        <f>IFERROR(__xludf.DUMMYFUNCTION("""COMPUTED_VALUE"""),"Multifamily")</f>
        <v>Multifamily</v>
      </c>
      <c r="E611" s="17">
        <f>IFERROR(__xludf.DUMMYFUNCTION("""COMPUTED_VALUE"""),5.0)</f>
        <v>5</v>
      </c>
      <c r="F611" s="27">
        <f>IFERROR(__xludf.DUMMYFUNCTION("""COMPUTED_VALUE"""),1.56)</f>
        <v>1.56</v>
      </c>
      <c r="G611" s="13">
        <f>IFERROR(__xludf.DUMMYFUNCTION("""COMPUTED_VALUE"""),0.0929)</f>
        <v>0.0929</v>
      </c>
    </row>
    <row r="612">
      <c r="A612" s="17" t="str">
        <f>IFERROR(__xludf.DUMMYFUNCTION("""COMPUTED_VALUE"""),"Passco")</f>
        <v>Passco</v>
      </c>
      <c r="B612" s="17" t="str">
        <f>IFERROR(__xludf.DUMMYFUNCTION("""COMPUTED_VALUE"""),"The Parker")</f>
        <v>The Parker</v>
      </c>
      <c r="C612" s="17" t="str">
        <f>IFERROR(__xludf.DUMMYFUNCTION("""COMPUTED_VALUE"""),"Fairfax County, VA")</f>
        <v>Fairfax County, VA</v>
      </c>
      <c r="D612" s="17" t="str">
        <f>IFERROR(__xludf.DUMMYFUNCTION("""COMPUTED_VALUE"""),"Multifamily")</f>
        <v>Multifamily</v>
      </c>
      <c r="E612" s="17">
        <f>IFERROR(__xludf.DUMMYFUNCTION("""COMPUTED_VALUE"""),5.0)</f>
        <v>5</v>
      </c>
      <c r="F612" s="27">
        <f>IFERROR(__xludf.DUMMYFUNCTION("""COMPUTED_VALUE"""),1.36)</f>
        <v>1.36</v>
      </c>
      <c r="G612" s="13">
        <f>IFERROR(__xludf.DUMMYFUNCTION("""COMPUTED_VALUE"""),0.0632)</f>
        <v>0.0632</v>
      </c>
    </row>
    <row r="613">
      <c r="A613" s="17" t="str">
        <f>IFERROR(__xludf.DUMMYFUNCTION("""COMPUTED_VALUE"""),"Bluerock")</f>
        <v>Bluerock</v>
      </c>
      <c r="B613" s="17" t="str">
        <f>IFERROR(__xludf.DUMMYFUNCTION("""COMPUTED_VALUE"""),"The Preserve at Henderson Beach")</f>
        <v>The Preserve at Henderson Beach</v>
      </c>
      <c r="C613" s="17" t="str">
        <f>IFERROR(__xludf.DUMMYFUNCTION("""COMPUTED_VALUE"""),"Destin, FL")</f>
        <v>Destin, FL</v>
      </c>
      <c r="D613" s="17" t="str">
        <f>IFERROR(__xludf.DUMMYFUNCTION("""COMPUTED_VALUE"""),"Multifamily")</f>
        <v>Multifamily</v>
      </c>
      <c r="E613" s="17">
        <f>IFERROR(__xludf.DUMMYFUNCTION("""COMPUTED_VALUE"""),6.58)</f>
        <v>6.58</v>
      </c>
      <c r="F613" s="27">
        <f>IFERROR(__xludf.DUMMYFUNCTION("""COMPUTED_VALUE"""),4.8)</f>
        <v>4.8</v>
      </c>
      <c r="G613" s="13">
        <f>IFERROR(__xludf.DUMMYFUNCTION("""COMPUTED_VALUE"""),0.3476)</f>
        <v>0.3476</v>
      </c>
    </row>
    <row r="614">
      <c r="A614" s="17" t="str">
        <f>IFERROR(__xludf.DUMMYFUNCTION("""COMPUTED_VALUE"""),"Bluerock")</f>
        <v>Bluerock</v>
      </c>
      <c r="B614" s="17" t="str">
        <f>IFERROR(__xludf.DUMMYFUNCTION("""COMPUTED_VALUE"""),"The Reserve at Palmer Ranch")</f>
        <v>The Reserve at Palmer Ranch</v>
      </c>
      <c r="C614" s="17" t="str">
        <f>IFERROR(__xludf.DUMMYFUNCTION("""COMPUTED_VALUE"""),"Sarasota, FL")</f>
        <v>Sarasota, FL</v>
      </c>
      <c r="D614" s="17" t="str">
        <f>IFERROR(__xludf.DUMMYFUNCTION("""COMPUTED_VALUE"""),"Multifamily")</f>
        <v>Multifamily</v>
      </c>
      <c r="E614" s="17">
        <f>IFERROR(__xludf.DUMMYFUNCTION("""COMPUTED_VALUE"""),5.5)</f>
        <v>5.5</v>
      </c>
      <c r="F614" s="27">
        <f>IFERROR(__xludf.DUMMYFUNCTION("""COMPUTED_VALUE"""),3.46)</f>
        <v>3.46</v>
      </c>
      <c r="G614" s="13">
        <f>IFERROR(__xludf.DUMMYFUNCTION("""COMPUTED_VALUE"""),0.222)</f>
        <v>0.222</v>
      </c>
    </row>
    <row r="615">
      <c r="A615" s="17" t="str">
        <f>IFERROR(__xludf.DUMMYFUNCTION("""COMPUTED_VALUE"""),"Bluerock")</f>
        <v>Bluerock</v>
      </c>
      <c r="B615" s="17" t="str">
        <f>IFERROR(__xludf.DUMMYFUNCTION("""COMPUTED_VALUE"""),"The Reserve at Palmer Ranch (II)")</f>
        <v>The Reserve at Palmer Ranch (II)</v>
      </c>
      <c r="C615" s="17" t="str">
        <f>IFERROR(__xludf.DUMMYFUNCTION("""COMPUTED_VALUE"""),"Sarasota, FL")</f>
        <v>Sarasota, FL</v>
      </c>
      <c r="D615" s="17" t="str">
        <f>IFERROR(__xludf.DUMMYFUNCTION("""COMPUTED_VALUE"""),"Multifamily")</f>
        <v>Multifamily</v>
      </c>
      <c r="E615" s="17">
        <f>IFERROR(__xludf.DUMMYFUNCTION("""COMPUTED_VALUE"""),1.33)</f>
        <v>1.33</v>
      </c>
      <c r="F615" s="27">
        <f>IFERROR(__xludf.DUMMYFUNCTION("""COMPUTED_VALUE"""),1.16)</f>
        <v>1.16</v>
      </c>
      <c r="G615" s="13">
        <f>IFERROR(__xludf.DUMMYFUNCTION("""COMPUTED_VALUE"""),0.1226)</f>
        <v>0.1226</v>
      </c>
    </row>
    <row r="616">
      <c r="A616" s="17" t="str">
        <f>IFERROR(__xludf.DUMMYFUNCTION("""COMPUTED_VALUE"""),"Walton Global Holdings")</f>
        <v>Walton Global Holdings</v>
      </c>
      <c r="B616" s="17" t="str">
        <f>IFERROR(__xludf.DUMMYFUNCTION("""COMPUTED_VALUE"""),"The Ridges at Concord")</f>
        <v>The Ridges at Concord</v>
      </c>
      <c r="C616" s="17" t="str">
        <f>IFERROR(__xludf.DUMMYFUNCTION("""COMPUTED_VALUE"""),"Charlotte, NC")</f>
        <v>Charlotte, NC</v>
      </c>
      <c r="D616" s="17" t="str">
        <f>IFERROR(__xludf.DUMMYFUNCTION("""COMPUTED_VALUE"""),"Land")</f>
        <v>Land</v>
      </c>
      <c r="E616" s="17">
        <f>IFERROR(__xludf.DUMMYFUNCTION("""COMPUTED_VALUE"""),3.18)</f>
        <v>3.18</v>
      </c>
      <c r="F616" s="27">
        <f>IFERROR(__xludf.DUMMYFUNCTION("""COMPUTED_VALUE"""),1.1)</f>
        <v>1.1</v>
      </c>
      <c r="G616" s="13">
        <f>IFERROR(__xludf.DUMMYFUNCTION("""COMPUTED_VALUE"""),0.037)</f>
        <v>0.037</v>
      </c>
    </row>
    <row r="617">
      <c r="A617" s="17" t="str">
        <f>IFERROR(__xludf.DUMMYFUNCTION("""COMPUTED_VALUE"""),"Bluerock")</f>
        <v>Bluerock</v>
      </c>
      <c r="B617" s="17" t="str">
        <f>IFERROR(__xludf.DUMMYFUNCTION("""COMPUTED_VALUE"""),"The Riley")</f>
        <v>The Riley</v>
      </c>
      <c r="C617" s="17" t="str">
        <f>IFERROR(__xludf.DUMMYFUNCTION("""COMPUTED_VALUE"""),"Richardson, TX")</f>
        <v>Richardson, TX</v>
      </c>
      <c r="D617" s="17" t="str">
        <f>IFERROR(__xludf.DUMMYFUNCTION("""COMPUTED_VALUE"""),"Multifamily")</f>
        <v>Multifamily</v>
      </c>
      <c r="E617" s="17">
        <f>IFERROR(__xludf.DUMMYFUNCTION("""COMPUTED_VALUE"""),1.58)</f>
        <v>1.58</v>
      </c>
      <c r="F617" s="27">
        <f>IFERROR(__xludf.DUMMYFUNCTION("""COMPUTED_VALUE"""),1.19)</f>
        <v>1.19</v>
      </c>
      <c r="G617" s="13">
        <f>IFERROR(__xludf.DUMMYFUNCTION("""COMPUTED_VALUE"""),0.1189)</f>
        <v>0.1189</v>
      </c>
    </row>
    <row r="618">
      <c r="A618" s="17" t="str">
        <f>IFERROR(__xludf.DUMMYFUNCTION("""COMPUTED_VALUE"""),"Bluerock")</f>
        <v>Bluerock</v>
      </c>
      <c r="B618" s="17" t="str">
        <f>IFERROR(__xludf.DUMMYFUNCTION("""COMPUTED_VALUE"""),"The Sanctuary")</f>
        <v>The Sanctuary</v>
      </c>
      <c r="C618" s="17" t="str">
        <f>IFERROR(__xludf.DUMMYFUNCTION("""COMPUTED_VALUE"""),"Las Vegas, NV")</f>
        <v>Las Vegas, NV</v>
      </c>
      <c r="D618" s="17" t="str">
        <f>IFERROR(__xludf.DUMMYFUNCTION("""COMPUTED_VALUE"""),"Multifamily")</f>
        <v>Multifamily</v>
      </c>
      <c r="E618" s="17">
        <f>IFERROR(__xludf.DUMMYFUNCTION("""COMPUTED_VALUE"""),3.25)</f>
        <v>3.25</v>
      </c>
      <c r="F618" s="27">
        <f>IFERROR(__xludf.DUMMYFUNCTION("""COMPUTED_VALUE"""),3.01)</f>
        <v>3.01</v>
      </c>
      <c r="G618" s="13">
        <f>IFERROR(__xludf.DUMMYFUNCTION("""COMPUTED_VALUE"""),0.4441)</f>
        <v>0.4441</v>
      </c>
    </row>
    <row r="619">
      <c r="A619" s="17" t="str">
        <f>IFERROR(__xludf.DUMMYFUNCTION("""COMPUTED_VALUE"""),"Passco")</f>
        <v>Passco</v>
      </c>
      <c r="B619" s="17" t="str">
        <f>IFERROR(__xludf.DUMMYFUNCTION("""COMPUTED_VALUE"""),"The Shelby")</f>
        <v>The Shelby</v>
      </c>
      <c r="C619" s="17" t="str">
        <f>IFERROR(__xludf.DUMMYFUNCTION("""COMPUTED_VALUE"""),"Alexandria, VA")</f>
        <v>Alexandria, VA</v>
      </c>
      <c r="D619" s="17" t="str">
        <f>IFERROR(__xludf.DUMMYFUNCTION("""COMPUTED_VALUE"""),"Multifamily")</f>
        <v>Multifamily</v>
      </c>
      <c r="E619" s="17">
        <f>IFERROR(__xludf.DUMMYFUNCTION("""COMPUTED_VALUE"""),5.0)</f>
        <v>5</v>
      </c>
      <c r="F619" s="27">
        <f>IFERROR(__xludf.DUMMYFUNCTION("""COMPUTED_VALUE"""),1.26)</f>
        <v>1.26</v>
      </c>
      <c r="G619" s="13">
        <f>IFERROR(__xludf.DUMMYFUNCTION("""COMPUTED_VALUE"""),0.047)</f>
        <v>0.047</v>
      </c>
    </row>
    <row r="620">
      <c r="A620" s="17" t="str">
        <f>IFERROR(__xludf.DUMMYFUNCTION("""COMPUTED_VALUE"""),"Bluerock")</f>
        <v>Bluerock</v>
      </c>
      <c r="B620" s="17" t="str">
        <f>IFERROR(__xludf.DUMMYFUNCTION("""COMPUTED_VALUE"""),"The Stratford")</f>
        <v>The Stratford</v>
      </c>
      <c r="C620" s="17" t="str">
        <f>IFERROR(__xludf.DUMMYFUNCTION("""COMPUTED_VALUE"""),"Cary, NC")</f>
        <v>Cary, NC</v>
      </c>
      <c r="D620" s="17" t="str">
        <f>IFERROR(__xludf.DUMMYFUNCTION("""COMPUTED_VALUE"""),"Multifamily")</f>
        <v>Multifamily</v>
      </c>
      <c r="E620" s="17">
        <f>IFERROR(__xludf.DUMMYFUNCTION("""COMPUTED_VALUE"""),1.42)</f>
        <v>1.42</v>
      </c>
      <c r="F620" s="27">
        <f>IFERROR(__xludf.DUMMYFUNCTION("""COMPUTED_VALUE"""),1.49)</f>
        <v>1.49</v>
      </c>
      <c r="G620" s="13">
        <f>IFERROR(__xludf.DUMMYFUNCTION("""COMPUTED_VALUE"""),0.229)</f>
        <v>0.229</v>
      </c>
    </row>
    <row r="621">
      <c r="A621" s="17" t="str">
        <f>IFERROR(__xludf.DUMMYFUNCTION("""COMPUTED_VALUE"""),"Syndicated Equities")</f>
        <v>Syndicated Equities</v>
      </c>
      <c r="B621" s="17" t="str">
        <f>IFERROR(__xludf.DUMMYFUNCTION("""COMPUTED_VALUE"""),"The Vista &amp; Willow Creek")</f>
        <v>The Vista &amp; Willow Creek</v>
      </c>
      <c r="C621" s="17" t="str">
        <f>IFERROR(__xludf.DUMMYFUNCTION("""COMPUTED_VALUE"""),"Portage and Battle Creek, MI")</f>
        <v>Portage and Battle Creek, MI</v>
      </c>
      <c r="D621" s="17"/>
      <c r="E621" s="17">
        <f>IFERROR(__xludf.DUMMYFUNCTION("""COMPUTED_VALUE"""),2.21)</f>
        <v>2.21</v>
      </c>
      <c r="F621" s="27">
        <f>IFERROR(__xludf.DUMMYFUNCTION("""COMPUTED_VALUE"""),1.19)</f>
        <v>1.19</v>
      </c>
      <c r="G621" s="13">
        <f>IFERROR(__xludf.DUMMYFUNCTION("""COMPUTED_VALUE"""),0.082)</f>
        <v>0.082</v>
      </c>
    </row>
    <row r="622">
      <c r="A622" s="17" t="str">
        <f>IFERROR(__xludf.DUMMYFUNCTION("""COMPUTED_VALUE"""),"Bluerock")</f>
        <v>Bluerock</v>
      </c>
      <c r="B622" s="17" t="str">
        <f>IFERROR(__xludf.DUMMYFUNCTION("""COMPUTED_VALUE"""),"The Woods at Forrest Hill")</f>
        <v>The Woods at Forrest Hill</v>
      </c>
      <c r="C622" s="17" t="str">
        <f>IFERROR(__xludf.DUMMYFUNCTION("""COMPUTED_VALUE"""),"Forrest Hill, TX")</f>
        <v>Forrest Hill, TX</v>
      </c>
      <c r="D622" s="17" t="str">
        <f>IFERROR(__xludf.DUMMYFUNCTION("""COMPUTED_VALUE"""),"Multifamily")</f>
        <v>Multifamily</v>
      </c>
      <c r="E622" s="17">
        <f>IFERROR(__xludf.DUMMYFUNCTION("""COMPUTED_VALUE"""),3.0)</f>
        <v>3</v>
      </c>
      <c r="F622" s="27">
        <f>IFERROR(__xludf.DUMMYFUNCTION("""COMPUTED_VALUE"""),1.15)</f>
        <v>1.15</v>
      </c>
      <c r="G622" s="13">
        <f>IFERROR(__xludf.DUMMYFUNCTION("""COMPUTED_VALUE"""),0.144)</f>
        <v>0.144</v>
      </c>
    </row>
    <row r="623">
      <c r="A623" s="17" t="str">
        <f>IFERROR(__xludf.DUMMYFUNCTION("""COMPUTED_VALUE"""),"Bluerock")</f>
        <v>Bluerock</v>
      </c>
      <c r="B623" s="17" t="str">
        <f>IFERROR(__xludf.DUMMYFUNCTION("""COMPUTED_VALUE"""),"Thornton Flats")</f>
        <v>Thornton Flats</v>
      </c>
      <c r="C623" s="17" t="str">
        <f>IFERROR(__xludf.DUMMYFUNCTION("""COMPUTED_VALUE"""),"Austin, TX")</f>
        <v>Austin, TX</v>
      </c>
      <c r="D623" s="17" t="str">
        <f>IFERROR(__xludf.DUMMYFUNCTION("""COMPUTED_VALUE"""),"Multifamily")</f>
        <v>Multifamily</v>
      </c>
      <c r="E623" s="17">
        <f>IFERROR(__xludf.DUMMYFUNCTION("""COMPUTED_VALUE"""),2.25)</f>
        <v>2.25</v>
      </c>
      <c r="F623" s="27">
        <f>IFERROR(__xludf.DUMMYFUNCTION("""COMPUTED_VALUE"""),1.18)</f>
        <v>1.18</v>
      </c>
      <c r="G623" s="13">
        <f>IFERROR(__xludf.DUMMYFUNCTION("""COMPUTED_VALUE"""),0.0931)</f>
        <v>0.0931</v>
      </c>
    </row>
    <row r="624">
      <c r="A624" s="17" t="str">
        <f>IFERROR(__xludf.DUMMYFUNCTION("""COMPUTED_VALUE"""),"Syndicated Equities")</f>
        <v>Syndicated Equities</v>
      </c>
      <c r="B624" s="17" t="str">
        <f>IFERROR(__xludf.DUMMYFUNCTION("""COMPUTED_VALUE"""),"Timber Hollow Apartments")</f>
        <v>Timber Hollow Apartments</v>
      </c>
      <c r="C624" s="17" t="str">
        <f>IFERROR(__xludf.DUMMYFUNCTION("""COMPUTED_VALUE"""),"Fairfield, OH")</f>
        <v>Fairfield, OH</v>
      </c>
      <c r="D624" s="17"/>
      <c r="E624" s="17">
        <f>IFERROR(__xludf.DUMMYFUNCTION("""COMPUTED_VALUE"""),4.95)</f>
        <v>4.95</v>
      </c>
      <c r="F624" s="27">
        <f>IFERROR(__xludf.DUMMYFUNCTION("""COMPUTED_VALUE"""),1.47)</f>
        <v>1.47</v>
      </c>
      <c r="G624" s="13">
        <f>IFERROR(__xludf.DUMMYFUNCTION("""COMPUTED_VALUE"""),0.081)</f>
        <v>0.081</v>
      </c>
    </row>
    <row r="625">
      <c r="A625" s="17" t="str">
        <f>IFERROR(__xludf.DUMMYFUNCTION("""COMPUTED_VALUE"""),"AEI Capital Corporation")</f>
        <v>AEI Capital Corporation</v>
      </c>
      <c r="B625" s="17" t="str">
        <f>IFERROR(__xludf.DUMMYFUNCTION("""COMPUTED_VALUE"""),"Timber Lodge")</f>
        <v>Timber Lodge</v>
      </c>
      <c r="C625" s="17" t="str">
        <f>IFERROR(__xludf.DUMMYFUNCTION("""COMPUTED_VALUE"""),"Rochester, MN")</f>
        <v>Rochester, MN</v>
      </c>
      <c r="D625" s="17" t="str">
        <f>IFERROR(__xludf.DUMMYFUNCTION("""COMPUTED_VALUE"""),"Net Lease")</f>
        <v>Net Lease</v>
      </c>
      <c r="E625" s="17">
        <f>IFERROR(__xludf.DUMMYFUNCTION("""COMPUTED_VALUE"""),10.06)</f>
        <v>10.06</v>
      </c>
      <c r="F625" s="27">
        <f>IFERROR(__xludf.DUMMYFUNCTION("""COMPUTED_VALUE"""),1.21)</f>
        <v>1.21</v>
      </c>
      <c r="G625" s="13">
        <f>IFERROR(__xludf.DUMMYFUNCTION("""COMPUTED_VALUE"""),0.0683)</f>
        <v>0.0683</v>
      </c>
    </row>
    <row r="626">
      <c r="A626" s="17" t="str">
        <f>IFERROR(__xludf.DUMMYFUNCTION("""COMPUTED_VALUE"""),"AEI Capital Corporation")</f>
        <v>AEI Capital Corporation</v>
      </c>
      <c r="B626" s="17" t="str">
        <f>IFERROR(__xludf.DUMMYFUNCTION("""COMPUTED_VALUE"""),"Timber Lodge")</f>
        <v>Timber Lodge</v>
      </c>
      <c r="C626" s="17" t="str">
        <f>IFERROR(__xludf.DUMMYFUNCTION("""COMPUTED_VALUE"""),"St. Cloud, MN")</f>
        <v>St. Cloud, MN</v>
      </c>
      <c r="D626" s="17" t="str">
        <f>IFERROR(__xludf.DUMMYFUNCTION("""COMPUTED_VALUE"""),"Net Lease")</f>
        <v>Net Lease</v>
      </c>
      <c r="E626" s="17">
        <f>IFERROR(__xludf.DUMMYFUNCTION("""COMPUTED_VALUE"""),13.58)</f>
        <v>13.58</v>
      </c>
      <c r="F626" s="27">
        <f>IFERROR(__xludf.DUMMYFUNCTION("""COMPUTED_VALUE"""),1.21)</f>
        <v>1.21</v>
      </c>
      <c r="G626" s="13">
        <f>IFERROR(__xludf.DUMMYFUNCTION("""COMPUTED_VALUE"""),0.0578)</f>
        <v>0.0578</v>
      </c>
    </row>
    <row r="627">
      <c r="A627" s="17" t="str">
        <f>IFERROR(__xludf.DUMMYFUNCTION("""COMPUTED_VALUE"""),"Walton Global Holdings")</f>
        <v>Walton Global Holdings</v>
      </c>
      <c r="B627" s="17" t="str">
        <f>IFERROR(__xludf.DUMMYFUNCTION("""COMPUTED_VALUE"""),"Tortosa")</f>
        <v>Tortosa</v>
      </c>
      <c r="C627" s="17" t="str">
        <f>IFERROR(__xludf.DUMMYFUNCTION("""COMPUTED_VALUE"""),"Phoenix, AZ")</f>
        <v>Phoenix, AZ</v>
      </c>
      <c r="D627" s="17" t="str">
        <f>IFERROR(__xludf.DUMMYFUNCTION("""COMPUTED_VALUE"""),"Land")</f>
        <v>Land</v>
      </c>
      <c r="E627" s="17">
        <f>IFERROR(__xludf.DUMMYFUNCTION("""COMPUTED_VALUE"""),6.21)</f>
        <v>6.21</v>
      </c>
      <c r="F627" s="27">
        <f>IFERROR(__xludf.DUMMYFUNCTION("""COMPUTED_VALUE"""),1.3)</f>
        <v>1.3</v>
      </c>
      <c r="G627" s="13">
        <f>IFERROR(__xludf.DUMMYFUNCTION("""COMPUTED_VALUE"""),0.0497)</f>
        <v>0.0497</v>
      </c>
    </row>
    <row r="628">
      <c r="A628" s="17" t="str">
        <f>IFERROR(__xludf.DUMMYFUNCTION("""COMPUTED_VALUE"""),"AEI Capital Corporation")</f>
        <v>AEI Capital Corporation</v>
      </c>
      <c r="B628" s="17" t="str">
        <f>IFERROR(__xludf.DUMMYFUNCTION("""COMPUTED_VALUE"""),"Tractor Supply")</f>
        <v>Tractor Supply</v>
      </c>
      <c r="C628" s="17" t="str">
        <f>IFERROR(__xludf.DUMMYFUNCTION("""COMPUTED_VALUE"""),"Bristol, VA")</f>
        <v>Bristol, VA</v>
      </c>
      <c r="D628" s="17" t="str">
        <f>IFERROR(__xludf.DUMMYFUNCTION("""COMPUTED_VALUE"""),"Net Lease")</f>
        <v>Net Lease</v>
      </c>
      <c r="E628" s="17">
        <f>IFERROR(__xludf.DUMMYFUNCTION("""COMPUTED_VALUE"""),22.94)</f>
        <v>22.94</v>
      </c>
      <c r="F628" s="27">
        <f>IFERROR(__xludf.DUMMYFUNCTION("""COMPUTED_VALUE"""),3.49)</f>
        <v>3.49</v>
      </c>
      <c r="G628" s="13">
        <f>IFERROR(__xludf.DUMMYFUNCTION("""COMPUTED_VALUE"""),0.0946)</f>
        <v>0.0946</v>
      </c>
    </row>
    <row r="629">
      <c r="A629" s="17" t="str">
        <f>IFERROR(__xludf.DUMMYFUNCTION("""COMPUTED_VALUE"""),"AEI Capital Corporation")</f>
        <v>AEI Capital Corporation</v>
      </c>
      <c r="B629" s="17" t="str">
        <f>IFERROR(__xludf.DUMMYFUNCTION("""COMPUTED_VALUE"""),"Tumbleweed")</f>
        <v>Tumbleweed</v>
      </c>
      <c r="C629" s="17" t="str">
        <f>IFERROR(__xludf.DUMMYFUNCTION("""COMPUTED_VALUE"""),"Chillicothe, OH")</f>
        <v>Chillicothe, OH</v>
      </c>
      <c r="D629" s="17" t="str">
        <f>IFERROR(__xludf.DUMMYFUNCTION("""COMPUTED_VALUE"""),"Net Lease")</f>
        <v>Net Lease</v>
      </c>
      <c r="E629" s="17">
        <f>IFERROR(__xludf.DUMMYFUNCTION("""COMPUTED_VALUE"""),9.2)</f>
        <v>9.2</v>
      </c>
      <c r="F629" s="27">
        <f>IFERROR(__xludf.DUMMYFUNCTION("""COMPUTED_VALUE"""),1.62)</f>
        <v>1.62</v>
      </c>
      <c r="G629" s="13">
        <f>IFERROR(__xludf.DUMMYFUNCTION("""COMPUTED_VALUE"""),0.0881)</f>
        <v>0.0881</v>
      </c>
    </row>
    <row r="630">
      <c r="A630" s="17" t="str">
        <f>IFERROR(__xludf.DUMMYFUNCTION("""COMPUTED_VALUE"""),"AEI Capital Corporation")</f>
        <v>AEI Capital Corporation</v>
      </c>
      <c r="B630" s="17" t="str">
        <f>IFERROR(__xludf.DUMMYFUNCTION("""COMPUTED_VALUE"""),"Tumbleweed")</f>
        <v>Tumbleweed</v>
      </c>
      <c r="C630" s="17" t="str">
        <f>IFERROR(__xludf.DUMMYFUNCTION("""COMPUTED_VALUE"""),"Columbus, OH")</f>
        <v>Columbus, OH</v>
      </c>
      <c r="D630" s="17" t="str">
        <f>IFERROR(__xludf.DUMMYFUNCTION("""COMPUTED_VALUE"""),"Net Lease")</f>
        <v>Net Lease</v>
      </c>
      <c r="E630" s="17">
        <f>IFERROR(__xludf.DUMMYFUNCTION("""COMPUTED_VALUE"""),11.24)</f>
        <v>11.24</v>
      </c>
      <c r="F630" s="27">
        <f>IFERROR(__xludf.DUMMYFUNCTION("""COMPUTED_VALUE"""),1.43)</f>
        <v>1.43</v>
      </c>
      <c r="G630" s="13">
        <f>IFERROR(__xludf.DUMMYFUNCTION("""COMPUTED_VALUE"""),0.0742)</f>
        <v>0.0742</v>
      </c>
    </row>
    <row r="631">
      <c r="A631" s="17" t="str">
        <f>IFERROR(__xludf.DUMMYFUNCTION("""COMPUTED_VALUE"""),"Walton Global Holdings")</f>
        <v>Walton Global Holdings</v>
      </c>
      <c r="B631" s="17" t="str">
        <f>IFERROR(__xludf.DUMMYFUNCTION("""COMPUTED_VALUE"""),"Turner Crest")</f>
        <v>Turner Crest</v>
      </c>
      <c r="C631" s="17" t="str">
        <f>IFERROR(__xludf.DUMMYFUNCTION("""COMPUTED_VALUE"""),"Dallas-Fort Worth, TX")</f>
        <v>Dallas-Fort Worth, TX</v>
      </c>
      <c r="D631" s="17" t="str">
        <f>IFERROR(__xludf.DUMMYFUNCTION("""COMPUTED_VALUE"""),"Land")</f>
        <v>Land</v>
      </c>
      <c r="E631" s="17">
        <f>IFERROR(__xludf.DUMMYFUNCTION("""COMPUTED_VALUE"""),6.95)</f>
        <v>6.95</v>
      </c>
      <c r="F631" s="27">
        <f>IFERROR(__xludf.DUMMYFUNCTION("""COMPUTED_VALUE"""),1.72)</f>
        <v>1.72</v>
      </c>
      <c r="G631" s="13">
        <f>IFERROR(__xludf.DUMMYFUNCTION("""COMPUTED_VALUE"""),0.0783)</f>
        <v>0.0783</v>
      </c>
    </row>
    <row r="632">
      <c r="A632" s="17" t="str">
        <f>IFERROR(__xludf.DUMMYFUNCTION("""COMPUTED_VALUE"""),"Passco")</f>
        <v>Passco</v>
      </c>
      <c r="B632" s="17" t="str">
        <f>IFERROR(__xludf.DUMMYFUNCTION("""COMPUTED_VALUE"""),"Twenty25")</f>
        <v>Twenty25</v>
      </c>
      <c r="C632" s="17" t="str">
        <f>IFERROR(__xludf.DUMMYFUNCTION("""COMPUTED_VALUE"""),"Kennesaw, GA")</f>
        <v>Kennesaw, GA</v>
      </c>
      <c r="D632" s="17" t="str">
        <f>IFERROR(__xludf.DUMMYFUNCTION("""COMPUTED_VALUE"""),"Multifamily")</f>
        <v>Multifamily</v>
      </c>
      <c r="E632" s="17">
        <f>IFERROR(__xludf.DUMMYFUNCTION("""COMPUTED_VALUE"""),7.0)</f>
        <v>7</v>
      </c>
      <c r="F632" s="27">
        <f>IFERROR(__xludf.DUMMYFUNCTION("""COMPUTED_VALUE"""),3.84)</f>
        <v>3.84</v>
      </c>
      <c r="G632" s="13">
        <f>IFERROR(__xludf.DUMMYFUNCTION("""COMPUTED_VALUE"""),0.2119)</f>
        <v>0.2119</v>
      </c>
    </row>
    <row r="633">
      <c r="A633" s="17" t="str">
        <f>IFERROR(__xludf.DUMMYFUNCTION("""COMPUTED_VALUE"""),"Passco")</f>
        <v>Passco</v>
      </c>
      <c r="B633" s="17" t="str">
        <f>IFERROR(__xludf.DUMMYFUNCTION("""COMPUTED_VALUE"""),"Two Blocks")</f>
        <v>Two Blocks</v>
      </c>
      <c r="C633" s="17" t="str">
        <f>IFERROR(__xludf.DUMMYFUNCTION("""COMPUTED_VALUE"""),"Dunwoody, GA")</f>
        <v>Dunwoody, GA</v>
      </c>
      <c r="D633" s="17" t="str">
        <f>IFERROR(__xludf.DUMMYFUNCTION("""COMPUTED_VALUE"""),"Multifamily")</f>
        <v>Multifamily</v>
      </c>
      <c r="E633" s="17">
        <f>IFERROR(__xludf.DUMMYFUNCTION("""COMPUTED_VALUE"""),5.0)</f>
        <v>5</v>
      </c>
      <c r="F633" s="27">
        <f>IFERROR(__xludf.DUMMYFUNCTION("""COMPUTED_VALUE"""),2.11)</f>
        <v>2.11</v>
      </c>
      <c r="G633" s="13">
        <f>IFERROR(__xludf.DUMMYFUNCTION("""COMPUTED_VALUE"""),0.1608)</f>
        <v>0.1608</v>
      </c>
    </row>
    <row r="634">
      <c r="A634" s="17" t="str">
        <f>IFERROR(__xludf.DUMMYFUNCTION("""COMPUTED_VALUE"""),"Syndicated Equities")</f>
        <v>Syndicated Equities</v>
      </c>
      <c r="B634" s="17" t="str">
        <f>IFERROR(__xludf.DUMMYFUNCTION("""COMPUTED_VALUE"""),"Two Park Office Building")</f>
        <v>Two Park Office Building</v>
      </c>
      <c r="C634" s="17" t="str">
        <f>IFERROR(__xludf.DUMMYFUNCTION("""COMPUTED_VALUE"""),"Milwaukee, WI")</f>
        <v>Milwaukee, WI</v>
      </c>
      <c r="D634" s="17"/>
      <c r="E634" s="17">
        <f>IFERROR(__xludf.DUMMYFUNCTION("""COMPUTED_VALUE"""),2.57)</f>
        <v>2.57</v>
      </c>
      <c r="F634" s="27">
        <f>IFERROR(__xludf.DUMMYFUNCTION("""COMPUTED_VALUE"""),1.02)</f>
        <v>1.02</v>
      </c>
      <c r="G634" s="13">
        <f>IFERROR(__xludf.DUMMYFUNCTION("""COMPUTED_VALUE"""),0.0077)</f>
        <v>0.0077</v>
      </c>
    </row>
    <row r="635">
      <c r="A635" s="17" t="str">
        <f>IFERROR(__xludf.DUMMYFUNCTION("""COMPUTED_VALUE"""),"Denholtz")</f>
        <v>Denholtz</v>
      </c>
      <c r="B635" s="17" t="str">
        <f>IFERROR(__xludf.DUMMYFUNCTION("""COMPUTED_VALUE"""),"Two Somerset Executive")</f>
        <v>Two Somerset Executive</v>
      </c>
      <c r="C635" s="17" t="str">
        <f>IFERROR(__xludf.DUMMYFUNCTION("""COMPUTED_VALUE"""),"Somerset, NJ")</f>
        <v>Somerset, NJ</v>
      </c>
      <c r="D635" s="17" t="str">
        <f>IFERROR(__xludf.DUMMYFUNCTION("""COMPUTED_VALUE"""),"Office")</f>
        <v>Office</v>
      </c>
      <c r="E635" s="17">
        <f>IFERROR(__xludf.DUMMYFUNCTION("""COMPUTED_VALUE"""),2.25)</f>
        <v>2.25</v>
      </c>
      <c r="F635" s="27">
        <f>IFERROR(__xludf.DUMMYFUNCTION("""COMPUTED_VALUE"""),1.76)</f>
        <v>1.76</v>
      </c>
      <c r="G635" s="13">
        <f>IFERROR(__xludf.DUMMYFUNCTION("""COMPUTED_VALUE"""),0.3069)</f>
        <v>0.3069</v>
      </c>
    </row>
    <row r="636">
      <c r="A636" s="17" t="str">
        <f>IFERROR(__xludf.DUMMYFUNCTION("""COMPUTED_VALUE"""),"AEI Capital Corporation")</f>
        <v>AEI Capital Corporation</v>
      </c>
      <c r="B636" s="17" t="str">
        <f>IFERROR(__xludf.DUMMYFUNCTION("""COMPUTED_VALUE"""),"U-Like Buffet / HomeTown Buffet")</f>
        <v>U-Like Buffet / HomeTown Buffet</v>
      </c>
      <c r="C636" s="17" t="str">
        <f>IFERROR(__xludf.DUMMYFUNCTION("""COMPUTED_VALUE"""),"Tucson, AZ")</f>
        <v>Tucson, AZ</v>
      </c>
      <c r="D636" s="17" t="str">
        <f>IFERROR(__xludf.DUMMYFUNCTION("""COMPUTED_VALUE"""),"Net Lease")</f>
        <v>Net Lease</v>
      </c>
      <c r="E636" s="17">
        <f>IFERROR(__xludf.DUMMYFUNCTION("""COMPUTED_VALUE"""),23.33)</f>
        <v>23.33</v>
      </c>
      <c r="F636" s="27">
        <f>IFERROR(__xludf.DUMMYFUNCTION("""COMPUTED_VALUE"""),1.74)</f>
        <v>1.74</v>
      </c>
      <c r="G636" s="13">
        <f>IFERROR(__xludf.DUMMYFUNCTION("""COMPUTED_VALUE"""),0.0591)</f>
        <v>0.0591</v>
      </c>
    </row>
    <row r="637">
      <c r="A637" s="17" t="str">
        <f>IFERROR(__xludf.DUMMYFUNCTION("""COMPUTED_VALUE"""),"Syndicated Equities")</f>
        <v>Syndicated Equities</v>
      </c>
      <c r="B637" s="17" t="str">
        <f>IFERROR(__xludf.DUMMYFUNCTION("""COMPUTED_VALUE"""),"United Healthcare Portfolio")</f>
        <v>United Healthcare Portfolio</v>
      </c>
      <c r="C637" s="17" t="str">
        <f>IFERROR(__xludf.DUMMYFUNCTION("""COMPUTED_VALUE"""),"Las Vegas, NV")</f>
        <v>Las Vegas, NV</v>
      </c>
      <c r="D637" s="17"/>
      <c r="E637" s="17">
        <f>IFERROR(__xludf.DUMMYFUNCTION("""COMPUTED_VALUE"""),5.75)</f>
        <v>5.75</v>
      </c>
      <c r="F637" s="27">
        <f>IFERROR(__xludf.DUMMYFUNCTION("""COMPUTED_VALUE"""),1.48)</f>
        <v>1.48</v>
      </c>
      <c r="G637" s="13">
        <f>IFERROR(__xludf.DUMMYFUNCTION("""COMPUTED_VALUE"""),0.0705)</f>
        <v>0.0705</v>
      </c>
    </row>
    <row r="638">
      <c r="A638" s="17" t="str">
        <f>IFERROR(__xludf.DUMMYFUNCTION("""COMPUTED_VALUE"""),"Denholtz")</f>
        <v>Denholtz</v>
      </c>
      <c r="B638" s="17" t="str">
        <f>IFERROR(__xludf.DUMMYFUNCTION("""COMPUTED_VALUE"""),"University Corporate Center")</f>
        <v>University Corporate Center</v>
      </c>
      <c r="C638" s="17" t="str">
        <f>IFERROR(__xludf.DUMMYFUNCTION("""COMPUTED_VALUE"""),"Winter Park, FL")</f>
        <v>Winter Park, FL</v>
      </c>
      <c r="D638" s="17" t="str">
        <f>IFERROR(__xludf.DUMMYFUNCTION("""COMPUTED_VALUE"""),"Industrial")</f>
        <v>Industrial</v>
      </c>
      <c r="E638" s="17">
        <f>IFERROR(__xludf.DUMMYFUNCTION("""COMPUTED_VALUE"""),5.42)</f>
        <v>5.42</v>
      </c>
      <c r="F638" s="27">
        <f>IFERROR(__xludf.DUMMYFUNCTION("""COMPUTED_VALUE"""),2.43)</f>
        <v>2.43</v>
      </c>
      <c r="G638" s="13">
        <f>IFERROR(__xludf.DUMMYFUNCTION("""COMPUTED_VALUE"""),0.2246)</f>
        <v>0.2246</v>
      </c>
    </row>
    <row r="639">
      <c r="A639" s="17" t="str">
        <f>IFERROR(__xludf.DUMMYFUNCTION("""COMPUTED_VALUE"""),"Blue Door")</f>
        <v>Blue Door</v>
      </c>
      <c r="B639" s="17" t="str">
        <f>IFERROR(__xludf.DUMMYFUNCTION("""COMPUTED_VALUE"""),"USA Self Storage I, DST")</f>
        <v>USA Self Storage I, DST</v>
      </c>
      <c r="C639" s="17" t="str">
        <f>IFERROR(__xludf.DUMMYFUNCTION("""COMPUTED_VALUE"""),"GA, NC, TX")</f>
        <v>GA, NC, TX</v>
      </c>
      <c r="D639" s="17" t="str">
        <f>IFERROR(__xludf.DUMMYFUNCTION("""COMPUTED_VALUE"""),"Self-Storage")</f>
        <v>Self-Storage</v>
      </c>
      <c r="E639" s="17"/>
      <c r="F639" s="17"/>
      <c r="G639" s="17"/>
    </row>
    <row r="640">
      <c r="A640" s="17" t="str">
        <f>IFERROR(__xludf.DUMMYFUNCTION("""COMPUTED_VALUE"""),"Bluerock")</f>
        <v>Bluerock</v>
      </c>
      <c r="B640" s="17" t="str">
        <f>IFERROR(__xludf.DUMMYFUNCTION("""COMPUTED_VALUE"""),"Valley Townhomes")</f>
        <v>Valley Townhomes</v>
      </c>
      <c r="C640" s="17" t="str">
        <f>IFERROR(__xludf.DUMMYFUNCTION("""COMPUTED_VALUE"""),"Puyallup, WA")</f>
        <v>Puyallup, WA</v>
      </c>
      <c r="D640" s="17" t="str">
        <f>IFERROR(__xludf.DUMMYFUNCTION("""COMPUTED_VALUE"""),"Multifamily")</f>
        <v>Multifamily</v>
      </c>
      <c r="E640" s="17">
        <f>IFERROR(__xludf.DUMMYFUNCTION("""COMPUTED_VALUE"""),11.33)</f>
        <v>11.33</v>
      </c>
      <c r="F640" s="27">
        <f>IFERROR(__xludf.DUMMYFUNCTION("""COMPUTED_VALUE"""),1.78)</f>
        <v>1.78</v>
      </c>
      <c r="G640" s="13">
        <f>IFERROR(__xludf.DUMMYFUNCTION("""COMPUTED_VALUE"""),0.094)</f>
        <v>0.094</v>
      </c>
    </row>
    <row r="641">
      <c r="A641" s="17" t="str">
        <f>IFERROR(__xludf.DUMMYFUNCTION("""COMPUTED_VALUE"""),"Bluerock")</f>
        <v>Bluerock</v>
      </c>
      <c r="B641" s="17" t="str">
        <f>IFERROR(__xludf.DUMMYFUNCTION("""COMPUTED_VALUE"""),"Veranda at Centerfield")</f>
        <v>Veranda at Centerfield</v>
      </c>
      <c r="C641" s="17" t="str">
        <f>IFERROR(__xludf.DUMMYFUNCTION("""COMPUTED_VALUE"""),"Houston, TX")</f>
        <v>Houston, TX</v>
      </c>
      <c r="D641" s="17" t="str">
        <f>IFERROR(__xludf.DUMMYFUNCTION("""COMPUTED_VALUE"""),"Multifamily")</f>
        <v>Multifamily</v>
      </c>
      <c r="E641" s="17">
        <f>IFERROR(__xludf.DUMMYFUNCTION("""COMPUTED_VALUE"""),4.17)</f>
        <v>4.17</v>
      </c>
      <c r="F641" s="27">
        <f>IFERROR(__xludf.DUMMYFUNCTION("""COMPUTED_VALUE"""),2.03)</f>
        <v>2.03</v>
      </c>
      <c r="G641" s="13">
        <f>IFERROR(__xludf.DUMMYFUNCTION("""COMPUTED_VALUE"""),0.2313)</f>
        <v>0.2313</v>
      </c>
    </row>
    <row r="642">
      <c r="A642" s="17" t="str">
        <f>IFERROR(__xludf.DUMMYFUNCTION("""COMPUTED_VALUE"""),"Passco")</f>
        <v>Passco</v>
      </c>
      <c r="B642" s="17" t="str">
        <f>IFERROR(__xludf.DUMMYFUNCTION("""COMPUTED_VALUE"""),"Veranda at Norton Commons")</f>
        <v>Veranda at Norton Commons</v>
      </c>
      <c r="C642" s="17" t="str">
        <f>IFERROR(__xludf.DUMMYFUNCTION("""COMPUTED_VALUE"""),"Prospect, KY")</f>
        <v>Prospect, KY</v>
      </c>
      <c r="D642" s="17" t="str">
        <f>IFERROR(__xludf.DUMMYFUNCTION("""COMPUTED_VALUE"""),"Multifamily")</f>
        <v>Multifamily</v>
      </c>
      <c r="E642" s="17">
        <f>IFERROR(__xludf.DUMMYFUNCTION("""COMPUTED_VALUE"""),6.0)</f>
        <v>6</v>
      </c>
      <c r="F642" s="27">
        <f>IFERROR(__xludf.DUMMYFUNCTION("""COMPUTED_VALUE"""),2.27)</f>
        <v>2.27</v>
      </c>
      <c r="G642" s="13">
        <f>IFERROR(__xludf.DUMMYFUNCTION("""COMPUTED_VALUE"""),0.1464)</f>
        <v>0.1464</v>
      </c>
    </row>
    <row r="643">
      <c r="A643" s="17" t="str">
        <f>IFERROR(__xludf.DUMMYFUNCTION("""COMPUTED_VALUE"""),"Walton Global Holdings")</f>
        <v>Walton Global Holdings</v>
      </c>
      <c r="B643" s="17" t="str">
        <f>IFERROR(__xludf.DUMMYFUNCTION("""COMPUTED_VALUE"""),"Verano")</f>
        <v>Verano</v>
      </c>
      <c r="C643" s="17" t="str">
        <f>IFERROR(__xludf.DUMMYFUNCTION("""COMPUTED_VALUE"""),"Riverside, CA")</f>
        <v>Riverside, CA</v>
      </c>
      <c r="D643" s="17" t="str">
        <f>IFERROR(__xludf.DUMMYFUNCTION("""COMPUTED_VALUE"""),"Land")</f>
        <v>Land</v>
      </c>
      <c r="E643" s="17">
        <f>IFERROR(__xludf.DUMMYFUNCTION("""COMPUTED_VALUE"""),1.74)</f>
        <v>1.74</v>
      </c>
      <c r="F643" s="27">
        <f>IFERROR(__xludf.DUMMYFUNCTION("""COMPUTED_VALUE"""),1.1)</f>
        <v>1.1</v>
      </c>
      <c r="G643" s="13">
        <f>IFERROR(__xludf.DUMMYFUNCTION("""COMPUTED_VALUE"""),0.079)</f>
        <v>0.079</v>
      </c>
    </row>
    <row r="644">
      <c r="A644" s="17" t="str">
        <f>IFERROR(__xludf.DUMMYFUNCTION("""COMPUTED_VALUE"""),"Bluerock")</f>
        <v>Bluerock</v>
      </c>
      <c r="B644" s="17" t="str">
        <f>IFERROR(__xludf.DUMMYFUNCTION("""COMPUTED_VALUE"""),"Vicker's Historic Roswell")</f>
        <v>Vicker's Historic Roswell</v>
      </c>
      <c r="C644" s="17" t="str">
        <f>IFERROR(__xludf.DUMMYFUNCTION("""COMPUTED_VALUE"""),"Roswell, GA")</f>
        <v>Roswell, GA</v>
      </c>
      <c r="D644" s="17" t="str">
        <f>IFERROR(__xludf.DUMMYFUNCTION("""COMPUTED_VALUE"""),"Multifamily")</f>
        <v>Multifamily</v>
      </c>
      <c r="E644" s="17">
        <f>IFERROR(__xludf.DUMMYFUNCTION("""COMPUTED_VALUE"""),4.58)</f>
        <v>4.58</v>
      </c>
      <c r="F644" s="27">
        <f>IFERROR(__xludf.DUMMYFUNCTION("""COMPUTED_VALUE"""),1.36)</f>
        <v>1.36</v>
      </c>
      <c r="G644" s="13">
        <f>IFERROR(__xludf.DUMMYFUNCTION("""COMPUTED_VALUE"""),0.085)</f>
        <v>0.085</v>
      </c>
    </row>
    <row r="645">
      <c r="A645" s="17" t="str">
        <f>IFERROR(__xludf.DUMMYFUNCTION("""COMPUTED_VALUE"""),"Bluerock")</f>
        <v>Bluerock</v>
      </c>
      <c r="B645" s="17" t="str">
        <f>IFERROR(__xludf.DUMMYFUNCTION("""COMPUTED_VALUE"""),"Village Green")</f>
        <v>Village Green</v>
      </c>
      <c r="C645" s="17" t="str">
        <f>IFERROR(__xludf.DUMMYFUNCTION("""COMPUTED_VALUE"""),"Ann Arbor, MI")</f>
        <v>Ann Arbor, MI</v>
      </c>
      <c r="D645" s="17" t="str">
        <f>IFERROR(__xludf.DUMMYFUNCTION("""COMPUTED_VALUE"""),"Multifamily")</f>
        <v>Multifamily</v>
      </c>
      <c r="E645" s="17">
        <f>IFERROR(__xludf.DUMMYFUNCTION("""COMPUTED_VALUE"""),4.42)</f>
        <v>4.42</v>
      </c>
      <c r="F645" s="27">
        <f>IFERROR(__xludf.DUMMYFUNCTION("""COMPUTED_VALUE"""),2.25)</f>
        <v>2.25</v>
      </c>
      <c r="G645" s="13">
        <f>IFERROR(__xludf.DUMMYFUNCTION("""COMPUTED_VALUE"""),0.08)</f>
        <v>0.08</v>
      </c>
    </row>
    <row r="646">
      <c r="A646" s="17" t="str">
        <f>IFERROR(__xludf.DUMMYFUNCTION("""COMPUTED_VALUE"""),"Time Equities")</f>
        <v>Time Equities</v>
      </c>
      <c r="B646" s="17" t="str">
        <f>IFERROR(__xludf.DUMMYFUNCTION("""COMPUTED_VALUE"""),"Villager Square LLC")</f>
        <v>Villager Square LLC</v>
      </c>
      <c r="C646" s="17" t="str">
        <f>IFERROR(__xludf.DUMMYFUNCTION("""COMPUTED_VALUE"""),"Littleton, CO")</f>
        <v>Littleton, CO</v>
      </c>
      <c r="D646" s="17" t="str">
        <f>IFERROR(__xludf.DUMMYFUNCTION("""COMPUTED_VALUE"""),"Retail")</f>
        <v>Retail</v>
      </c>
      <c r="E646" s="17">
        <f>IFERROR(__xludf.DUMMYFUNCTION("""COMPUTED_VALUE"""),9.56)</f>
        <v>9.56</v>
      </c>
      <c r="F646" s="27">
        <f>IFERROR(__xludf.DUMMYFUNCTION("""COMPUTED_VALUE"""),3.19)</f>
        <v>3.19</v>
      </c>
      <c r="G646" s="13">
        <f>IFERROR(__xludf.DUMMYFUNCTION("""COMPUTED_VALUE"""),0.1721)</f>
        <v>0.1721</v>
      </c>
    </row>
    <row r="647">
      <c r="A647" s="17" t="str">
        <f>IFERROR(__xludf.DUMMYFUNCTION("""COMPUTED_VALUE"""),"Bluerock")</f>
        <v>Bluerock</v>
      </c>
      <c r="B647" s="17" t="str">
        <f>IFERROR(__xludf.DUMMYFUNCTION("""COMPUTED_VALUE"""),"Villages at Cypress Creek")</f>
        <v>Villages at Cypress Creek</v>
      </c>
      <c r="C647" s="17" t="str">
        <f>IFERROR(__xludf.DUMMYFUNCTION("""COMPUTED_VALUE"""),"Houston, TX")</f>
        <v>Houston, TX</v>
      </c>
      <c r="D647" s="17" t="str">
        <f>IFERROR(__xludf.DUMMYFUNCTION("""COMPUTED_VALUE"""),"Multifamily")</f>
        <v>Multifamily</v>
      </c>
      <c r="E647" s="17">
        <f>IFERROR(__xludf.DUMMYFUNCTION("""COMPUTED_VALUE"""),5.08)</f>
        <v>5.08</v>
      </c>
      <c r="F647" s="27">
        <f>IFERROR(__xludf.DUMMYFUNCTION("""COMPUTED_VALUE"""),1.87)</f>
        <v>1.87</v>
      </c>
      <c r="G647" s="13">
        <f>IFERROR(__xludf.DUMMYFUNCTION("""COMPUTED_VALUE"""),0.2464)</f>
        <v>0.2464</v>
      </c>
    </row>
    <row r="648">
      <c r="A648" s="17" t="str">
        <f>IFERROR(__xludf.DUMMYFUNCTION("""COMPUTED_VALUE"""),"Bluerock")</f>
        <v>Bluerock</v>
      </c>
      <c r="B648" s="17" t="str">
        <f>IFERROR(__xludf.DUMMYFUNCTION("""COMPUTED_VALUE"""),"Villas at Oak Crest")</f>
        <v>Villas at Oak Crest</v>
      </c>
      <c r="C648" s="17" t="str">
        <f>IFERROR(__xludf.DUMMYFUNCTION("""COMPUTED_VALUE"""),"Chattanooga, TN")</f>
        <v>Chattanooga, TN</v>
      </c>
      <c r="D648" s="17" t="str">
        <f>IFERROR(__xludf.DUMMYFUNCTION("""COMPUTED_VALUE"""),"Multifamily")</f>
        <v>Multifamily</v>
      </c>
      <c r="E648" s="17">
        <f>IFERROR(__xludf.DUMMYFUNCTION("""COMPUTED_VALUE"""),3.42)</f>
        <v>3.42</v>
      </c>
      <c r="F648" s="27">
        <f>IFERROR(__xludf.DUMMYFUNCTION("""COMPUTED_VALUE"""),1.33)</f>
        <v>1.33</v>
      </c>
      <c r="G648" s="13">
        <f>IFERROR(__xludf.DUMMYFUNCTION("""COMPUTED_VALUE"""),0.14)</f>
        <v>0.14</v>
      </c>
    </row>
    <row r="649">
      <c r="A649" s="17" t="str">
        <f>IFERROR(__xludf.DUMMYFUNCTION("""COMPUTED_VALUE"""),"Passco")</f>
        <v>Passco</v>
      </c>
      <c r="B649" s="17" t="str">
        <f>IFERROR(__xludf.DUMMYFUNCTION("""COMPUTED_VALUE"""),"Vinings at Laurel Creek")</f>
        <v>Vinings at Laurel Creek</v>
      </c>
      <c r="C649" s="17" t="str">
        <f>IFERROR(__xludf.DUMMYFUNCTION("""COMPUTED_VALUE"""),"Greenville, SC")</f>
        <v>Greenville, SC</v>
      </c>
      <c r="D649" s="17" t="str">
        <f>IFERROR(__xludf.DUMMYFUNCTION("""COMPUTED_VALUE"""),"Multifamily")</f>
        <v>Multifamily</v>
      </c>
      <c r="E649" s="17">
        <f>IFERROR(__xludf.DUMMYFUNCTION("""COMPUTED_VALUE"""),7.0)</f>
        <v>7</v>
      </c>
      <c r="F649" s="27">
        <f>IFERROR(__xludf.DUMMYFUNCTION("""COMPUTED_VALUE"""),1.97)</f>
        <v>1.97</v>
      </c>
      <c r="G649" s="13">
        <f>IFERROR(__xludf.DUMMYFUNCTION("""COMPUTED_VALUE"""),0.1015)</f>
        <v>0.1015</v>
      </c>
    </row>
    <row r="650">
      <c r="A650" s="17" t="str">
        <f>IFERROR(__xludf.DUMMYFUNCTION("""COMPUTED_VALUE"""),"Time Equities")</f>
        <v>Time Equities</v>
      </c>
      <c r="B650" s="17" t="str">
        <f>IFERROR(__xludf.DUMMYFUNCTION("""COMPUTED_VALUE"""),"Viscoe Road TIC")</f>
        <v>Viscoe Road TIC</v>
      </c>
      <c r="C650" s="17" t="str">
        <f>IFERROR(__xludf.DUMMYFUNCTION("""COMPUTED_VALUE"""),"Radford, VA")</f>
        <v>Radford, VA</v>
      </c>
      <c r="D650" s="17" t="str">
        <f>IFERROR(__xludf.DUMMYFUNCTION("""COMPUTED_VALUE"""),"Industrial")</f>
        <v>Industrial</v>
      </c>
      <c r="E650" s="17">
        <f>IFERROR(__xludf.DUMMYFUNCTION("""COMPUTED_VALUE"""),9.02)</f>
        <v>9.02</v>
      </c>
      <c r="F650" s="27">
        <f>IFERROR(__xludf.DUMMYFUNCTION("""COMPUTED_VALUE"""),0.0)</f>
        <v>0</v>
      </c>
      <c r="G650" s="17"/>
    </row>
    <row r="651">
      <c r="A651" s="17" t="str">
        <f>IFERROR(__xludf.DUMMYFUNCTION("""COMPUTED_VALUE"""),"Inland")</f>
        <v>Inland</v>
      </c>
      <c r="B651" s="17" t="str">
        <f>IFERROR(__xludf.DUMMYFUNCTION("""COMPUTED_VALUE"""),"Visions Drive 1031 DST")</f>
        <v>Visions Drive 1031 DST</v>
      </c>
      <c r="C651" s="17"/>
      <c r="D651" s="17" t="str">
        <f>IFERROR(__xludf.DUMMYFUNCTION("""COMPUTED_VALUE"""),"Office")</f>
        <v>Office</v>
      </c>
      <c r="E651" s="17">
        <f>IFERROR(__xludf.DUMMYFUNCTION("""COMPUTED_VALUE"""),14.17)</f>
        <v>14.17</v>
      </c>
      <c r="F651" s="27">
        <f>IFERROR(__xludf.DUMMYFUNCTION("""COMPUTED_VALUE"""),1.71)</f>
        <v>1.71</v>
      </c>
      <c r="G651" s="13">
        <f>IFERROR(__xludf.DUMMYFUNCTION("""COMPUTED_VALUE"""),0.0559)</f>
        <v>0.0559</v>
      </c>
    </row>
    <row r="652">
      <c r="A652" s="17" t="str">
        <f>IFERROR(__xludf.DUMMYFUNCTION("""COMPUTED_VALUE"""),"Walton Global Holdings")</f>
        <v>Walton Global Holdings</v>
      </c>
      <c r="B652" s="17" t="str">
        <f>IFERROR(__xludf.DUMMYFUNCTION("""COMPUTED_VALUE"""),"Vista Bonita Residential")</f>
        <v>Vista Bonita Residential</v>
      </c>
      <c r="C652" s="17" t="str">
        <f>IFERROR(__xludf.DUMMYFUNCTION("""COMPUTED_VALUE"""),"Phoenix, AZ")</f>
        <v>Phoenix, AZ</v>
      </c>
      <c r="D652" s="17" t="str">
        <f>IFERROR(__xludf.DUMMYFUNCTION("""COMPUTED_VALUE"""),"Land")</f>
        <v>Land</v>
      </c>
      <c r="E652" s="17">
        <f>IFERROR(__xludf.DUMMYFUNCTION("""COMPUTED_VALUE"""),1.64)</f>
        <v>1.64</v>
      </c>
      <c r="F652" s="27">
        <f>IFERROR(__xludf.DUMMYFUNCTION("""COMPUTED_VALUE"""),1.33)</f>
        <v>1.33</v>
      </c>
      <c r="G652" s="13">
        <f>IFERROR(__xludf.DUMMYFUNCTION("""COMPUTED_VALUE"""),0.185)</f>
        <v>0.185</v>
      </c>
    </row>
    <row r="653">
      <c r="A653" s="17" t="str">
        <f>IFERROR(__xludf.DUMMYFUNCTION("""COMPUTED_VALUE"""),"Walton Global Holdings")</f>
        <v>Walton Global Holdings</v>
      </c>
      <c r="B653" s="17" t="str">
        <f>IFERROR(__xludf.DUMMYFUNCTION("""COMPUTED_VALUE"""),"Vista Ranch")</f>
        <v>Vista Ranch</v>
      </c>
      <c r="C653" s="17" t="str">
        <f>IFERROR(__xludf.DUMMYFUNCTION("""COMPUTED_VALUE"""),"Phoenix, AZ")</f>
        <v>Phoenix, AZ</v>
      </c>
      <c r="D653" s="17" t="str">
        <f>IFERROR(__xludf.DUMMYFUNCTION("""COMPUTED_VALUE"""),"Land")</f>
        <v>Land</v>
      </c>
      <c r="E653" s="17">
        <f>IFERROR(__xludf.DUMMYFUNCTION("""COMPUTED_VALUE"""),8.62)</f>
        <v>8.62</v>
      </c>
      <c r="F653" s="27">
        <f>IFERROR(__xludf.DUMMYFUNCTION("""COMPUTED_VALUE"""),1.13)</f>
        <v>1.13</v>
      </c>
      <c r="G653" s="13">
        <f>IFERROR(__xludf.DUMMYFUNCTION("""COMPUTED_VALUE"""),0.0142)</f>
        <v>0.0142</v>
      </c>
    </row>
    <row r="654">
      <c r="A654" s="17" t="str">
        <f>IFERROR(__xludf.DUMMYFUNCTION("""COMPUTED_VALUE"""),"Syndicated Equities")</f>
        <v>Syndicated Equities</v>
      </c>
      <c r="B654" s="17" t="str">
        <f>IFERROR(__xludf.DUMMYFUNCTION("""COMPUTED_VALUE"""),"Volkswagen Distribution Facility")</f>
        <v>Volkswagen Distribution Facility</v>
      </c>
      <c r="C654" s="17" t="str">
        <f>IFERROR(__xludf.DUMMYFUNCTION("""COMPUTED_VALUE"""),"Libertyville, IL")</f>
        <v>Libertyville, IL</v>
      </c>
      <c r="D654" s="17"/>
      <c r="E654" s="17">
        <f>IFERROR(__xludf.DUMMYFUNCTION("""COMPUTED_VALUE"""),8.32)</f>
        <v>8.32</v>
      </c>
      <c r="F654" s="27">
        <f>IFERROR(__xludf.DUMMYFUNCTION("""COMPUTED_VALUE"""),1.45)</f>
        <v>1.45</v>
      </c>
      <c r="G654" s="13">
        <f>IFERROR(__xludf.DUMMYFUNCTION("""COMPUTED_VALUE"""),0.0457)</f>
        <v>0.0457</v>
      </c>
    </row>
    <row r="655">
      <c r="A655" s="17" t="str">
        <f>IFERROR(__xludf.DUMMYFUNCTION("""COMPUTED_VALUE"""),"Passco")</f>
        <v>Passco</v>
      </c>
      <c r="B655" s="17" t="str">
        <f>IFERROR(__xludf.DUMMYFUNCTION("""COMPUTED_VALUE"""),"Voyager at Space Center")</f>
        <v>Voyager at Space Center</v>
      </c>
      <c r="C655" s="17" t="str">
        <f>IFERROR(__xludf.DUMMYFUNCTION("""COMPUTED_VALUE"""),"Nassau Bay, TX")</f>
        <v>Nassau Bay, TX</v>
      </c>
      <c r="D655" s="17" t="str">
        <f>IFERROR(__xludf.DUMMYFUNCTION("""COMPUTED_VALUE"""),"Multifamily")</f>
        <v>Multifamily</v>
      </c>
      <c r="E655" s="17">
        <f>IFERROR(__xludf.DUMMYFUNCTION("""COMPUTED_VALUE"""),4.0)</f>
        <v>4</v>
      </c>
      <c r="F655" s="27">
        <f>IFERROR(__xludf.DUMMYFUNCTION("""COMPUTED_VALUE"""),1.31)</f>
        <v>1.31</v>
      </c>
      <c r="G655" s="13">
        <f>IFERROR(__xludf.DUMMYFUNCTION("""COMPUTED_VALUE"""),0.0706)</f>
        <v>0.0706</v>
      </c>
    </row>
    <row r="656">
      <c r="A656" s="17" t="str">
        <f>IFERROR(__xludf.DUMMYFUNCTION("""COMPUTED_VALUE"""),"Passco")</f>
        <v>Passco</v>
      </c>
      <c r="B656" s="17" t="str">
        <f>IFERROR(__xludf.DUMMYFUNCTION("""COMPUTED_VALUE"""),"Vue21")</f>
        <v>Vue21</v>
      </c>
      <c r="C656" s="17" t="str">
        <f>IFERROR(__xludf.DUMMYFUNCTION("""COMPUTED_VALUE"""),"Colorado Springs, CO")</f>
        <v>Colorado Springs, CO</v>
      </c>
      <c r="D656" s="17" t="str">
        <f>IFERROR(__xludf.DUMMYFUNCTION("""COMPUTED_VALUE"""),"Multifamily")</f>
        <v>Multifamily</v>
      </c>
      <c r="E656" s="17">
        <f>IFERROR(__xludf.DUMMYFUNCTION("""COMPUTED_VALUE"""),5.0)</f>
        <v>5</v>
      </c>
      <c r="F656" s="27">
        <f>IFERROR(__xludf.DUMMYFUNCTION("""COMPUTED_VALUE"""),1.97)</f>
        <v>1.97</v>
      </c>
      <c r="G656" s="13">
        <f>IFERROR(__xludf.DUMMYFUNCTION("""COMPUTED_VALUE"""),0.1449)</f>
        <v>0.1449</v>
      </c>
    </row>
    <row r="657">
      <c r="A657" s="17" t="str">
        <f>IFERROR(__xludf.DUMMYFUNCTION("""COMPUTED_VALUE"""),"Passco")</f>
        <v>Passco</v>
      </c>
      <c r="B657" s="17" t="str">
        <f>IFERROR(__xludf.DUMMYFUNCTION("""COMPUTED_VALUE"""),"Wakefield Glen")</f>
        <v>Wakefield Glen</v>
      </c>
      <c r="C657" s="17" t="str">
        <f>IFERROR(__xludf.DUMMYFUNCTION("""COMPUTED_VALUE"""),"Raleigh, NC")</f>
        <v>Raleigh, NC</v>
      </c>
      <c r="D657" s="17" t="str">
        <f>IFERROR(__xludf.DUMMYFUNCTION("""COMPUTED_VALUE"""),"Multifamily")</f>
        <v>Multifamily</v>
      </c>
      <c r="E657" s="17">
        <f>IFERROR(__xludf.DUMMYFUNCTION("""COMPUTED_VALUE"""),5.0)</f>
        <v>5</v>
      </c>
      <c r="F657" s="27">
        <f>IFERROR(__xludf.DUMMYFUNCTION("""COMPUTED_VALUE"""),1.28)</f>
        <v>1.28</v>
      </c>
      <c r="G657" s="13">
        <f>IFERROR(__xludf.DUMMYFUNCTION("""COMPUTED_VALUE"""),0.0498)</f>
        <v>0.0498</v>
      </c>
    </row>
    <row r="658">
      <c r="A658" s="17" t="str">
        <f>IFERROR(__xludf.DUMMYFUNCTION("""COMPUTED_VALUE"""),"Syndicated Equities")</f>
        <v>Syndicated Equities</v>
      </c>
      <c r="B658" s="17" t="str">
        <f>IFERROR(__xludf.DUMMYFUNCTION("""COMPUTED_VALUE"""),"Walgreens")</f>
        <v>Walgreens</v>
      </c>
      <c r="C658" s="17" t="str">
        <f>IFERROR(__xludf.DUMMYFUNCTION("""COMPUTED_VALUE"""),"Hickory Hills, IL")</f>
        <v>Hickory Hills, IL</v>
      </c>
      <c r="D658" s="17"/>
      <c r="E658" s="17">
        <f>IFERROR(__xludf.DUMMYFUNCTION("""COMPUTED_VALUE"""),4.63)</f>
        <v>4.63</v>
      </c>
      <c r="F658" s="27">
        <f>IFERROR(__xludf.DUMMYFUNCTION("""COMPUTED_VALUE"""),1.68)</f>
        <v>1.68</v>
      </c>
      <c r="G658" s="13">
        <f>IFERROR(__xludf.DUMMYFUNCTION("""COMPUTED_VALUE"""),0.1185)</f>
        <v>0.1185</v>
      </c>
    </row>
    <row r="659">
      <c r="A659" s="17" t="str">
        <f>IFERROR(__xludf.DUMMYFUNCTION("""COMPUTED_VALUE"""),"Syndicated Equities")</f>
        <v>Syndicated Equities</v>
      </c>
      <c r="B659" s="17" t="str">
        <f>IFERROR(__xludf.DUMMYFUNCTION("""COMPUTED_VALUE"""),"Walgreens")</f>
        <v>Walgreens</v>
      </c>
      <c r="C659" s="17" t="str">
        <f>IFERROR(__xludf.DUMMYFUNCTION("""COMPUTED_VALUE"""),"Clarkston, MI")</f>
        <v>Clarkston, MI</v>
      </c>
      <c r="D659" s="17"/>
      <c r="E659" s="17">
        <f>IFERROR(__xludf.DUMMYFUNCTION("""COMPUTED_VALUE"""),9.87)</f>
        <v>9.87</v>
      </c>
      <c r="F659" s="27">
        <f>IFERROR(__xludf.DUMMYFUNCTION("""COMPUTED_VALUE"""),1.99)</f>
        <v>1.99</v>
      </c>
      <c r="G659" s="13">
        <f>IFERROR(__xludf.DUMMYFUNCTION("""COMPUTED_VALUE"""),0.0722)</f>
        <v>0.0722</v>
      </c>
    </row>
    <row r="660">
      <c r="A660" s="17" t="str">
        <f>IFERROR(__xludf.DUMMYFUNCTION("""COMPUTED_VALUE"""),"Syndicated Equities")</f>
        <v>Syndicated Equities</v>
      </c>
      <c r="B660" s="17" t="str">
        <f>IFERROR(__xludf.DUMMYFUNCTION("""COMPUTED_VALUE"""),"Walgreens")</f>
        <v>Walgreens</v>
      </c>
      <c r="C660" s="17" t="str">
        <f>IFERROR(__xludf.DUMMYFUNCTION("""COMPUTED_VALUE"""),"Pueblo, CO")</f>
        <v>Pueblo, CO</v>
      </c>
      <c r="D660" s="17"/>
      <c r="E660" s="17">
        <f>IFERROR(__xludf.DUMMYFUNCTION("""COMPUTED_VALUE"""),10.06)</f>
        <v>10.06</v>
      </c>
      <c r="F660" s="27">
        <f>IFERROR(__xludf.DUMMYFUNCTION("""COMPUTED_VALUE"""),1.96)</f>
        <v>1.96</v>
      </c>
      <c r="G660" s="13">
        <f>IFERROR(__xludf.DUMMYFUNCTION("""COMPUTED_VALUE"""),0.0692)</f>
        <v>0.0692</v>
      </c>
    </row>
    <row r="661">
      <c r="A661" s="17" t="str">
        <f>IFERROR(__xludf.DUMMYFUNCTION("""COMPUTED_VALUE"""),"Syndicated Equities")</f>
        <v>Syndicated Equities</v>
      </c>
      <c r="B661" s="17" t="str">
        <f>IFERROR(__xludf.DUMMYFUNCTION("""COMPUTED_VALUE"""),"Walgreens")</f>
        <v>Walgreens</v>
      </c>
      <c r="C661" s="17" t="str">
        <f>IFERROR(__xludf.DUMMYFUNCTION("""COMPUTED_VALUE"""),"Amarillo, TX")</f>
        <v>Amarillo, TX</v>
      </c>
      <c r="D661" s="17"/>
      <c r="E661" s="17">
        <f>IFERROR(__xludf.DUMMYFUNCTION("""COMPUTED_VALUE"""),9.77)</f>
        <v>9.77</v>
      </c>
      <c r="F661" s="27">
        <f>IFERROR(__xludf.DUMMYFUNCTION("""COMPUTED_VALUE"""),1.79)</f>
        <v>1.79</v>
      </c>
      <c r="G661" s="13">
        <f>IFERROR(__xludf.DUMMYFUNCTION("""COMPUTED_VALUE"""),0.0614)</f>
        <v>0.0614</v>
      </c>
    </row>
    <row r="662">
      <c r="A662" s="17" t="str">
        <f>IFERROR(__xludf.DUMMYFUNCTION("""COMPUTED_VALUE"""),"Syndicated Equities")</f>
        <v>Syndicated Equities</v>
      </c>
      <c r="B662" s="17" t="str">
        <f>IFERROR(__xludf.DUMMYFUNCTION("""COMPUTED_VALUE"""),"Walgreens")</f>
        <v>Walgreens</v>
      </c>
      <c r="C662" s="17" t="str">
        <f>IFERROR(__xludf.DUMMYFUNCTION("""COMPUTED_VALUE"""),"Chicago, IL")</f>
        <v>Chicago, IL</v>
      </c>
      <c r="D662" s="17"/>
      <c r="E662" s="17">
        <f>IFERROR(__xludf.DUMMYFUNCTION("""COMPUTED_VALUE"""),11.01)</f>
        <v>11.01</v>
      </c>
      <c r="F662" s="27">
        <f>IFERROR(__xludf.DUMMYFUNCTION("""COMPUTED_VALUE"""),2.14)</f>
        <v>2.14</v>
      </c>
      <c r="G662" s="13">
        <f>IFERROR(__xludf.DUMMYFUNCTION("""COMPUTED_VALUE"""),0.0715)</f>
        <v>0.0715</v>
      </c>
    </row>
    <row r="663">
      <c r="A663" s="17" t="str">
        <f>IFERROR(__xludf.DUMMYFUNCTION("""COMPUTED_VALUE"""),"Syndicated Equities")</f>
        <v>Syndicated Equities</v>
      </c>
      <c r="B663" s="17" t="str">
        <f>IFERROR(__xludf.DUMMYFUNCTION("""COMPUTED_VALUE"""),"Walgreens")</f>
        <v>Walgreens</v>
      </c>
      <c r="C663" s="17" t="str">
        <f>IFERROR(__xludf.DUMMYFUNCTION("""COMPUTED_VALUE"""),"Darien, IL")</f>
        <v>Darien, IL</v>
      </c>
      <c r="D663" s="17"/>
      <c r="E663" s="17">
        <f>IFERROR(__xludf.DUMMYFUNCTION("""COMPUTED_VALUE"""),12.12)</f>
        <v>12.12</v>
      </c>
      <c r="F663" s="27">
        <f>IFERROR(__xludf.DUMMYFUNCTION("""COMPUTED_VALUE"""),1.78)</f>
        <v>1.78</v>
      </c>
      <c r="G663" s="13">
        <f>IFERROR(__xludf.DUMMYFUNCTION("""COMPUTED_VALUE"""),0.0487)</f>
        <v>0.0487</v>
      </c>
    </row>
    <row r="664">
      <c r="A664" s="17" t="str">
        <f>IFERROR(__xludf.DUMMYFUNCTION("""COMPUTED_VALUE"""),"Syndicated Equities")</f>
        <v>Syndicated Equities</v>
      </c>
      <c r="B664" s="17" t="str">
        <f>IFERROR(__xludf.DUMMYFUNCTION("""COMPUTED_VALUE"""),"Walgreens")</f>
        <v>Walgreens</v>
      </c>
      <c r="C664" s="17" t="str">
        <f>IFERROR(__xludf.DUMMYFUNCTION("""COMPUTED_VALUE"""),"Chicago Heights, IL")</f>
        <v>Chicago Heights, IL</v>
      </c>
      <c r="D664" s="17"/>
      <c r="E664" s="17">
        <f>IFERROR(__xludf.DUMMYFUNCTION("""COMPUTED_VALUE"""),9.93)</f>
        <v>9.93</v>
      </c>
      <c r="F664" s="27">
        <f>IFERROR(__xludf.DUMMYFUNCTION("""COMPUTED_VALUE"""),1.72)</f>
        <v>1.72</v>
      </c>
      <c r="G664" s="13">
        <f>IFERROR(__xludf.DUMMYFUNCTION("""COMPUTED_VALUE"""),0.0561)</f>
        <v>0.0561</v>
      </c>
    </row>
    <row r="665">
      <c r="A665" s="17" t="str">
        <f>IFERROR(__xludf.DUMMYFUNCTION("""COMPUTED_VALUE"""),"Syndicated Equities")</f>
        <v>Syndicated Equities</v>
      </c>
      <c r="B665" s="17" t="str">
        <f>IFERROR(__xludf.DUMMYFUNCTION("""COMPUTED_VALUE"""),"Walgreens")</f>
        <v>Walgreens</v>
      </c>
      <c r="C665" s="17" t="str">
        <f>IFERROR(__xludf.DUMMYFUNCTION("""COMPUTED_VALUE"""),"Alexandria, MN")</f>
        <v>Alexandria, MN</v>
      </c>
      <c r="D665" s="17"/>
      <c r="E665" s="17">
        <f>IFERROR(__xludf.DUMMYFUNCTION("""COMPUTED_VALUE"""),5.05)</f>
        <v>5.05</v>
      </c>
      <c r="F665" s="27">
        <f>IFERROR(__xludf.DUMMYFUNCTION("""COMPUTED_VALUE"""),1.44)</f>
        <v>1.44</v>
      </c>
      <c r="G665" s="13">
        <f>IFERROR(__xludf.DUMMYFUNCTION("""COMPUTED_VALUE"""),0.0748)</f>
        <v>0.0748</v>
      </c>
    </row>
    <row r="666">
      <c r="A666" s="17" t="str">
        <f>IFERROR(__xludf.DUMMYFUNCTION("""COMPUTED_VALUE"""),"Syndicated Equities")</f>
        <v>Syndicated Equities</v>
      </c>
      <c r="B666" s="17" t="str">
        <f>IFERROR(__xludf.DUMMYFUNCTION("""COMPUTED_VALUE"""),"Walgreens")</f>
        <v>Walgreens</v>
      </c>
      <c r="C666" s="17" t="str">
        <f>IFERROR(__xludf.DUMMYFUNCTION("""COMPUTED_VALUE"""),"Del City, OK")</f>
        <v>Del City, OK</v>
      </c>
      <c r="D666" s="17"/>
      <c r="E666" s="17">
        <f>IFERROR(__xludf.DUMMYFUNCTION("""COMPUTED_VALUE"""),24.33)</f>
        <v>24.33</v>
      </c>
      <c r="F666" s="27">
        <f>IFERROR(__xludf.DUMMYFUNCTION("""COMPUTED_VALUE"""),5.59)</f>
        <v>5.59</v>
      </c>
      <c r="G666" s="13">
        <f>IFERROR(__xludf.DUMMYFUNCTION("""COMPUTED_VALUE"""),0.0733)</f>
        <v>0.0733</v>
      </c>
    </row>
    <row r="667">
      <c r="A667" s="17" t="str">
        <f>IFERROR(__xludf.DUMMYFUNCTION("""COMPUTED_VALUE"""),"Syndicated Equities")</f>
        <v>Syndicated Equities</v>
      </c>
      <c r="B667" s="17" t="str">
        <f>IFERROR(__xludf.DUMMYFUNCTION("""COMPUTED_VALUE"""),"Walgreens Center")</f>
        <v>Walgreens Center</v>
      </c>
      <c r="C667" s="17" t="str">
        <f>IFERROR(__xludf.DUMMYFUNCTION("""COMPUTED_VALUE"""),"Sullivan, MO")</f>
        <v>Sullivan, MO</v>
      </c>
      <c r="D667" s="17"/>
      <c r="E667" s="17">
        <f>IFERROR(__xludf.DUMMYFUNCTION("""COMPUTED_VALUE"""),9.31)</f>
        <v>9.31</v>
      </c>
      <c r="F667" s="27">
        <f>IFERROR(__xludf.DUMMYFUNCTION("""COMPUTED_VALUE"""),0.9)</f>
        <v>0.9</v>
      </c>
      <c r="G667" s="13">
        <f>IFERROR(__xludf.DUMMYFUNCTION("""COMPUTED_VALUE"""),-0.0112)</f>
        <v>-0.0112</v>
      </c>
    </row>
    <row r="668">
      <c r="A668" s="17" t="str">
        <f>IFERROR(__xludf.DUMMYFUNCTION("""COMPUTED_VALUE"""),"Syndicated Equities")</f>
        <v>Syndicated Equities</v>
      </c>
      <c r="B668" s="17" t="str">
        <f>IFERROR(__xludf.DUMMYFUNCTION("""COMPUTED_VALUE"""),"Walker House Apartments")</f>
        <v>Walker House Apartments</v>
      </c>
      <c r="C668" s="17" t="str">
        <f>IFERROR(__xludf.DUMMYFUNCTION("""COMPUTED_VALUE"""),"Gaithersburg, MD")</f>
        <v>Gaithersburg, MD</v>
      </c>
      <c r="D668" s="17"/>
      <c r="E668" s="17">
        <f>IFERROR(__xludf.DUMMYFUNCTION("""COMPUTED_VALUE"""),3.86)</f>
        <v>3.86</v>
      </c>
      <c r="F668" s="27">
        <f>IFERROR(__xludf.DUMMYFUNCTION("""COMPUTED_VALUE"""),1.62)</f>
        <v>1.62</v>
      </c>
      <c r="G668" s="13">
        <f>IFERROR(__xludf.DUMMYFUNCTION("""COMPUTED_VALUE"""),0.1332)</f>
        <v>0.1332</v>
      </c>
    </row>
    <row r="669">
      <c r="A669" s="17" t="str">
        <f>IFERROR(__xludf.DUMMYFUNCTION("""COMPUTED_VALUE"""),"Bluerock")</f>
        <v>Bluerock</v>
      </c>
      <c r="B669" s="17" t="str">
        <f>IFERROR(__xludf.DUMMYFUNCTION("""COMPUTED_VALUE"""),"Water's Edge")</f>
        <v>Water's Edge</v>
      </c>
      <c r="C669" s="17" t="str">
        <f>IFERROR(__xludf.DUMMYFUNCTION("""COMPUTED_VALUE"""),"Pensacola, FL")</f>
        <v>Pensacola, FL</v>
      </c>
      <c r="D669" s="17" t="str">
        <f>IFERROR(__xludf.DUMMYFUNCTION("""COMPUTED_VALUE"""),"Multifamily")</f>
        <v>Multifamily</v>
      </c>
      <c r="E669" s="17">
        <f>IFERROR(__xludf.DUMMYFUNCTION("""COMPUTED_VALUE"""),1.83)</f>
        <v>1.83</v>
      </c>
      <c r="F669" s="27">
        <f>IFERROR(__xludf.DUMMYFUNCTION("""COMPUTED_VALUE"""),1.22)</f>
        <v>1.22</v>
      </c>
      <c r="G669" s="13">
        <f>IFERROR(__xludf.DUMMYFUNCTION("""COMPUTED_VALUE"""),0.1138)</f>
        <v>0.1138</v>
      </c>
    </row>
    <row r="670">
      <c r="A670" s="17" t="str">
        <f>IFERROR(__xludf.DUMMYFUNCTION("""COMPUTED_VALUE"""),"Inland")</f>
        <v>Inland</v>
      </c>
      <c r="B670" s="17" t="str">
        <f>IFERROR(__xludf.DUMMYFUNCTION("""COMPUTED_VALUE"""),"Waukesha 1031 DST")</f>
        <v>Waukesha 1031 DST</v>
      </c>
      <c r="C670" s="17"/>
      <c r="D670" s="17" t="str">
        <f>IFERROR(__xludf.DUMMYFUNCTION("""COMPUTED_VALUE"""),"Retail")</f>
        <v>Retail</v>
      </c>
      <c r="E670" s="17">
        <f>IFERROR(__xludf.DUMMYFUNCTION("""COMPUTED_VALUE"""),7.0)</f>
        <v>7</v>
      </c>
      <c r="F670" s="27">
        <f>IFERROR(__xludf.DUMMYFUNCTION("""COMPUTED_VALUE"""),1.35)</f>
        <v>1.35</v>
      </c>
      <c r="G670" s="13">
        <f>IFERROR(__xludf.DUMMYFUNCTION("""COMPUTED_VALUE"""),0.0558)</f>
        <v>0.0558</v>
      </c>
    </row>
    <row r="671">
      <c r="A671" s="17" t="str">
        <f>IFERROR(__xludf.DUMMYFUNCTION("""COMPUTED_VALUE"""),"Bluerock")</f>
        <v>Bluerock</v>
      </c>
      <c r="B671" s="17" t="str">
        <f>IFERROR(__xludf.DUMMYFUNCTION("""COMPUTED_VALUE"""),"Weatherford BFR 185")</f>
        <v>Weatherford BFR 185</v>
      </c>
      <c r="C671" s="17" t="str">
        <f>IFERROR(__xludf.DUMMYFUNCTION("""COMPUTED_VALUE"""),"Weatherford, TX")</f>
        <v>Weatherford, TX</v>
      </c>
      <c r="D671" s="17" t="str">
        <f>IFERROR(__xludf.DUMMYFUNCTION("""COMPUTED_VALUE"""),"Multifamily")</f>
        <v>Multifamily</v>
      </c>
      <c r="E671" s="17">
        <f>IFERROR(__xludf.DUMMYFUNCTION("""COMPUTED_VALUE"""),0.42)</f>
        <v>0.42</v>
      </c>
      <c r="F671" s="27">
        <f>IFERROR(__xludf.DUMMYFUNCTION("""COMPUTED_VALUE"""),1.05)</f>
        <v>1.05</v>
      </c>
      <c r="G671" s="13">
        <f>IFERROR(__xludf.DUMMYFUNCTION("""COMPUTED_VALUE"""),0.1281)</f>
        <v>0.1281</v>
      </c>
    </row>
    <row r="672">
      <c r="A672" s="17" t="str">
        <f>IFERROR(__xludf.DUMMYFUNCTION("""COMPUTED_VALUE"""),"Syndicated Equities")</f>
        <v>Syndicated Equities</v>
      </c>
      <c r="B672" s="17" t="str">
        <f>IFERROR(__xludf.DUMMYFUNCTION("""COMPUTED_VALUE"""),"Webster Place Shopping Center")</f>
        <v>Webster Place Shopping Center</v>
      </c>
      <c r="C672" s="17" t="str">
        <f>IFERROR(__xludf.DUMMYFUNCTION("""COMPUTED_VALUE"""),"Chicago, IL")</f>
        <v>Chicago, IL</v>
      </c>
      <c r="D672" s="17"/>
      <c r="E672" s="17">
        <f>IFERROR(__xludf.DUMMYFUNCTION("""COMPUTED_VALUE"""),13.6)</f>
        <v>13.6</v>
      </c>
      <c r="F672" s="27">
        <f>IFERROR(__xludf.DUMMYFUNCTION("""COMPUTED_VALUE"""),1.68)</f>
        <v>1.68</v>
      </c>
      <c r="G672" s="13">
        <f>IFERROR(__xludf.DUMMYFUNCTION("""COMPUTED_VALUE"""),0.0389)</f>
        <v>0.0389</v>
      </c>
    </row>
    <row r="673">
      <c r="A673" s="17" t="str">
        <f>IFERROR(__xludf.DUMMYFUNCTION("""COMPUTED_VALUE"""),"Syndicated Equities")</f>
        <v>Syndicated Equities</v>
      </c>
      <c r="B673" s="17" t="str">
        <f>IFERROR(__xludf.DUMMYFUNCTION("""COMPUTED_VALUE"""),"Wells Place Apartment Development")</f>
        <v>Wells Place Apartment Development</v>
      </c>
      <c r="C673" s="17" t="str">
        <f>IFERROR(__xludf.DUMMYFUNCTION("""COMPUTED_VALUE"""),"Chicago, IL")</f>
        <v>Chicago, IL</v>
      </c>
      <c r="D673" s="17"/>
      <c r="E673" s="17">
        <f>IFERROR(__xludf.DUMMYFUNCTION("""COMPUTED_VALUE"""),3.4)</f>
        <v>3.4</v>
      </c>
      <c r="F673" s="27">
        <f>IFERROR(__xludf.DUMMYFUNCTION("""COMPUTED_VALUE"""),1.33)</f>
        <v>1.33</v>
      </c>
      <c r="G673" s="13">
        <f>IFERROR(__xludf.DUMMYFUNCTION("""COMPUTED_VALUE"""),0.0874)</f>
        <v>0.0874</v>
      </c>
    </row>
    <row r="674">
      <c r="A674" s="17" t="str">
        <f>IFERROR(__xludf.DUMMYFUNCTION("""COMPUTED_VALUE"""),"Bluerock")</f>
        <v>Bluerock</v>
      </c>
      <c r="B674" s="17" t="str">
        <f>IFERROR(__xludf.DUMMYFUNCTION("""COMPUTED_VALUE"""),"Wesley Village")</f>
        <v>Wesley Village</v>
      </c>
      <c r="C674" s="17" t="str">
        <f>IFERROR(__xludf.DUMMYFUNCTION("""COMPUTED_VALUE"""),"Charlotte, NC")</f>
        <v>Charlotte, NC</v>
      </c>
      <c r="D674" s="17" t="str">
        <f>IFERROR(__xludf.DUMMYFUNCTION("""COMPUTED_VALUE"""),"Multifamily")</f>
        <v>Multifamily</v>
      </c>
      <c r="E674" s="17">
        <f>IFERROR(__xludf.DUMMYFUNCTION("""COMPUTED_VALUE"""),5.58)</f>
        <v>5.58</v>
      </c>
      <c r="F674" s="27">
        <f>IFERROR(__xludf.DUMMYFUNCTION("""COMPUTED_VALUE"""),3.4)</f>
        <v>3.4</v>
      </c>
      <c r="G674" s="13">
        <f>IFERROR(__xludf.DUMMYFUNCTION("""COMPUTED_VALUE"""),0.2773)</f>
        <v>0.2773</v>
      </c>
    </row>
    <row r="675">
      <c r="A675" s="17" t="str">
        <f>IFERROR(__xludf.DUMMYFUNCTION("""COMPUTED_VALUE"""),"Syndicated Equities")</f>
        <v>Syndicated Equities</v>
      </c>
      <c r="B675" s="17" t="str">
        <f>IFERROR(__xludf.DUMMYFUNCTION("""COMPUTED_VALUE"""),"West Loop Multifamily Development")</f>
        <v>West Loop Multifamily Development</v>
      </c>
      <c r="C675" s="17" t="str">
        <f>IFERROR(__xludf.DUMMYFUNCTION("""COMPUTED_VALUE"""),"Chicago, IL")</f>
        <v>Chicago, IL</v>
      </c>
      <c r="D675" s="17"/>
      <c r="E675" s="17">
        <f>IFERROR(__xludf.DUMMYFUNCTION("""COMPUTED_VALUE"""),6.6)</f>
        <v>6.6</v>
      </c>
      <c r="F675" s="27">
        <f>IFERROR(__xludf.DUMMYFUNCTION("""COMPUTED_VALUE"""),1.57)</f>
        <v>1.57</v>
      </c>
      <c r="G675" s="13">
        <f>IFERROR(__xludf.DUMMYFUNCTION("""COMPUTED_VALUE"""),0.0708)</f>
        <v>0.0708</v>
      </c>
    </row>
    <row r="676">
      <c r="A676" s="17" t="str">
        <f>IFERROR(__xludf.DUMMYFUNCTION("""COMPUTED_VALUE"""),"Inland")</f>
        <v>Inland</v>
      </c>
      <c r="B676" s="17" t="str">
        <f>IFERROR(__xludf.DUMMYFUNCTION("""COMPUTED_VALUE"""),"West St. Paul 1031 Venture DST")</f>
        <v>West St. Paul 1031 Venture DST</v>
      </c>
      <c r="C676" s="17"/>
      <c r="D676" s="17" t="str">
        <f>IFERROR(__xludf.DUMMYFUNCTION("""COMPUTED_VALUE"""),"Retail")</f>
        <v>Retail</v>
      </c>
      <c r="E676" s="17">
        <f>IFERROR(__xludf.DUMMYFUNCTION("""COMPUTED_VALUE"""),7.83)</f>
        <v>7.83</v>
      </c>
      <c r="F676" s="27">
        <f>IFERROR(__xludf.DUMMYFUNCTION("""COMPUTED_VALUE"""),1.11)</f>
        <v>1.11</v>
      </c>
      <c r="G676" s="13">
        <f>IFERROR(__xludf.DUMMYFUNCTION("""COMPUTED_VALUE"""),0.0177)</f>
        <v>0.0177</v>
      </c>
    </row>
    <row r="677">
      <c r="A677" s="17" t="str">
        <f>IFERROR(__xludf.DUMMYFUNCTION("""COMPUTED_VALUE"""),"Bluerock")</f>
        <v>Bluerock</v>
      </c>
      <c r="B677" s="17" t="str">
        <f>IFERROR(__xludf.DUMMYFUNCTION("""COMPUTED_VALUE"""),"Westerly")</f>
        <v>Westerly</v>
      </c>
      <c r="C677" s="17" t="str">
        <f>IFERROR(__xludf.DUMMYFUNCTION("""COMPUTED_VALUE"""),"Franklin, MA")</f>
        <v>Franklin, MA</v>
      </c>
      <c r="D677" s="17" t="str">
        <f>IFERROR(__xludf.DUMMYFUNCTION("""COMPUTED_VALUE"""),"Multifamily")</f>
        <v>Multifamily</v>
      </c>
      <c r="E677" s="17">
        <f>IFERROR(__xludf.DUMMYFUNCTION("""COMPUTED_VALUE"""),5.5)</f>
        <v>5.5</v>
      </c>
      <c r="F677" s="27">
        <f>IFERROR(__xludf.DUMMYFUNCTION("""COMPUTED_VALUE"""),1.38)</f>
        <v>1.38</v>
      </c>
      <c r="G677" s="13">
        <f>IFERROR(__xludf.DUMMYFUNCTION("""COMPUTED_VALUE"""),0.072)</f>
        <v>0.072</v>
      </c>
    </row>
    <row r="678">
      <c r="A678" s="17" t="str">
        <f>IFERROR(__xludf.DUMMYFUNCTION("""COMPUTED_VALUE"""),"Bluerock")</f>
        <v>Bluerock</v>
      </c>
      <c r="B678" s="17" t="str">
        <f>IFERROR(__xludf.DUMMYFUNCTION("""COMPUTED_VALUE"""),"Whetstone Apartments")</f>
        <v>Whetstone Apartments</v>
      </c>
      <c r="C678" s="17" t="str">
        <f>IFERROR(__xludf.DUMMYFUNCTION("""COMPUTED_VALUE"""),"Durham, NC")</f>
        <v>Durham, NC</v>
      </c>
      <c r="D678" s="17" t="str">
        <f>IFERROR(__xludf.DUMMYFUNCTION("""COMPUTED_VALUE"""),"Multifamily")</f>
        <v>Multifamily</v>
      </c>
      <c r="E678" s="17">
        <f>IFERROR(__xludf.DUMMYFUNCTION("""COMPUTED_VALUE"""),4.67)</f>
        <v>4.67</v>
      </c>
      <c r="F678" s="27">
        <f>IFERROR(__xludf.DUMMYFUNCTION("""COMPUTED_VALUE"""),1.62)</f>
        <v>1.62</v>
      </c>
      <c r="G678" s="13">
        <f>IFERROR(__xludf.DUMMYFUNCTION("""COMPUTED_VALUE"""),0.074)</f>
        <v>0.074</v>
      </c>
    </row>
    <row r="679">
      <c r="A679" s="17" t="str">
        <f>IFERROR(__xludf.DUMMYFUNCTION("""COMPUTED_VALUE"""),"Bluerock")</f>
        <v>Bluerock</v>
      </c>
      <c r="B679" s="17" t="str">
        <f>IFERROR(__xludf.DUMMYFUNCTION("""COMPUTED_VALUE"""),"Wilkinson Crossings at Dawsonville")</f>
        <v>Wilkinson Crossings at Dawsonville</v>
      </c>
      <c r="C679" s="17" t="str">
        <f>IFERROR(__xludf.DUMMYFUNCTION("""COMPUTED_VALUE"""),"Dawsonville, GA")</f>
        <v>Dawsonville, GA</v>
      </c>
      <c r="D679" s="17" t="str">
        <f>IFERROR(__xludf.DUMMYFUNCTION("""COMPUTED_VALUE"""),"Multifamily")</f>
        <v>Multifamily</v>
      </c>
      <c r="E679" s="17">
        <f>IFERROR(__xludf.DUMMYFUNCTION("""COMPUTED_VALUE"""),1.25)</f>
        <v>1.25</v>
      </c>
      <c r="F679" s="27">
        <f>IFERROR(__xludf.DUMMYFUNCTION("""COMPUTED_VALUE"""),1.14)</f>
        <v>1.14</v>
      </c>
      <c r="G679" s="13">
        <f>IFERROR(__xludf.DUMMYFUNCTION("""COMPUTED_VALUE"""),0.1133)</f>
        <v>0.1133</v>
      </c>
    </row>
    <row r="680">
      <c r="A680" s="17" t="str">
        <f>IFERROR(__xludf.DUMMYFUNCTION("""COMPUTED_VALUE"""),"Bluerock")</f>
        <v>Bluerock</v>
      </c>
      <c r="B680" s="17" t="str">
        <f>IFERROR(__xludf.DUMMYFUNCTION("""COMPUTED_VALUE"""),"Wilkinson Spring Parc")</f>
        <v>Wilkinson Spring Parc</v>
      </c>
      <c r="C680" s="17" t="str">
        <f>IFERROR(__xludf.DUMMYFUNCTION("""COMPUTED_VALUE"""),"Dallas, TX")</f>
        <v>Dallas, TX</v>
      </c>
      <c r="D680" s="17" t="str">
        <f>IFERROR(__xludf.DUMMYFUNCTION("""COMPUTED_VALUE"""),"Multifamily")</f>
        <v>Multifamily</v>
      </c>
      <c r="E680" s="17">
        <f>IFERROR(__xludf.DUMMYFUNCTION("""COMPUTED_VALUE"""),1.25)</f>
        <v>1.25</v>
      </c>
      <c r="F680" s="27">
        <f>IFERROR(__xludf.DUMMYFUNCTION("""COMPUTED_VALUE"""),1.14)</f>
        <v>1.14</v>
      </c>
      <c r="G680" s="13">
        <f>IFERROR(__xludf.DUMMYFUNCTION("""COMPUTED_VALUE"""),0.1133)</f>
        <v>0.1133</v>
      </c>
    </row>
    <row r="681">
      <c r="A681" s="17" t="str">
        <f>IFERROR(__xludf.DUMMYFUNCTION("""COMPUTED_VALUE"""),"Bluerock")</f>
        <v>Bluerock</v>
      </c>
      <c r="B681" s="17" t="str">
        <f>IFERROR(__xludf.DUMMYFUNCTION("""COMPUTED_VALUE"""),"Willow Park")</f>
        <v>Willow Park</v>
      </c>
      <c r="C681" s="17" t="str">
        <f>IFERROR(__xludf.DUMMYFUNCTION("""COMPUTED_VALUE"""),"Fort Worth, TX")</f>
        <v>Fort Worth, TX</v>
      </c>
      <c r="D681" s="17" t="str">
        <f>IFERROR(__xludf.DUMMYFUNCTION("""COMPUTED_VALUE"""),"Multifamily")</f>
        <v>Multifamily</v>
      </c>
      <c r="E681" s="17">
        <f>IFERROR(__xludf.DUMMYFUNCTION("""COMPUTED_VALUE"""),3.5)</f>
        <v>3.5</v>
      </c>
      <c r="F681" s="27">
        <f>IFERROR(__xludf.DUMMYFUNCTION("""COMPUTED_VALUE"""),1.32)</f>
        <v>1.32</v>
      </c>
      <c r="G681" s="13">
        <f>IFERROR(__xludf.DUMMYFUNCTION("""COMPUTED_VALUE"""),0.181)</f>
        <v>0.181</v>
      </c>
    </row>
    <row r="682">
      <c r="A682" s="17" t="str">
        <f>IFERROR(__xludf.DUMMYFUNCTION("""COMPUTED_VALUE"""),"Bluerock")</f>
        <v>Bluerock</v>
      </c>
      <c r="B682" s="17" t="str">
        <f>IFERROR(__xludf.DUMMYFUNCTION("""COMPUTED_VALUE"""),"Windsor Falls")</f>
        <v>Windsor Falls</v>
      </c>
      <c r="C682" s="17" t="str">
        <f>IFERROR(__xludf.DUMMYFUNCTION("""COMPUTED_VALUE"""),"Raleigh, NC")</f>
        <v>Raleigh, NC</v>
      </c>
      <c r="D682" s="17" t="str">
        <f>IFERROR(__xludf.DUMMYFUNCTION("""COMPUTED_VALUE"""),"Multifamily")</f>
        <v>Multifamily</v>
      </c>
      <c r="E682" s="17">
        <f>IFERROR(__xludf.DUMMYFUNCTION("""COMPUTED_VALUE"""),1.5)</f>
        <v>1.5</v>
      </c>
      <c r="F682" s="27">
        <f>IFERROR(__xludf.DUMMYFUNCTION("""COMPUTED_VALUE"""),1.83)</f>
        <v>1.83</v>
      </c>
      <c r="G682" s="13">
        <f>IFERROR(__xludf.DUMMYFUNCTION("""COMPUTED_VALUE"""),0.6459)</f>
        <v>0.6459</v>
      </c>
    </row>
    <row r="683">
      <c r="A683" s="17" t="str">
        <f>IFERROR(__xludf.DUMMYFUNCTION("""COMPUTED_VALUE"""),"Peachtree Group")</f>
        <v>Peachtree Group</v>
      </c>
      <c r="B683" s="17" t="str">
        <f>IFERROR(__xludf.DUMMYFUNCTION("""COMPUTED_VALUE"""),"Wingate – Kennesaw, GA")</f>
        <v>Wingate – Kennesaw, GA</v>
      </c>
      <c r="C683" s="17" t="str">
        <f>IFERROR(__xludf.DUMMYFUNCTION("""COMPUTED_VALUE"""),"Kennesaw, GA")</f>
        <v>Kennesaw, GA</v>
      </c>
      <c r="D683" s="17" t="str">
        <f>IFERROR(__xludf.DUMMYFUNCTION("""COMPUTED_VALUE"""),"Hotel")</f>
        <v>Hotel</v>
      </c>
      <c r="E683" s="17">
        <f>IFERROR(__xludf.DUMMYFUNCTION("""COMPUTED_VALUE"""),3.28)</f>
        <v>3.28</v>
      </c>
      <c r="F683" s="27">
        <f>IFERROR(__xludf.DUMMYFUNCTION("""COMPUTED_VALUE"""),1.96)</f>
        <v>1.96</v>
      </c>
      <c r="G683" s="13">
        <f>IFERROR(__xludf.DUMMYFUNCTION("""COMPUTED_VALUE"""),0.228)</f>
        <v>0.228</v>
      </c>
    </row>
    <row r="684">
      <c r="A684" s="17" t="str">
        <f>IFERROR(__xludf.DUMMYFUNCTION("""COMPUTED_VALUE"""),"AEI Capital Corporation")</f>
        <v>AEI Capital Corporation</v>
      </c>
      <c r="B684" s="17" t="str">
        <f>IFERROR(__xludf.DUMMYFUNCTION("""COMPUTED_VALUE"""),"Winn Dixie")</f>
        <v>Winn Dixie</v>
      </c>
      <c r="C684" s="17" t="str">
        <f>IFERROR(__xludf.DUMMYFUNCTION("""COMPUTED_VALUE"""),"Panama City, FL")</f>
        <v>Panama City, FL</v>
      </c>
      <c r="D684" s="17" t="str">
        <f>IFERROR(__xludf.DUMMYFUNCTION("""COMPUTED_VALUE"""),"Net Lease")</f>
        <v>Net Lease</v>
      </c>
      <c r="E684" s="17">
        <f>IFERROR(__xludf.DUMMYFUNCTION("""COMPUTED_VALUE"""),17.13)</f>
        <v>17.13</v>
      </c>
      <c r="F684" s="27">
        <f>IFERROR(__xludf.DUMMYFUNCTION("""COMPUTED_VALUE"""),1.76)</f>
        <v>1.76</v>
      </c>
      <c r="G684" s="13">
        <f>IFERROR(__xludf.DUMMYFUNCTION("""COMPUTED_VALUE"""),0.062)</f>
        <v>0.062</v>
      </c>
    </row>
    <row r="685">
      <c r="A685" s="17" t="str">
        <f>IFERROR(__xludf.DUMMYFUNCTION("""COMPUTED_VALUE"""),"Inland")</f>
        <v>Inland</v>
      </c>
      <c r="B685" s="17" t="str">
        <f>IFERROR(__xludf.DUMMYFUNCTION("""COMPUTED_VALUE"""),"Winston-Salem Office DST")</f>
        <v>Winston-Salem Office DST</v>
      </c>
      <c r="C685" s="17"/>
      <c r="D685" s="17" t="str">
        <f>IFERROR(__xludf.DUMMYFUNCTION("""COMPUTED_VALUE"""),"Office")</f>
        <v>Office</v>
      </c>
      <c r="E685" s="17">
        <f>IFERROR(__xludf.DUMMYFUNCTION("""COMPUTED_VALUE"""),2.92)</f>
        <v>2.92</v>
      </c>
      <c r="F685" s="27">
        <f>IFERROR(__xludf.DUMMYFUNCTION("""COMPUTED_VALUE"""),1.21)</f>
        <v>1.21</v>
      </c>
      <c r="G685" s="13">
        <f>IFERROR(__xludf.DUMMYFUNCTION("""COMPUTED_VALUE"""),0.075)</f>
        <v>0.075</v>
      </c>
    </row>
    <row r="686">
      <c r="A686" s="17" t="str">
        <f>IFERROR(__xludf.DUMMYFUNCTION("""COMPUTED_VALUE"""),"Walton Global Holdings")</f>
        <v>Walton Global Holdings</v>
      </c>
      <c r="B686" s="17" t="str">
        <f>IFERROR(__xludf.DUMMYFUNCTION("""COMPUTED_VALUE"""),"Woodward Crossing")</f>
        <v>Woodward Crossing</v>
      </c>
      <c r="C686" s="17" t="str">
        <f>IFERROR(__xludf.DUMMYFUNCTION("""COMPUTED_VALUE"""),"Atlanta, GA")</f>
        <v>Atlanta, GA</v>
      </c>
      <c r="D686" s="17" t="str">
        <f>IFERROR(__xludf.DUMMYFUNCTION("""COMPUTED_VALUE"""),"Land")</f>
        <v>Land</v>
      </c>
      <c r="E686" s="17">
        <f>IFERROR(__xludf.DUMMYFUNCTION("""COMPUTED_VALUE"""),4.41)</f>
        <v>4.41</v>
      </c>
      <c r="F686" s="27">
        <f>IFERROR(__xludf.DUMMYFUNCTION("""COMPUTED_VALUE"""),1.81)</f>
        <v>1.81</v>
      </c>
      <c r="G686" s="13">
        <f>IFERROR(__xludf.DUMMYFUNCTION("""COMPUTED_VALUE"""),0.2058)</f>
        <v>0.2058</v>
      </c>
    </row>
    <row r="687">
      <c r="A687" s="17" t="str">
        <f>IFERROR(__xludf.DUMMYFUNCTION("""COMPUTED_VALUE"""),"Time Equities")</f>
        <v>Time Equities</v>
      </c>
      <c r="B687" s="17" t="str">
        <f>IFERROR(__xludf.DUMMYFUNCTION("""COMPUTED_VALUE"""),"World Equities LLC")</f>
        <v>World Equities LLC</v>
      </c>
      <c r="C687" s="17" t="str">
        <f>IFERROR(__xludf.DUMMYFUNCTION("""COMPUTED_VALUE"""),"Omaha, NE")</f>
        <v>Omaha, NE</v>
      </c>
      <c r="D687" s="17" t="str">
        <f>IFERROR(__xludf.DUMMYFUNCTION("""COMPUTED_VALUE"""),"Office")</f>
        <v>Office</v>
      </c>
      <c r="E687" s="17">
        <f>IFERROR(__xludf.DUMMYFUNCTION("""COMPUTED_VALUE"""),12.13)</f>
        <v>12.13</v>
      </c>
      <c r="F687" s="27">
        <f>IFERROR(__xludf.DUMMYFUNCTION("""COMPUTED_VALUE"""),1.73)</f>
        <v>1.73</v>
      </c>
      <c r="G687" s="13">
        <f>IFERROR(__xludf.DUMMYFUNCTION("""COMPUTED_VALUE"""),0.1203)</f>
        <v>0.1203</v>
      </c>
    </row>
    <row r="688">
      <c r="A688" s="17" t="str">
        <f>IFERROR(__xludf.DUMMYFUNCTION("""COMPUTED_VALUE"""),"Inland")</f>
        <v>Inland</v>
      </c>
      <c r="B688" s="17" t="str">
        <f>IFERROR(__xludf.DUMMYFUNCTION("""COMPUTED_VALUE"""),"Zionsville Ground Express DST")</f>
        <v>Zionsville Ground Express DST</v>
      </c>
      <c r="C688" s="17"/>
      <c r="D688" s="17" t="str">
        <f>IFERROR(__xludf.DUMMYFUNCTION("""COMPUTED_VALUE"""),"Industrial")</f>
        <v>Industrial</v>
      </c>
      <c r="E688" s="17">
        <f>IFERROR(__xludf.DUMMYFUNCTION("""COMPUTED_VALUE"""),1.92)</f>
        <v>1.92</v>
      </c>
      <c r="F688" s="27">
        <f>IFERROR(__xludf.DUMMYFUNCTION("""COMPUTED_VALUE"""),1.23)</f>
        <v>1.23</v>
      </c>
      <c r="G688" s="13">
        <f>IFERROR(__xludf.DUMMYFUNCTION("""COMPUTED_VALUE"""),0.1199)</f>
        <v>0.1199</v>
      </c>
    </row>
    <row r="689">
      <c r="A689" s="17" t="str">
        <f>IFERROR(__xludf.DUMMYFUNCTION("""COMPUTED_VALUE"""),"Bluerock")</f>
        <v>Bluerock</v>
      </c>
      <c r="B689" s="17" t="str">
        <f>IFERROR(__xludf.DUMMYFUNCTION("""COMPUTED_VALUE"""),"Zoey")</f>
        <v>Zoey</v>
      </c>
      <c r="C689" s="17" t="str">
        <f>IFERROR(__xludf.DUMMYFUNCTION("""COMPUTED_VALUE"""),"Austin, TX")</f>
        <v>Austin, TX</v>
      </c>
      <c r="D689" s="17" t="str">
        <f>IFERROR(__xludf.DUMMYFUNCTION("""COMPUTED_VALUE"""),"Multifamily")</f>
        <v>Multifamily</v>
      </c>
      <c r="E689" s="17">
        <f>IFERROR(__xludf.DUMMYFUNCTION("""COMPUTED_VALUE"""),2.42)</f>
        <v>2.42</v>
      </c>
      <c r="F689" s="27">
        <f>IFERROR(__xludf.DUMMYFUNCTION("""COMPUTED_VALUE"""),1.15)</f>
        <v>1.15</v>
      </c>
      <c r="G689" s="13">
        <f>IFERROR(__xludf.DUMMYFUNCTION("""COMPUTED_VALUE"""),0.1027)</f>
        <v>0.1027</v>
      </c>
    </row>
    <row r="690">
      <c r="A690" s="17" t="str">
        <f>IFERROR(__xludf.DUMMYFUNCTION("""COMPUTED_VALUE"""),"Hamilton Point Investments")</f>
        <v>Hamilton Point Investments</v>
      </c>
      <c r="B690" s="17" t="str">
        <f>IFERROR(__xludf.DUMMYFUNCTION("""COMPUTED_VALUE"""),"HPI Fund I")</f>
        <v>HPI Fund I</v>
      </c>
      <c r="C690" s="17"/>
      <c r="D690" s="17" t="str">
        <f>IFERROR(__xludf.DUMMYFUNCTION("""COMPUTED_VALUE"""),"Multifamily Fund")</f>
        <v>Multifamily Fund</v>
      </c>
      <c r="E690" s="17">
        <f>IFERROR(__xludf.DUMMYFUNCTION("""COMPUTED_VALUE"""),4.0)</f>
        <v>4</v>
      </c>
      <c r="F690" s="17"/>
      <c r="G690" s="13">
        <f>IFERROR(__xludf.DUMMYFUNCTION("""COMPUTED_VALUE"""),0.145)</f>
        <v>0.145</v>
      </c>
    </row>
    <row r="691">
      <c r="A691" s="17" t="str">
        <f>IFERROR(__xludf.DUMMYFUNCTION("""COMPUTED_VALUE"""),"Hamilton Point Investments")</f>
        <v>Hamilton Point Investments</v>
      </c>
      <c r="B691" s="17" t="str">
        <f>IFERROR(__xludf.DUMMYFUNCTION("""COMPUTED_VALUE"""),"HPI Fund II")</f>
        <v>HPI Fund II</v>
      </c>
      <c r="C691" s="17"/>
      <c r="D691" s="17" t="str">
        <f>IFERROR(__xludf.DUMMYFUNCTION("""COMPUTED_VALUE"""),"Multifamily Fund")</f>
        <v>Multifamily Fund</v>
      </c>
      <c r="E691" s="17">
        <f>IFERROR(__xludf.DUMMYFUNCTION("""COMPUTED_VALUE"""),4.0)</f>
        <v>4</v>
      </c>
      <c r="F691" s="17"/>
      <c r="G691" s="13">
        <f>IFERROR(__xludf.DUMMYFUNCTION("""COMPUTED_VALUE"""),0.146)</f>
        <v>0.146</v>
      </c>
    </row>
    <row r="692">
      <c r="A692" s="17" t="str">
        <f>IFERROR(__xludf.DUMMYFUNCTION("""COMPUTED_VALUE"""),"Hamilton Point Investments")</f>
        <v>Hamilton Point Investments</v>
      </c>
      <c r="B692" s="17" t="str">
        <f>IFERROR(__xludf.DUMMYFUNCTION("""COMPUTED_VALUE"""),"HPI Fund III")</f>
        <v>HPI Fund III</v>
      </c>
      <c r="C692" s="17"/>
      <c r="D692" s="17" t="str">
        <f>IFERROR(__xludf.DUMMYFUNCTION("""COMPUTED_VALUE"""),"Multifamily Fund")</f>
        <v>Multifamily Fund</v>
      </c>
      <c r="E692" s="17">
        <f>IFERROR(__xludf.DUMMYFUNCTION("""COMPUTED_VALUE"""),3.5)</f>
        <v>3.5</v>
      </c>
      <c r="F692" s="17"/>
      <c r="G692" s="13">
        <f>IFERROR(__xludf.DUMMYFUNCTION("""COMPUTED_VALUE"""),0.182)</f>
        <v>0.182</v>
      </c>
    </row>
    <row r="693">
      <c r="A693" s="17" t="str">
        <f>IFERROR(__xludf.DUMMYFUNCTION("""COMPUTED_VALUE"""),"Hamilton Point Investments")</f>
        <v>Hamilton Point Investments</v>
      </c>
      <c r="B693" s="17" t="str">
        <f>IFERROR(__xludf.DUMMYFUNCTION("""COMPUTED_VALUE"""),"HPI Fund IV")</f>
        <v>HPI Fund IV</v>
      </c>
      <c r="C693" s="17"/>
      <c r="D693" s="17" t="str">
        <f>IFERROR(__xludf.DUMMYFUNCTION("""COMPUTED_VALUE"""),"Multifamily Fund")</f>
        <v>Multifamily Fund</v>
      </c>
      <c r="E693" s="17">
        <f>IFERROR(__xludf.DUMMYFUNCTION("""COMPUTED_VALUE"""),5.0)</f>
        <v>5</v>
      </c>
      <c r="F693" s="17"/>
      <c r="G693" s="13">
        <f>IFERROR(__xludf.DUMMYFUNCTION("""COMPUTED_VALUE"""),0.143)</f>
        <v>0.143</v>
      </c>
    </row>
    <row r="694">
      <c r="A694" s="17" t="str">
        <f>IFERROR(__xludf.DUMMYFUNCTION("""COMPUTED_VALUE"""),"Hamilton Point Investments")</f>
        <v>Hamilton Point Investments</v>
      </c>
      <c r="B694" s="17" t="str">
        <f>IFERROR(__xludf.DUMMYFUNCTION("""COMPUTED_VALUE"""),"HPI Fund V")</f>
        <v>HPI Fund V</v>
      </c>
      <c r="C694" s="17"/>
      <c r="D694" s="17" t="str">
        <f>IFERROR(__xludf.DUMMYFUNCTION("""COMPUTED_VALUE"""),"Multifamily Fund")</f>
        <v>Multifamily Fund</v>
      </c>
      <c r="E694" s="17">
        <f>IFERROR(__xludf.DUMMYFUNCTION("""COMPUTED_VALUE"""),4.0)</f>
        <v>4</v>
      </c>
      <c r="F694" s="17"/>
      <c r="G694" s="13">
        <f>IFERROR(__xludf.DUMMYFUNCTION("""COMPUTED_VALUE"""),0.168)</f>
        <v>0.168</v>
      </c>
    </row>
    <row r="695">
      <c r="A695" s="17" t="str">
        <f>IFERROR(__xludf.DUMMYFUNCTION("""COMPUTED_VALUE"""),"Hamilton Point Investments")</f>
        <v>Hamilton Point Investments</v>
      </c>
      <c r="B695" s="17" t="str">
        <f>IFERROR(__xludf.DUMMYFUNCTION("""COMPUTED_VALUE"""),"HPI Fund VI")</f>
        <v>HPI Fund VI</v>
      </c>
      <c r="C695" s="17"/>
      <c r="D695" s="17" t="str">
        <f>IFERROR(__xludf.DUMMYFUNCTION("""COMPUTED_VALUE"""),"Multifamily Fund")</f>
        <v>Multifamily Fund</v>
      </c>
      <c r="E695" s="17">
        <f>IFERROR(__xludf.DUMMYFUNCTION("""COMPUTED_VALUE"""),4.0)</f>
        <v>4</v>
      </c>
      <c r="F695" s="17"/>
      <c r="G695" s="13">
        <f>IFERROR(__xludf.DUMMYFUNCTION("""COMPUTED_VALUE"""),0.211)</f>
        <v>0.211</v>
      </c>
    </row>
    <row r="696">
      <c r="A696" s="17" t="str">
        <f>IFERROR(__xludf.DUMMYFUNCTION("""COMPUTED_VALUE"""),"Hamilton Point Investments")</f>
        <v>Hamilton Point Investments</v>
      </c>
      <c r="B696" s="17" t="str">
        <f>IFERROR(__xludf.DUMMYFUNCTION("""COMPUTED_VALUE"""),"HPI Fund VII")</f>
        <v>HPI Fund VII</v>
      </c>
      <c r="C696" s="17"/>
      <c r="D696" s="17" t="str">
        <f>IFERROR(__xludf.DUMMYFUNCTION("""COMPUTED_VALUE"""),"Multifamily Fund")</f>
        <v>Multifamily Fund</v>
      </c>
      <c r="E696" s="17">
        <f>IFERROR(__xludf.DUMMYFUNCTION("""COMPUTED_VALUE"""),3.5)</f>
        <v>3.5</v>
      </c>
      <c r="F696" s="17"/>
      <c r="G696" s="13">
        <f>IFERROR(__xludf.DUMMYFUNCTION("""COMPUTED_VALUE"""),0.212)</f>
        <v>0.212</v>
      </c>
    </row>
    <row r="697">
      <c r="A697" s="17" t="str">
        <f>IFERROR(__xludf.DUMMYFUNCTION("""COMPUTED_VALUE"""),"Hamilton Point Investments")</f>
        <v>Hamilton Point Investments</v>
      </c>
      <c r="B697" s="17" t="str">
        <f>IFERROR(__xludf.DUMMYFUNCTION("""COMPUTED_VALUE"""),"HPI Fund VIII")</f>
        <v>HPI Fund VIII</v>
      </c>
      <c r="C697" s="17"/>
      <c r="D697" s="17" t="str">
        <f>IFERROR(__xludf.DUMMYFUNCTION("""COMPUTED_VALUE"""),"Multifamily Fund")</f>
        <v>Multifamily Fund</v>
      </c>
      <c r="E697" s="17">
        <f>IFERROR(__xludf.DUMMYFUNCTION("""COMPUTED_VALUE"""),6.0)</f>
        <v>6</v>
      </c>
      <c r="F697" s="17"/>
      <c r="G697" s="13">
        <f>IFERROR(__xludf.DUMMYFUNCTION("""COMPUTED_VALUE"""),0.1083)</f>
        <v>0.1083</v>
      </c>
    </row>
    <row r="698">
      <c r="A698" s="17" t="str">
        <f>IFERROR(__xludf.DUMMYFUNCTION("""COMPUTED_VALUE"""),"Hamilton Point Investments")</f>
        <v>Hamilton Point Investments</v>
      </c>
      <c r="B698" s="17" t="str">
        <f>IFERROR(__xludf.DUMMYFUNCTION("""COMPUTED_VALUE"""),"Garden Park DST")</f>
        <v>Garden Park DST</v>
      </c>
      <c r="C698" s="17"/>
      <c r="D698" s="17" t="str">
        <f>IFERROR(__xludf.DUMMYFUNCTION("""COMPUTED_VALUE"""),"Multifamily DST")</f>
        <v>Multifamily DST</v>
      </c>
      <c r="E698" s="17"/>
      <c r="F698" s="17"/>
      <c r="G698" s="13">
        <f>IFERROR(__xludf.DUMMYFUNCTION("""COMPUTED_VALUE"""),0.2)</f>
        <v>0.2</v>
      </c>
    </row>
    <row r="699">
      <c r="A699" s="17" t="str">
        <f>IFERROR(__xludf.DUMMYFUNCTION("""COMPUTED_VALUE"""),"Hamilton Point Investments")</f>
        <v>Hamilton Point Investments</v>
      </c>
      <c r="B699" s="17" t="str">
        <f>IFERROR(__xludf.DUMMYFUNCTION("""COMPUTED_VALUE"""),"Wilcox DST")</f>
        <v>Wilcox DST</v>
      </c>
      <c r="C699" s="17"/>
      <c r="D699" s="17" t="str">
        <f>IFERROR(__xludf.DUMMYFUNCTION("""COMPUTED_VALUE"""),"Multifamily DST")</f>
        <v>Multifamily DST</v>
      </c>
      <c r="E699" s="17"/>
      <c r="F699" s="17"/>
      <c r="G699" s="13">
        <f>IFERROR(__xludf.DUMMYFUNCTION("""COMPUTED_VALUE"""),0.14)</f>
        <v>0.14</v>
      </c>
    </row>
    <row r="700">
      <c r="A700" s="17" t="str">
        <f>IFERROR(__xludf.DUMMYFUNCTION("""COMPUTED_VALUE"""),"Hamilton Point Investments")</f>
        <v>Hamilton Point Investments</v>
      </c>
      <c r="B700" s="17" t="str">
        <f>IFERROR(__xludf.DUMMYFUNCTION("""COMPUTED_VALUE"""),"Crocker House DST")</f>
        <v>Crocker House DST</v>
      </c>
      <c r="C700" s="17"/>
      <c r="D700" s="17" t="str">
        <f>IFERROR(__xludf.DUMMYFUNCTION("""COMPUTED_VALUE"""),"Multifamily DST")</f>
        <v>Multifamily DST</v>
      </c>
      <c r="E700" s="17"/>
      <c r="F700" s="17"/>
      <c r="G700" s="13">
        <f>IFERROR(__xludf.DUMMYFUNCTION("""COMPUTED_VALUE"""),0.144)</f>
        <v>0.144</v>
      </c>
    </row>
    <row r="701">
      <c r="A701" s="17" t="str">
        <f>IFERROR(__xludf.DUMMYFUNCTION("""COMPUTED_VALUE"""),"Hamilton Point Investments")</f>
        <v>Hamilton Point Investments</v>
      </c>
      <c r="B701" s="17" t="str">
        <f>IFERROR(__xludf.DUMMYFUNCTION("""COMPUTED_VALUE"""),"Mill Creek DST")</f>
        <v>Mill Creek DST</v>
      </c>
      <c r="C701" s="17"/>
      <c r="D701" s="17" t="str">
        <f>IFERROR(__xludf.DUMMYFUNCTION("""COMPUTED_VALUE"""),"Multifamily DST")</f>
        <v>Multifamily DST</v>
      </c>
      <c r="E701" s="17"/>
      <c r="F701" s="17"/>
      <c r="G701" s="13">
        <f>IFERROR(__xludf.DUMMYFUNCTION("""COMPUTED_VALUE"""),0.141)</f>
        <v>0.141</v>
      </c>
    </row>
    <row r="702">
      <c r="A702" s="17" t="str">
        <f>IFERROR(__xludf.DUMMYFUNCTION("""COMPUTED_VALUE"""),"Hamilton Point Investments")</f>
        <v>Hamilton Point Investments</v>
      </c>
      <c r="B702" s="17" t="str">
        <f>IFERROR(__xludf.DUMMYFUNCTION("""COMPUTED_VALUE"""),"Waterford Landing DST")</f>
        <v>Waterford Landing DST</v>
      </c>
      <c r="C702" s="17"/>
      <c r="D702" s="17" t="str">
        <f>IFERROR(__xludf.DUMMYFUNCTION("""COMPUTED_VALUE"""),"Multifamily DST")</f>
        <v>Multifamily DST</v>
      </c>
      <c r="E702" s="17"/>
      <c r="F702" s="17"/>
      <c r="G702" s="13">
        <f>IFERROR(__xludf.DUMMYFUNCTION("""COMPUTED_VALUE"""),0.16)</f>
        <v>0.16</v>
      </c>
    </row>
    <row r="703">
      <c r="A703" s="17" t="str">
        <f>IFERROR(__xludf.DUMMYFUNCTION("""COMPUTED_VALUE"""),"Hamilton Point Investments")</f>
        <v>Hamilton Point Investments</v>
      </c>
      <c r="B703" s="17" t="str">
        <f>IFERROR(__xludf.DUMMYFUNCTION("""COMPUTED_VALUE"""),"Villas by the Lake DST")</f>
        <v>Villas by the Lake DST</v>
      </c>
      <c r="C703" s="17"/>
      <c r="D703" s="17" t="str">
        <f>IFERROR(__xludf.DUMMYFUNCTION("""COMPUTED_VALUE"""),"Multifamily DST")</f>
        <v>Multifamily DST</v>
      </c>
      <c r="E703" s="17"/>
      <c r="F703" s="17"/>
      <c r="G703" s="13">
        <f>IFERROR(__xludf.DUMMYFUNCTION("""COMPUTED_VALUE"""),0.134)</f>
        <v>0.134</v>
      </c>
    </row>
    <row r="704">
      <c r="A704" s="17" t="str">
        <f>IFERROR(__xludf.DUMMYFUNCTION("""COMPUTED_VALUE"""),"Hamilton Point Investments")</f>
        <v>Hamilton Point Investments</v>
      </c>
      <c r="B704" s="17" t="str">
        <f>IFERROR(__xludf.DUMMYFUNCTION("""COMPUTED_VALUE"""),"Plantation Apartments DST")</f>
        <v>Plantation Apartments DST</v>
      </c>
      <c r="C704" s="17"/>
      <c r="D704" s="17" t="str">
        <f>IFERROR(__xludf.DUMMYFUNCTION("""COMPUTED_VALUE"""),"Multifamily DST")</f>
        <v>Multifamily DST</v>
      </c>
      <c r="E704" s="17"/>
      <c r="F704" s="17"/>
      <c r="G704" s="13">
        <f>IFERROR(__xludf.DUMMYFUNCTION("""COMPUTED_VALUE"""),0.08)</f>
        <v>0.08</v>
      </c>
    </row>
    <row r="705">
      <c r="A705" s="17"/>
      <c r="B705" s="17"/>
      <c r="C705" s="17"/>
      <c r="D705" s="17"/>
      <c r="E705" s="17"/>
      <c r="F705" s="17"/>
      <c r="G705" s="17"/>
    </row>
    <row r="706">
      <c r="A706" s="17"/>
      <c r="B706" s="17"/>
      <c r="C706" s="17"/>
      <c r="D706" s="17"/>
      <c r="E706" s="17"/>
      <c r="F706" s="17"/>
      <c r="G706" s="17"/>
    </row>
    <row r="707">
      <c r="A707" s="17"/>
      <c r="B707" s="17"/>
      <c r="C707" s="17"/>
      <c r="D707" s="17"/>
      <c r="E707" s="17"/>
      <c r="F707" s="17"/>
      <c r="G707" s="17"/>
    </row>
    <row r="708">
      <c r="A708" s="17"/>
      <c r="B708" s="17"/>
      <c r="C708" s="17"/>
      <c r="D708" s="17"/>
      <c r="E708" s="17"/>
      <c r="F708" s="17"/>
      <c r="G708" s="17"/>
    </row>
    <row r="709">
      <c r="A709" s="17"/>
      <c r="B709" s="17"/>
      <c r="C709" s="17"/>
      <c r="D709" s="17"/>
      <c r="E709" s="17"/>
      <c r="F709" s="17"/>
      <c r="G709" s="17"/>
    </row>
    <row r="710">
      <c r="A710" s="17"/>
      <c r="B710" s="17"/>
      <c r="C710" s="17"/>
      <c r="D710" s="17"/>
      <c r="E710" s="17"/>
      <c r="F710" s="17"/>
      <c r="G710" s="17"/>
    </row>
    <row r="711">
      <c r="A711" s="17"/>
      <c r="B711" s="17"/>
      <c r="C711" s="17"/>
      <c r="D711" s="17"/>
      <c r="E711" s="17"/>
      <c r="F711" s="17"/>
      <c r="G711" s="17"/>
    </row>
    <row r="712">
      <c r="A712" s="17"/>
      <c r="B712" s="17"/>
      <c r="C712" s="17"/>
      <c r="D712" s="17"/>
      <c r="E712" s="17"/>
      <c r="F712" s="17"/>
      <c r="G712" s="17"/>
    </row>
    <row r="713">
      <c r="A713" s="17"/>
      <c r="B713" s="17"/>
      <c r="C713" s="17"/>
      <c r="D713" s="17"/>
      <c r="E713" s="17"/>
      <c r="F713" s="17"/>
      <c r="G713" s="17"/>
    </row>
    <row r="714">
      <c r="A714" s="17"/>
      <c r="B714" s="17"/>
      <c r="C714" s="17"/>
      <c r="D714" s="17"/>
      <c r="E714" s="17"/>
      <c r="F714" s="17"/>
      <c r="G714" s="17"/>
    </row>
    <row r="715">
      <c r="A715" s="17"/>
      <c r="B715" s="17"/>
      <c r="C715" s="17"/>
      <c r="D715" s="17"/>
      <c r="E715" s="17"/>
      <c r="F715" s="17"/>
      <c r="G715" s="17"/>
    </row>
    <row r="716">
      <c r="A716" s="17"/>
      <c r="B716" s="17"/>
      <c r="C716" s="17"/>
      <c r="D716" s="17"/>
      <c r="E716" s="17"/>
      <c r="F716" s="17"/>
      <c r="G716" s="17"/>
    </row>
    <row r="717">
      <c r="A717" s="17"/>
      <c r="B717" s="17"/>
      <c r="C717" s="17"/>
      <c r="D717" s="17"/>
      <c r="E717" s="17"/>
      <c r="F717" s="17"/>
      <c r="G717" s="17"/>
    </row>
    <row r="718">
      <c r="A718" s="17"/>
      <c r="B718" s="17"/>
      <c r="C718" s="17"/>
      <c r="D718" s="17"/>
      <c r="E718" s="17"/>
      <c r="F718" s="17"/>
      <c r="G718" s="17"/>
    </row>
    <row r="719">
      <c r="A719" s="17"/>
      <c r="B719" s="17"/>
      <c r="C719" s="17"/>
      <c r="D719" s="17"/>
      <c r="E719" s="17"/>
      <c r="F719" s="17"/>
      <c r="G719" s="17"/>
    </row>
    <row r="720">
      <c r="A720" s="17"/>
      <c r="B720" s="17"/>
      <c r="C720" s="17"/>
      <c r="D720" s="17"/>
      <c r="E720" s="17"/>
      <c r="F720" s="17"/>
      <c r="G720" s="17"/>
    </row>
    <row r="721">
      <c r="A721" s="17"/>
      <c r="B721" s="17"/>
      <c r="C721" s="17"/>
      <c r="D721" s="17"/>
      <c r="E721" s="17"/>
      <c r="F721" s="17"/>
      <c r="G721" s="17"/>
    </row>
    <row r="722">
      <c r="A722" s="17"/>
      <c r="B722" s="17"/>
      <c r="C722" s="17"/>
      <c r="D722" s="17"/>
      <c r="E722" s="17"/>
      <c r="F722" s="17"/>
      <c r="G722" s="17"/>
    </row>
    <row r="723">
      <c r="A723" s="17"/>
      <c r="B723" s="17"/>
      <c r="C723" s="17"/>
      <c r="D723" s="17"/>
      <c r="E723" s="17"/>
      <c r="F723" s="17"/>
      <c r="G723" s="17"/>
    </row>
    <row r="724">
      <c r="A724" s="17"/>
      <c r="B724" s="17"/>
      <c r="C724" s="17"/>
      <c r="D724" s="17"/>
      <c r="E724" s="17"/>
      <c r="F724" s="17"/>
      <c r="G724" s="17"/>
    </row>
    <row r="725">
      <c r="A725" s="17"/>
      <c r="B725" s="17"/>
      <c r="C725" s="17"/>
      <c r="D725" s="17"/>
      <c r="E725" s="17"/>
      <c r="F725" s="17"/>
      <c r="G725" s="17"/>
    </row>
    <row r="726">
      <c r="A726" s="17"/>
      <c r="B726" s="17"/>
      <c r="C726" s="17"/>
      <c r="D726" s="17"/>
      <c r="E726" s="17"/>
      <c r="F726" s="17"/>
      <c r="G726" s="17"/>
    </row>
    <row r="727">
      <c r="A727" s="17"/>
      <c r="B727" s="17"/>
      <c r="C727" s="17"/>
      <c r="D727" s="17"/>
      <c r="E727" s="17"/>
      <c r="F727" s="17"/>
      <c r="G727" s="17"/>
    </row>
    <row r="728">
      <c r="A728" s="17"/>
      <c r="B728" s="17"/>
      <c r="C728" s="17"/>
      <c r="D728" s="17"/>
      <c r="E728" s="17"/>
      <c r="F728" s="17"/>
      <c r="G728" s="17"/>
    </row>
    <row r="729">
      <c r="A729" s="17"/>
      <c r="B729" s="17"/>
      <c r="C729" s="17"/>
      <c r="D729" s="17"/>
      <c r="E729" s="17"/>
      <c r="F729" s="17"/>
      <c r="G729" s="17"/>
    </row>
    <row r="730">
      <c r="A730" s="17"/>
      <c r="B730" s="17"/>
      <c r="C730" s="17"/>
      <c r="D730" s="17"/>
      <c r="E730" s="17"/>
      <c r="F730" s="17"/>
      <c r="G730" s="17"/>
    </row>
    <row r="731">
      <c r="A731" s="17"/>
      <c r="B731" s="17"/>
      <c r="C731" s="17"/>
      <c r="D731" s="17"/>
      <c r="E731" s="17"/>
      <c r="F731" s="17"/>
      <c r="G731" s="17"/>
    </row>
    <row r="732">
      <c r="A732" s="17"/>
      <c r="B732" s="17"/>
      <c r="C732" s="17"/>
      <c r="D732" s="17"/>
      <c r="E732" s="17"/>
      <c r="F732" s="17"/>
      <c r="G732" s="17"/>
    </row>
    <row r="733">
      <c r="A733" s="17"/>
      <c r="B733" s="17"/>
      <c r="C733" s="17"/>
      <c r="D733" s="17"/>
      <c r="E733" s="17"/>
      <c r="F733" s="17"/>
      <c r="G733" s="17"/>
    </row>
    <row r="734">
      <c r="A734" s="17"/>
      <c r="B734" s="17"/>
      <c r="C734" s="17"/>
      <c r="D734" s="17"/>
      <c r="E734" s="17"/>
      <c r="F734" s="17"/>
      <c r="G734" s="17"/>
    </row>
    <row r="735">
      <c r="A735" s="17"/>
      <c r="B735" s="17"/>
      <c r="C735" s="17"/>
      <c r="D735" s="17"/>
      <c r="E735" s="17"/>
      <c r="F735" s="17"/>
      <c r="G735" s="17"/>
    </row>
    <row r="736">
      <c r="A736" s="17"/>
      <c r="B736" s="17"/>
      <c r="C736" s="17"/>
      <c r="D736" s="17"/>
      <c r="E736" s="17"/>
      <c r="F736" s="17"/>
      <c r="G736" s="17"/>
    </row>
    <row r="737">
      <c r="A737" s="17"/>
      <c r="B737" s="17"/>
      <c r="C737" s="17"/>
      <c r="D737" s="17"/>
      <c r="E737" s="17"/>
      <c r="F737" s="17"/>
      <c r="G737" s="17"/>
    </row>
    <row r="738">
      <c r="A738" s="17"/>
      <c r="B738" s="17"/>
      <c r="C738" s="17"/>
      <c r="D738" s="17"/>
      <c r="E738" s="17"/>
      <c r="F738" s="17"/>
      <c r="G738" s="17"/>
    </row>
    <row r="739">
      <c r="A739" s="17"/>
      <c r="B739" s="17"/>
      <c r="C739" s="17"/>
      <c r="D739" s="17"/>
      <c r="E739" s="17"/>
      <c r="F739" s="17"/>
      <c r="G739" s="17"/>
    </row>
    <row r="740">
      <c r="A740" s="17"/>
      <c r="B740" s="17"/>
      <c r="C740" s="17"/>
      <c r="D740" s="17"/>
      <c r="E740" s="17"/>
      <c r="F740" s="17"/>
      <c r="G740" s="17"/>
    </row>
    <row r="741">
      <c r="A741" s="17"/>
      <c r="B741" s="17"/>
      <c r="C741" s="17"/>
      <c r="D741" s="17"/>
      <c r="E741" s="17"/>
      <c r="F741" s="17"/>
      <c r="G741" s="17"/>
    </row>
    <row r="742">
      <c r="A742" s="17"/>
      <c r="B742" s="17"/>
      <c r="C742" s="17"/>
      <c r="D742" s="17"/>
      <c r="E742" s="17"/>
      <c r="F742" s="17"/>
      <c r="G742" s="17"/>
    </row>
    <row r="743">
      <c r="A743" s="17"/>
      <c r="B743" s="17"/>
      <c r="C743" s="17"/>
      <c r="D743" s="17"/>
      <c r="E743" s="17"/>
      <c r="F743" s="17"/>
      <c r="G743" s="17"/>
    </row>
    <row r="744">
      <c r="A744" s="17"/>
      <c r="B744" s="17"/>
      <c r="C744" s="17"/>
      <c r="D744" s="17"/>
      <c r="E744" s="17"/>
      <c r="F744" s="17"/>
      <c r="G744" s="17"/>
    </row>
    <row r="745">
      <c r="A745" s="17"/>
      <c r="B745" s="17"/>
      <c r="C745" s="17"/>
      <c r="D745" s="17"/>
      <c r="E745" s="17"/>
      <c r="F745" s="17"/>
      <c r="G745" s="17"/>
    </row>
    <row r="746">
      <c r="A746" s="17"/>
      <c r="B746" s="17"/>
      <c r="C746" s="17"/>
      <c r="D746" s="17"/>
      <c r="E746" s="17"/>
      <c r="F746" s="17"/>
      <c r="G746" s="17"/>
    </row>
    <row r="747">
      <c r="A747" s="17"/>
      <c r="B747" s="17"/>
      <c r="C747" s="17"/>
      <c r="D747" s="17"/>
      <c r="E747" s="17"/>
      <c r="F747" s="17"/>
      <c r="G747" s="17"/>
    </row>
    <row r="748">
      <c r="A748" s="17"/>
      <c r="B748" s="17"/>
      <c r="C748" s="17"/>
      <c r="D748" s="17"/>
      <c r="E748" s="17"/>
      <c r="F748" s="17"/>
      <c r="G748" s="17"/>
    </row>
    <row r="749">
      <c r="A749" s="17"/>
      <c r="B749" s="17"/>
      <c r="C749" s="17"/>
      <c r="D749" s="17"/>
      <c r="E749" s="17"/>
      <c r="F749" s="17"/>
      <c r="G749" s="17"/>
    </row>
    <row r="750">
      <c r="A750" s="17"/>
      <c r="B750" s="17"/>
      <c r="C750" s="17"/>
      <c r="D750" s="17"/>
      <c r="E750" s="17"/>
      <c r="F750" s="17"/>
      <c r="G750" s="17"/>
    </row>
    <row r="751">
      <c r="A751" s="17"/>
      <c r="B751" s="17"/>
      <c r="C751" s="17"/>
      <c r="D751" s="17"/>
      <c r="E751" s="17"/>
      <c r="F751" s="17"/>
      <c r="G751" s="17"/>
    </row>
    <row r="752">
      <c r="A752" s="17"/>
      <c r="B752" s="17"/>
      <c r="C752" s="17"/>
      <c r="D752" s="17"/>
      <c r="E752" s="17"/>
      <c r="F752" s="17"/>
      <c r="G752" s="17"/>
    </row>
    <row r="753">
      <c r="A753" s="17"/>
      <c r="B753" s="17"/>
      <c r="C753" s="17"/>
      <c r="D753" s="17"/>
      <c r="E753" s="17"/>
      <c r="F753" s="17"/>
      <c r="G753" s="17"/>
    </row>
    <row r="754">
      <c r="A754" s="17"/>
      <c r="B754" s="17"/>
      <c r="C754" s="17"/>
      <c r="D754" s="17"/>
      <c r="E754" s="17"/>
      <c r="F754" s="17"/>
      <c r="G754" s="17"/>
    </row>
    <row r="755">
      <c r="A755" s="17"/>
      <c r="B755" s="17"/>
      <c r="C755" s="17"/>
      <c r="D755" s="17"/>
      <c r="E755" s="17"/>
      <c r="F755" s="17"/>
      <c r="G755" s="17"/>
    </row>
    <row r="756">
      <c r="A756" s="17"/>
      <c r="B756" s="17"/>
      <c r="C756" s="17"/>
      <c r="D756" s="17"/>
      <c r="E756" s="17"/>
      <c r="F756" s="17"/>
      <c r="G756" s="17"/>
    </row>
    <row r="757">
      <c r="A757" s="17"/>
      <c r="B757" s="17"/>
      <c r="C757" s="17"/>
      <c r="D757" s="17"/>
      <c r="E757" s="17"/>
      <c r="F757" s="17"/>
      <c r="G757" s="17"/>
    </row>
    <row r="758">
      <c r="A758" s="17"/>
      <c r="B758" s="17"/>
      <c r="C758" s="17"/>
      <c r="D758" s="17"/>
      <c r="E758" s="17"/>
      <c r="F758" s="17"/>
      <c r="G758" s="17"/>
    </row>
    <row r="759">
      <c r="A759" s="17"/>
      <c r="B759" s="17"/>
      <c r="C759" s="17"/>
      <c r="D759" s="17"/>
      <c r="E759" s="17"/>
      <c r="F759" s="17"/>
      <c r="G759" s="17"/>
    </row>
    <row r="760">
      <c r="A760" s="17"/>
      <c r="B760" s="17"/>
      <c r="C760" s="17"/>
      <c r="D760" s="17"/>
      <c r="E760" s="17"/>
      <c r="F760" s="17"/>
      <c r="G760" s="17"/>
    </row>
    <row r="761">
      <c r="A761" s="17"/>
      <c r="B761" s="17"/>
      <c r="C761" s="17"/>
      <c r="D761" s="17"/>
      <c r="E761" s="17"/>
      <c r="F761" s="17"/>
      <c r="G761" s="17"/>
    </row>
    <row r="762">
      <c r="A762" s="17"/>
      <c r="B762" s="17"/>
      <c r="C762" s="17"/>
      <c r="D762" s="17"/>
      <c r="E762" s="17"/>
      <c r="F762" s="17"/>
      <c r="G762" s="17"/>
    </row>
    <row r="763">
      <c r="A763" s="17"/>
      <c r="B763" s="17"/>
      <c r="C763" s="17"/>
      <c r="D763" s="17"/>
      <c r="E763" s="17"/>
      <c r="F763" s="17"/>
      <c r="G763" s="17"/>
    </row>
    <row r="764">
      <c r="A764" s="17"/>
      <c r="B764" s="17"/>
      <c r="C764" s="17"/>
      <c r="D764" s="17"/>
      <c r="E764" s="17"/>
      <c r="F764" s="17"/>
      <c r="G764" s="17"/>
    </row>
    <row r="765">
      <c r="A765" s="17"/>
      <c r="B765" s="17"/>
      <c r="C765" s="17"/>
      <c r="D765" s="17"/>
      <c r="E765" s="17"/>
      <c r="F765" s="17"/>
      <c r="G765" s="17"/>
    </row>
    <row r="766">
      <c r="A766" s="17"/>
      <c r="B766" s="17"/>
      <c r="C766" s="17"/>
      <c r="D766" s="17"/>
      <c r="E766" s="17"/>
      <c r="F766" s="17"/>
      <c r="G766" s="17"/>
    </row>
    <row r="767">
      <c r="A767" s="17"/>
      <c r="B767" s="17"/>
      <c r="C767" s="17"/>
      <c r="D767" s="17"/>
      <c r="E767" s="17"/>
      <c r="F767" s="17"/>
      <c r="G767" s="17"/>
    </row>
    <row r="768">
      <c r="A768" s="17"/>
      <c r="B768" s="17"/>
      <c r="C768" s="17"/>
      <c r="D768" s="17"/>
      <c r="E768" s="17"/>
      <c r="F768" s="17"/>
      <c r="G768" s="17"/>
    </row>
    <row r="769">
      <c r="A769" s="17"/>
      <c r="B769" s="17"/>
      <c r="C769" s="17"/>
      <c r="D769" s="17"/>
      <c r="E769" s="17"/>
      <c r="F769" s="17"/>
      <c r="G769" s="17"/>
    </row>
    <row r="770">
      <c r="A770" s="17"/>
      <c r="B770" s="17"/>
      <c r="C770" s="17"/>
      <c r="D770" s="17"/>
      <c r="E770" s="17"/>
      <c r="F770" s="17"/>
      <c r="G770" s="17"/>
    </row>
    <row r="771">
      <c r="A771" s="17"/>
      <c r="B771" s="17"/>
      <c r="C771" s="17"/>
      <c r="D771" s="17"/>
      <c r="E771" s="17"/>
      <c r="F771" s="17"/>
      <c r="G771" s="17"/>
    </row>
    <row r="772">
      <c r="A772" s="17"/>
      <c r="B772" s="17"/>
      <c r="C772" s="17"/>
      <c r="D772" s="17"/>
      <c r="E772" s="17"/>
      <c r="F772" s="17"/>
      <c r="G772" s="17"/>
    </row>
    <row r="773">
      <c r="A773" s="17"/>
      <c r="B773" s="17"/>
      <c r="C773" s="17"/>
      <c r="D773" s="17"/>
      <c r="E773" s="17"/>
      <c r="F773" s="17"/>
      <c r="G773" s="17"/>
    </row>
    <row r="774">
      <c r="A774" s="17"/>
      <c r="B774" s="17"/>
      <c r="C774" s="17"/>
      <c r="D774" s="17"/>
      <c r="E774" s="17"/>
      <c r="F774" s="17"/>
      <c r="G774" s="17"/>
    </row>
    <row r="775">
      <c r="A775" s="17"/>
      <c r="B775" s="17"/>
      <c r="C775" s="17"/>
      <c r="D775" s="17"/>
      <c r="E775" s="17"/>
      <c r="F775" s="17"/>
      <c r="G775" s="17"/>
    </row>
    <row r="776">
      <c r="A776" s="17"/>
      <c r="B776" s="17"/>
      <c r="C776" s="17"/>
      <c r="D776" s="17"/>
      <c r="E776" s="17"/>
      <c r="F776" s="17"/>
      <c r="G776" s="17"/>
    </row>
    <row r="777">
      <c r="A777" s="17"/>
      <c r="B777" s="17"/>
      <c r="C777" s="17"/>
      <c r="D777" s="17"/>
      <c r="E777" s="17"/>
      <c r="F777" s="17"/>
      <c r="G777" s="17"/>
    </row>
    <row r="778">
      <c r="A778" s="17"/>
      <c r="B778" s="17"/>
      <c r="C778" s="17"/>
      <c r="D778" s="17"/>
      <c r="E778" s="17"/>
      <c r="F778" s="17"/>
      <c r="G778" s="17"/>
    </row>
    <row r="779">
      <c r="A779" s="17"/>
      <c r="B779" s="17"/>
      <c r="C779" s="17"/>
      <c r="D779" s="17"/>
      <c r="E779" s="17"/>
      <c r="F779" s="17"/>
      <c r="G779" s="17"/>
    </row>
    <row r="780">
      <c r="A780" s="17"/>
      <c r="B780" s="17"/>
      <c r="C780" s="17"/>
      <c r="D780" s="17"/>
      <c r="E780" s="17"/>
      <c r="F780" s="17"/>
      <c r="G780" s="17"/>
    </row>
    <row r="781">
      <c r="A781" s="17"/>
      <c r="B781" s="17"/>
      <c r="C781" s="17"/>
      <c r="D781" s="17"/>
      <c r="E781" s="17"/>
      <c r="F781" s="17"/>
      <c r="G781" s="17"/>
    </row>
    <row r="782">
      <c r="A782" s="17"/>
      <c r="B782" s="17"/>
      <c r="C782" s="17"/>
      <c r="D782" s="17"/>
      <c r="E782" s="17"/>
      <c r="F782" s="17"/>
      <c r="G782" s="17"/>
    </row>
    <row r="783">
      <c r="A783" s="17"/>
      <c r="B783" s="17"/>
      <c r="C783" s="17"/>
      <c r="D783" s="17"/>
      <c r="E783" s="17"/>
      <c r="F783" s="17"/>
      <c r="G783" s="17"/>
    </row>
    <row r="784">
      <c r="A784" s="17"/>
      <c r="B784" s="17"/>
      <c r="C784" s="17"/>
      <c r="D784" s="17"/>
      <c r="E784" s="17"/>
      <c r="F784" s="17"/>
      <c r="G784" s="17"/>
    </row>
    <row r="785">
      <c r="A785" s="17"/>
      <c r="B785" s="17"/>
      <c r="C785" s="17"/>
      <c r="D785" s="17"/>
      <c r="E785" s="17"/>
      <c r="F785" s="17"/>
      <c r="G785" s="17"/>
    </row>
    <row r="786">
      <c r="A786" s="17"/>
      <c r="B786" s="17"/>
      <c r="C786" s="17"/>
      <c r="D786" s="17"/>
      <c r="E786" s="17"/>
      <c r="F786" s="17"/>
      <c r="G786" s="17"/>
    </row>
    <row r="787">
      <c r="A787" s="17"/>
      <c r="B787" s="17"/>
      <c r="C787" s="17"/>
      <c r="D787" s="17"/>
      <c r="E787" s="17"/>
      <c r="F787" s="17"/>
      <c r="G787" s="17"/>
    </row>
    <row r="788">
      <c r="A788" s="17"/>
      <c r="B788" s="17"/>
      <c r="C788" s="17"/>
      <c r="D788" s="17"/>
      <c r="E788" s="17"/>
      <c r="F788" s="17"/>
      <c r="G788" s="17"/>
    </row>
    <row r="789">
      <c r="A789" s="17"/>
      <c r="B789" s="17"/>
      <c r="C789" s="17"/>
      <c r="D789" s="17"/>
      <c r="E789" s="17"/>
      <c r="F789" s="17"/>
      <c r="G789" s="17"/>
    </row>
    <row r="790">
      <c r="A790" s="17"/>
      <c r="B790" s="17"/>
      <c r="C790" s="17"/>
      <c r="D790" s="17"/>
      <c r="E790" s="17"/>
      <c r="F790" s="17"/>
      <c r="G790" s="17"/>
    </row>
    <row r="791">
      <c r="A791" s="17"/>
      <c r="B791" s="17"/>
      <c r="C791" s="17"/>
      <c r="D791" s="17"/>
      <c r="E791" s="17"/>
      <c r="F791" s="17"/>
      <c r="G791" s="17"/>
    </row>
    <row r="792">
      <c r="A792" s="17"/>
      <c r="B792" s="17"/>
      <c r="C792" s="17"/>
      <c r="D792" s="17"/>
      <c r="E792" s="17"/>
      <c r="F792" s="17"/>
      <c r="G792" s="17"/>
    </row>
    <row r="793">
      <c r="A793" s="17"/>
      <c r="B793" s="17"/>
      <c r="C793" s="17"/>
      <c r="D793" s="17"/>
      <c r="E793" s="17"/>
      <c r="F793" s="17"/>
      <c r="G793" s="17"/>
    </row>
    <row r="794">
      <c r="A794" s="17"/>
      <c r="B794" s="17"/>
      <c r="C794" s="17"/>
      <c r="D794" s="17"/>
      <c r="E794" s="17"/>
      <c r="F794" s="17"/>
      <c r="G794" s="17"/>
    </row>
    <row r="795">
      <c r="A795" s="17"/>
      <c r="B795" s="17"/>
      <c r="C795" s="17"/>
      <c r="D795" s="17"/>
      <c r="E795" s="17"/>
      <c r="F795" s="17"/>
      <c r="G795" s="17"/>
    </row>
    <row r="796">
      <c r="A796" s="17"/>
      <c r="B796" s="17"/>
      <c r="C796" s="17"/>
      <c r="D796" s="17"/>
      <c r="E796" s="17"/>
      <c r="F796" s="17"/>
      <c r="G796" s="17"/>
    </row>
    <row r="797">
      <c r="A797" s="17"/>
      <c r="B797" s="17"/>
      <c r="C797" s="17"/>
      <c r="D797" s="17"/>
      <c r="E797" s="17"/>
      <c r="F797" s="17"/>
      <c r="G797" s="17"/>
    </row>
    <row r="798">
      <c r="A798" s="17"/>
      <c r="B798" s="17"/>
      <c r="C798" s="17"/>
      <c r="D798" s="17"/>
      <c r="E798" s="17"/>
      <c r="F798" s="17"/>
      <c r="G798" s="17"/>
    </row>
    <row r="799">
      <c r="A799" s="17"/>
      <c r="B799" s="17"/>
      <c r="C799" s="17"/>
      <c r="D799" s="17"/>
      <c r="E799" s="17"/>
      <c r="F799" s="17"/>
      <c r="G799" s="17"/>
    </row>
    <row r="800">
      <c r="A800" s="17"/>
      <c r="B800" s="17"/>
      <c r="C800" s="17"/>
      <c r="D800" s="17"/>
      <c r="E800" s="17"/>
      <c r="F800" s="17"/>
      <c r="G800" s="17"/>
    </row>
    <row r="801">
      <c r="A801" s="17"/>
      <c r="B801" s="17"/>
      <c r="C801" s="17"/>
      <c r="D801" s="17"/>
      <c r="E801" s="17"/>
      <c r="F801" s="17"/>
      <c r="G801" s="17"/>
    </row>
    <row r="802">
      <c r="A802" s="17"/>
      <c r="B802" s="17"/>
      <c r="C802" s="17"/>
      <c r="D802" s="17"/>
      <c r="E802" s="17"/>
      <c r="F802" s="17"/>
      <c r="G802" s="17"/>
    </row>
    <row r="803">
      <c r="A803" s="17"/>
      <c r="B803" s="17"/>
      <c r="C803" s="17"/>
      <c r="D803" s="17"/>
      <c r="E803" s="17"/>
      <c r="F803" s="17"/>
      <c r="G803" s="17"/>
    </row>
    <row r="804">
      <c r="A804" s="17"/>
      <c r="B804" s="17"/>
      <c r="C804" s="17"/>
      <c r="D804" s="17"/>
      <c r="E804" s="17"/>
      <c r="F804" s="17"/>
      <c r="G804" s="17"/>
    </row>
    <row r="805">
      <c r="A805" s="17"/>
      <c r="B805" s="17"/>
      <c r="C805" s="17"/>
      <c r="D805" s="17"/>
      <c r="E805" s="17"/>
      <c r="F805" s="17"/>
      <c r="G805" s="17"/>
    </row>
    <row r="806">
      <c r="A806" s="17"/>
      <c r="B806" s="17"/>
      <c r="C806" s="17"/>
      <c r="D806" s="17"/>
      <c r="E806" s="17"/>
      <c r="F806" s="17"/>
      <c r="G806" s="17"/>
    </row>
    <row r="807">
      <c r="A807" s="17"/>
      <c r="B807" s="17"/>
      <c r="C807" s="17"/>
      <c r="D807" s="17"/>
      <c r="E807" s="17"/>
      <c r="F807" s="17"/>
      <c r="G807" s="17"/>
    </row>
    <row r="808">
      <c r="A808" s="17"/>
      <c r="B808" s="17"/>
      <c r="C808" s="17"/>
      <c r="D808" s="17"/>
      <c r="E808" s="17"/>
      <c r="F808" s="17"/>
      <c r="G808" s="17"/>
    </row>
    <row r="809">
      <c r="A809" s="17"/>
      <c r="B809" s="17"/>
      <c r="C809" s="17"/>
      <c r="D809" s="17"/>
      <c r="E809" s="17"/>
      <c r="F809" s="17"/>
      <c r="G809" s="17"/>
    </row>
    <row r="810">
      <c r="A810" s="17"/>
      <c r="B810" s="17"/>
      <c r="C810" s="17"/>
      <c r="D810" s="17"/>
      <c r="E810" s="17"/>
      <c r="F810" s="17"/>
      <c r="G810" s="17"/>
    </row>
    <row r="811">
      <c r="A811" s="17"/>
      <c r="B811" s="17"/>
      <c r="C811" s="17"/>
      <c r="D811" s="17"/>
      <c r="E811" s="17"/>
      <c r="F811" s="17"/>
      <c r="G811" s="17"/>
    </row>
    <row r="812">
      <c r="A812" s="17"/>
      <c r="B812" s="17"/>
      <c r="C812" s="17"/>
      <c r="D812" s="17"/>
      <c r="E812" s="17"/>
      <c r="F812" s="17"/>
      <c r="G812" s="17"/>
    </row>
    <row r="813">
      <c r="A813" s="17"/>
      <c r="B813" s="17"/>
      <c r="C813" s="17"/>
      <c r="D813" s="17"/>
      <c r="E813" s="17"/>
      <c r="F813" s="17"/>
      <c r="G813" s="17"/>
    </row>
    <row r="814">
      <c r="A814" s="17"/>
      <c r="B814" s="17"/>
      <c r="C814" s="17"/>
      <c r="D814" s="17"/>
      <c r="E814" s="17"/>
      <c r="F814" s="17"/>
      <c r="G814" s="17"/>
    </row>
    <row r="815">
      <c r="A815" s="17"/>
      <c r="B815" s="17"/>
      <c r="C815" s="17"/>
      <c r="D815" s="17"/>
      <c r="E815" s="17"/>
      <c r="F815" s="17"/>
      <c r="G815" s="17"/>
    </row>
    <row r="816">
      <c r="A816" s="17"/>
      <c r="B816" s="17"/>
      <c r="C816" s="17"/>
      <c r="D816" s="17"/>
      <c r="E816" s="17"/>
      <c r="F816" s="17"/>
      <c r="G816" s="17"/>
    </row>
    <row r="817">
      <c r="A817" s="17"/>
      <c r="B817" s="17"/>
      <c r="C817" s="17"/>
      <c r="D817" s="17"/>
      <c r="E817" s="17"/>
      <c r="F817" s="17"/>
      <c r="G817" s="17"/>
    </row>
    <row r="818">
      <c r="A818" s="17"/>
      <c r="B818" s="17"/>
      <c r="C818" s="17"/>
      <c r="D818" s="17"/>
      <c r="E818" s="17"/>
      <c r="F818" s="17"/>
      <c r="G818" s="17"/>
    </row>
    <row r="819">
      <c r="A819" s="17"/>
      <c r="B819" s="17"/>
      <c r="C819" s="17"/>
      <c r="D819" s="17"/>
      <c r="E819" s="17"/>
      <c r="F819" s="17"/>
      <c r="G819" s="17"/>
    </row>
    <row r="820">
      <c r="A820" s="17"/>
      <c r="B820" s="17"/>
      <c r="C820" s="17"/>
      <c r="D820" s="17"/>
      <c r="E820" s="17"/>
      <c r="F820" s="17"/>
      <c r="G820" s="17"/>
    </row>
    <row r="821">
      <c r="A821" s="17"/>
      <c r="B821" s="17"/>
      <c r="C821" s="17"/>
      <c r="D821" s="17"/>
      <c r="E821" s="17"/>
      <c r="F821" s="17"/>
      <c r="G821" s="17"/>
    </row>
    <row r="822">
      <c r="A822" s="17"/>
      <c r="B822" s="17"/>
      <c r="C822" s="17"/>
      <c r="D822" s="17"/>
      <c r="E822" s="17"/>
      <c r="F822" s="17"/>
      <c r="G822" s="17"/>
    </row>
    <row r="823">
      <c r="A823" s="17"/>
      <c r="B823" s="17"/>
      <c r="C823" s="17"/>
      <c r="D823" s="17"/>
      <c r="E823" s="17"/>
      <c r="F823" s="17"/>
      <c r="G823" s="17"/>
    </row>
    <row r="824">
      <c r="A824" s="17"/>
      <c r="B824" s="17"/>
      <c r="C824" s="17"/>
      <c r="D824" s="17"/>
      <c r="E824" s="17"/>
      <c r="F824" s="17"/>
      <c r="G824" s="17"/>
    </row>
    <row r="825">
      <c r="A825" s="17"/>
      <c r="B825" s="17"/>
      <c r="C825" s="17"/>
      <c r="D825" s="17"/>
      <c r="E825" s="17"/>
      <c r="F825" s="17"/>
      <c r="G825" s="17"/>
    </row>
    <row r="826">
      <c r="A826" s="17"/>
      <c r="B826" s="17"/>
      <c r="C826" s="17"/>
      <c r="D826" s="17"/>
      <c r="E826" s="17"/>
      <c r="F826" s="17"/>
      <c r="G826" s="17"/>
    </row>
    <row r="827">
      <c r="A827" s="17"/>
      <c r="B827" s="17"/>
      <c r="C827" s="17"/>
      <c r="D827" s="17"/>
      <c r="E827" s="17"/>
      <c r="F827" s="17"/>
      <c r="G827" s="17"/>
    </row>
    <row r="828">
      <c r="A828" s="17"/>
      <c r="B828" s="17"/>
      <c r="C828" s="17"/>
      <c r="D828" s="17"/>
      <c r="E828" s="17"/>
      <c r="F828" s="17"/>
      <c r="G828" s="17"/>
    </row>
    <row r="829">
      <c r="A829" s="17"/>
      <c r="B829" s="17"/>
      <c r="C829" s="17"/>
      <c r="D829" s="17"/>
      <c r="E829" s="17"/>
      <c r="F829" s="17"/>
      <c r="G829" s="17"/>
    </row>
    <row r="830">
      <c r="A830" s="17"/>
      <c r="B830" s="17"/>
      <c r="C830" s="17"/>
      <c r="D830" s="17"/>
      <c r="E830" s="17"/>
      <c r="F830" s="17"/>
      <c r="G830" s="17"/>
    </row>
    <row r="831">
      <c r="A831" s="17"/>
      <c r="B831" s="17"/>
      <c r="C831" s="17"/>
      <c r="D831" s="17"/>
      <c r="E831" s="17"/>
      <c r="F831" s="17"/>
      <c r="G831" s="17"/>
    </row>
    <row r="832">
      <c r="A832" s="17"/>
      <c r="B832" s="17"/>
      <c r="C832" s="17"/>
      <c r="D832" s="17"/>
      <c r="E832" s="17"/>
      <c r="F832" s="17"/>
      <c r="G832" s="17"/>
    </row>
    <row r="833">
      <c r="A833" s="17"/>
      <c r="B833" s="17"/>
      <c r="C833" s="17"/>
      <c r="D833" s="17"/>
      <c r="E833" s="17"/>
      <c r="F833" s="17"/>
      <c r="G833" s="17"/>
    </row>
    <row r="834">
      <c r="A834" s="17"/>
      <c r="B834" s="17"/>
      <c r="C834" s="17"/>
      <c r="D834" s="17"/>
      <c r="E834" s="17"/>
      <c r="F834" s="17"/>
      <c r="G834" s="17"/>
    </row>
    <row r="835">
      <c r="A835" s="17"/>
      <c r="B835" s="17"/>
      <c r="C835" s="17"/>
      <c r="D835" s="17"/>
      <c r="E835" s="17"/>
      <c r="F835" s="17"/>
      <c r="G835" s="17"/>
    </row>
    <row r="836">
      <c r="A836" s="17"/>
      <c r="B836" s="17"/>
      <c r="C836" s="17"/>
      <c r="D836" s="17"/>
      <c r="E836" s="17"/>
      <c r="F836" s="17"/>
      <c r="G836" s="17"/>
    </row>
    <row r="837">
      <c r="A837" s="17"/>
      <c r="B837" s="17"/>
      <c r="C837" s="17"/>
      <c r="D837" s="17"/>
      <c r="E837" s="17"/>
      <c r="F837" s="17"/>
      <c r="G837" s="17"/>
    </row>
    <row r="838">
      <c r="A838" s="17"/>
      <c r="B838" s="17"/>
      <c r="C838" s="17"/>
      <c r="D838" s="17"/>
      <c r="E838" s="17"/>
      <c r="F838" s="17"/>
      <c r="G838" s="17"/>
    </row>
    <row r="839">
      <c r="A839" s="17"/>
      <c r="B839" s="17"/>
      <c r="C839" s="17"/>
      <c r="D839" s="17"/>
      <c r="E839" s="17"/>
      <c r="F839" s="17"/>
      <c r="G839" s="17"/>
    </row>
    <row r="840">
      <c r="A840" s="17"/>
      <c r="B840" s="17"/>
      <c r="C840" s="17"/>
      <c r="D840" s="17"/>
      <c r="E840" s="17"/>
      <c r="F840" s="17"/>
      <c r="G840" s="17"/>
    </row>
    <row r="841">
      <c r="A841" s="17"/>
      <c r="B841" s="17"/>
      <c r="C841" s="17"/>
      <c r="D841" s="17"/>
      <c r="E841" s="17"/>
      <c r="F841" s="17"/>
      <c r="G841" s="17"/>
    </row>
    <row r="842">
      <c r="A842" s="17"/>
      <c r="B842" s="17"/>
      <c r="C842" s="17"/>
      <c r="D842" s="17"/>
      <c r="E842" s="17"/>
      <c r="F842" s="17"/>
      <c r="G842" s="17"/>
    </row>
    <row r="843">
      <c r="A843" s="17"/>
      <c r="B843" s="17"/>
      <c r="C843" s="17"/>
      <c r="D843" s="17"/>
      <c r="E843" s="17"/>
      <c r="F843" s="17"/>
      <c r="G843" s="17"/>
    </row>
    <row r="844">
      <c r="A844" s="17"/>
      <c r="B844" s="17"/>
      <c r="C844" s="17"/>
      <c r="D844" s="17"/>
      <c r="E844" s="17"/>
      <c r="F844" s="17"/>
      <c r="G844" s="17"/>
    </row>
    <row r="845">
      <c r="A845" s="17"/>
      <c r="B845" s="17"/>
      <c r="C845" s="17"/>
      <c r="D845" s="17"/>
      <c r="E845" s="17"/>
      <c r="F845" s="17"/>
      <c r="G845" s="17"/>
    </row>
    <row r="846">
      <c r="A846" s="17"/>
      <c r="B846" s="17"/>
      <c r="C846" s="17"/>
      <c r="D846" s="17"/>
      <c r="E846" s="17"/>
      <c r="F846" s="17"/>
      <c r="G846" s="17"/>
    </row>
    <row r="847">
      <c r="A847" s="17"/>
      <c r="B847" s="17"/>
      <c r="C847" s="17"/>
      <c r="D847" s="17"/>
      <c r="E847" s="17"/>
      <c r="F847" s="17"/>
      <c r="G847" s="17"/>
    </row>
    <row r="848">
      <c r="A848" s="17"/>
      <c r="B848" s="17"/>
      <c r="C848" s="17"/>
      <c r="D848" s="17"/>
      <c r="E848" s="17"/>
      <c r="F848" s="17"/>
      <c r="G848" s="17"/>
    </row>
    <row r="849">
      <c r="A849" s="17"/>
      <c r="B849" s="17"/>
      <c r="C849" s="17"/>
      <c r="D849" s="17"/>
      <c r="E849" s="17"/>
      <c r="F849" s="17"/>
      <c r="G849" s="17"/>
    </row>
    <row r="850">
      <c r="A850" s="17"/>
      <c r="B850" s="17"/>
      <c r="C850" s="17"/>
      <c r="D850" s="17"/>
      <c r="E850" s="17"/>
      <c r="F850" s="17"/>
      <c r="G850" s="17"/>
    </row>
    <row r="851">
      <c r="A851" s="17"/>
      <c r="B851" s="17"/>
      <c r="C851" s="17"/>
      <c r="D851" s="17"/>
      <c r="E851" s="17"/>
      <c r="F851" s="17"/>
      <c r="G851" s="17"/>
    </row>
    <row r="852">
      <c r="A852" s="17"/>
      <c r="B852" s="17"/>
      <c r="C852" s="17"/>
      <c r="D852" s="17"/>
      <c r="E852" s="17"/>
      <c r="F852" s="17"/>
      <c r="G852" s="17"/>
    </row>
    <row r="853">
      <c r="A853" s="17"/>
      <c r="B853" s="17"/>
      <c r="C853" s="17"/>
      <c r="D853" s="17"/>
      <c r="E853" s="17"/>
      <c r="F853" s="17"/>
      <c r="G853" s="17"/>
    </row>
    <row r="854">
      <c r="A854" s="17"/>
      <c r="B854" s="17"/>
      <c r="C854" s="17"/>
      <c r="D854" s="17"/>
      <c r="E854" s="17"/>
      <c r="F854" s="17"/>
      <c r="G854" s="17"/>
    </row>
    <row r="855">
      <c r="A855" s="17"/>
      <c r="B855" s="17"/>
      <c r="C855" s="17"/>
      <c r="D855" s="17"/>
      <c r="E855" s="17"/>
      <c r="F855" s="17"/>
      <c r="G855" s="17"/>
    </row>
    <row r="856">
      <c r="A856" s="17"/>
      <c r="B856" s="17"/>
      <c r="C856" s="17"/>
      <c r="D856" s="17"/>
      <c r="E856" s="17"/>
      <c r="F856" s="17"/>
      <c r="G856" s="17"/>
    </row>
    <row r="857">
      <c r="A857" s="17"/>
      <c r="B857" s="17"/>
      <c r="C857" s="17"/>
      <c r="D857" s="17"/>
      <c r="E857" s="17"/>
      <c r="F857" s="17"/>
      <c r="G857" s="17"/>
    </row>
    <row r="858">
      <c r="A858" s="17"/>
      <c r="B858" s="17"/>
      <c r="C858" s="17"/>
      <c r="D858" s="17"/>
      <c r="E858" s="17"/>
      <c r="F858" s="17"/>
      <c r="G858" s="17"/>
    </row>
    <row r="859">
      <c r="A859" s="17"/>
      <c r="B859" s="17"/>
      <c r="C859" s="17"/>
      <c r="D859" s="17"/>
      <c r="E859" s="17"/>
      <c r="F859" s="17"/>
      <c r="G859" s="17"/>
    </row>
    <row r="860">
      <c r="A860" s="17"/>
      <c r="B860" s="17"/>
      <c r="C860" s="17"/>
      <c r="D860" s="17"/>
      <c r="E860" s="17"/>
      <c r="F860" s="17"/>
      <c r="G860" s="17"/>
    </row>
    <row r="861">
      <c r="A861" s="17"/>
      <c r="B861" s="17"/>
      <c r="C861" s="17"/>
      <c r="D861" s="17"/>
      <c r="E861" s="17"/>
      <c r="F861" s="17"/>
      <c r="G861" s="17"/>
    </row>
    <row r="862">
      <c r="A862" s="17"/>
      <c r="B862" s="17"/>
      <c r="C862" s="17"/>
      <c r="D862" s="17"/>
      <c r="E862" s="17"/>
      <c r="F862" s="17"/>
      <c r="G862" s="17"/>
    </row>
    <row r="863">
      <c r="A863" s="17"/>
      <c r="B863" s="17"/>
      <c r="C863" s="17"/>
      <c r="D863" s="17"/>
      <c r="E863" s="17"/>
      <c r="F863" s="17"/>
      <c r="G863" s="17"/>
    </row>
    <row r="864">
      <c r="A864" s="17"/>
      <c r="B864" s="17"/>
      <c r="C864" s="17"/>
      <c r="D864" s="17"/>
      <c r="E864" s="17"/>
      <c r="F864" s="17"/>
      <c r="G864" s="17"/>
    </row>
    <row r="865">
      <c r="A865" s="17"/>
      <c r="B865" s="17"/>
      <c r="C865" s="17"/>
      <c r="D865" s="17"/>
      <c r="E865" s="17"/>
      <c r="F865" s="17"/>
      <c r="G865" s="17"/>
    </row>
    <row r="866">
      <c r="A866" s="17"/>
      <c r="B866" s="17"/>
      <c r="C866" s="17"/>
      <c r="D866" s="17"/>
      <c r="E866" s="17"/>
      <c r="F866" s="17"/>
      <c r="G866" s="17"/>
    </row>
    <row r="867">
      <c r="A867" s="17"/>
      <c r="B867" s="17"/>
      <c r="C867" s="17"/>
      <c r="D867" s="17"/>
      <c r="E867" s="17"/>
      <c r="F867" s="17"/>
      <c r="G867" s="17"/>
    </row>
    <row r="868">
      <c r="A868" s="17"/>
      <c r="B868" s="17"/>
      <c r="C868" s="17"/>
      <c r="D868" s="17"/>
      <c r="E868" s="17"/>
      <c r="F868" s="17"/>
      <c r="G868" s="17"/>
    </row>
    <row r="869">
      <c r="A869" s="17"/>
      <c r="B869" s="17"/>
      <c r="C869" s="17"/>
      <c r="D869" s="17"/>
      <c r="E869" s="17"/>
      <c r="F869" s="17"/>
      <c r="G869" s="17"/>
    </row>
    <row r="870">
      <c r="A870" s="17"/>
      <c r="B870" s="17"/>
      <c r="C870" s="17"/>
      <c r="D870" s="17"/>
      <c r="E870" s="17"/>
      <c r="F870" s="17"/>
      <c r="G870" s="17"/>
    </row>
    <row r="871">
      <c r="A871" s="17"/>
      <c r="B871" s="17"/>
      <c r="C871" s="17"/>
      <c r="D871" s="17"/>
      <c r="E871" s="17"/>
      <c r="F871" s="17"/>
      <c r="G871" s="17"/>
    </row>
    <row r="872">
      <c r="A872" s="17"/>
      <c r="B872" s="17"/>
      <c r="C872" s="17"/>
      <c r="D872" s="17"/>
      <c r="E872" s="17"/>
      <c r="F872" s="17"/>
      <c r="G872" s="17"/>
    </row>
    <row r="873">
      <c r="A873" s="17"/>
      <c r="B873" s="17"/>
      <c r="C873" s="17"/>
      <c r="D873" s="17"/>
      <c r="E873" s="17"/>
      <c r="F873" s="17"/>
      <c r="G873" s="17"/>
    </row>
    <row r="874">
      <c r="A874" s="17"/>
      <c r="B874" s="17"/>
      <c r="C874" s="17"/>
      <c r="D874" s="17"/>
      <c r="E874" s="17"/>
      <c r="F874" s="17"/>
      <c r="G874" s="17"/>
    </row>
    <row r="875">
      <c r="A875" s="17"/>
      <c r="B875" s="17"/>
      <c r="C875" s="17"/>
      <c r="D875" s="17"/>
      <c r="E875" s="17"/>
      <c r="F875" s="17"/>
      <c r="G875" s="17"/>
    </row>
    <row r="876">
      <c r="A876" s="17"/>
      <c r="B876" s="17"/>
      <c r="C876" s="17"/>
      <c r="D876" s="17"/>
      <c r="E876" s="17"/>
      <c r="F876" s="17"/>
      <c r="G876" s="17"/>
    </row>
    <row r="877">
      <c r="A877" s="17"/>
      <c r="B877" s="17"/>
      <c r="C877" s="17"/>
      <c r="D877" s="17"/>
      <c r="E877" s="17"/>
      <c r="F877" s="17"/>
      <c r="G877" s="17"/>
    </row>
    <row r="878">
      <c r="A878" s="17"/>
      <c r="B878" s="17"/>
      <c r="C878" s="17"/>
      <c r="D878" s="17"/>
      <c r="E878" s="17"/>
      <c r="F878" s="17"/>
      <c r="G878" s="17"/>
    </row>
    <row r="879">
      <c r="A879" s="17"/>
      <c r="B879" s="17"/>
      <c r="C879" s="17"/>
      <c r="D879" s="17"/>
      <c r="E879" s="17"/>
      <c r="F879" s="17"/>
      <c r="G879" s="17"/>
    </row>
    <row r="880">
      <c r="A880" s="17"/>
      <c r="B880" s="17"/>
      <c r="C880" s="17"/>
      <c r="D880" s="17"/>
      <c r="E880" s="17"/>
      <c r="F880" s="17"/>
      <c r="G880" s="17"/>
    </row>
    <row r="881">
      <c r="A881" s="17"/>
      <c r="B881" s="17"/>
      <c r="C881" s="17"/>
      <c r="D881" s="17"/>
      <c r="E881" s="17"/>
      <c r="F881" s="17"/>
      <c r="G881" s="17"/>
    </row>
    <row r="882">
      <c r="A882" s="17"/>
      <c r="B882" s="17"/>
      <c r="C882" s="17"/>
      <c r="D882" s="17"/>
      <c r="E882" s="17"/>
      <c r="F882" s="17"/>
      <c r="G882" s="17"/>
    </row>
    <row r="883">
      <c r="A883" s="17"/>
      <c r="B883" s="17"/>
      <c r="C883" s="17"/>
      <c r="D883" s="17"/>
      <c r="E883" s="17"/>
      <c r="F883" s="17"/>
      <c r="G883" s="17"/>
    </row>
    <row r="884">
      <c r="A884" s="17"/>
      <c r="B884" s="17"/>
      <c r="C884" s="17"/>
      <c r="D884" s="17"/>
      <c r="E884" s="17"/>
      <c r="F884" s="17"/>
      <c r="G884" s="17"/>
    </row>
    <row r="885">
      <c r="A885" s="17"/>
      <c r="B885" s="17"/>
      <c r="C885" s="17"/>
      <c r="D885" s="17"/>
      <c r="E885" s="17"/>
      <c r="F885" s="17"/>
      <c r="G885" s="17"/>
    </row>
    <row r="886">
      <c r="A886" s="17"/>
      <c r="B886" s="17"/>
      <c r="C886" s="17"/>
      <c r="D886" s="17"/>
      <c r="E886" s="17"/>
      <c r="F886" s="17"/>
      <c r="G886" s="17"/>
    </row>
    <row r="887">
      <c r="A887" s="17"/>
      <c r="B887" s="17"/>
      <c r="C887" s="17"/>
      <c r="D887" s="17"/>
      <c r="E887" s="17"/>
      <c r="F887" s="17"/>
      <c r="G887" s="17"/>
    </row>
    <row r="888">
      <c r="A888" s="17"/>
      <c r="B888" s="17"/>
      <c r="C888" s="17"/>
      <c r="D888" s="17"/>
      <c r="E888" s="17"/>
      <c r="F888" s="17"/>
      <c r="G888" s="17"/>
    </row>
    <row r="889">
      <c r="A889" s="17"/>
      <c r="B889" s="17"/>
      <c r="C889" s="17"/>
      <c r="D889" s="17"/>
      <c r="E889" s="17"/>
      <c r="F889" s="17"/>
      <c r="G889" s="17"/>
    </row>
    <row r="890">
      <c r="A890" s="17"/>
      <c r="B890" s="17"/>
      <c r="C890" s="17"/>
      <c r="D890" s="17"/>
      <c r="E890" s="17"/>
      <c r="F890" s="17"/>
      <c r="G890" s="17"/>
    </row>
    <row r="891">
      <c r="A891" s="17"/>
      <c r="B891" s="17"/>
      <c r="C891" s="17"/>
      <c r="D891" s="17"/>
      <c r="E891" s="17"/>
      <c r="F891" s="17"/>
      <c r="G891" s="17"/>
    </row>
    <row r="892">
      <c r="A892" s="17"/>
      <c r="B892" s="17"/>
      <c r="C892" s="17"/>
      <c r="D892" s="17"/>
      <c r="E892" s="17"/>
      <c r="F892" s="17"/>
      <c r="G892" s="17"/>
    </row>
    <row r="893">
      <c r="A893" s="17"/>
      <c r="B893" s="17"/>
      <c r="C893" s="17"/>
      <c r="D893" s="17"/>
      <c r="E893" s="17"/>
      <c r="F893" s="17"/>
      <c r="G893" s="17"/>
    </row>
    <row r="894">
      <c r="A894" s="17"/>
      <c r="B894" s="17"/>
      <c r="C894" s="17"/>
      <c r="D894" s="17"/>
      <c r="E894" s="17"/>
      <c r="F894" s="17"/>
      <c r="G894" s="17"/>
    </row>
    <row r="895">
      <c r="A895" s="17"/>
      <c r="B895" s="17"/>
      <c r="C895" s="17"/>
      <c r="D895" s="17"/>
      <c r="E895" s="17"/>
      <c r="F895" s="17"/>
      <c r="G895" s="17"/>
    </row>
    <row r="896">
      <c r="A896" s="17"/>
      <c r="B896" s="17"/>
      <c r="C896" s="17"/>
      <c r="D896" s="17"/>
      <c r="E896" s="17"/>
      <c r="F896" s="17"/>
      <c r="G896" s="17"/>
    </row>
    <row r="897">
      <c r="A897" s="17"/>
      <c r="B897" s="17"/>
      <c r="C897" s="17"/>
      <c r="D897" s="17"/>
      <c r="E897" s="17"/>
      <c r="F897" s="17"/>
      <c r="G897" s="17"/>
    </row>
    <row r="898">
      <c r="A898" s="17"/>
      <c r="B898" s="17"/>
      <c r="C898" s="17"/>
      <c r="D898" s="17"/>
      <c r="E898" s="17"/>
      <c r="F898" s="17"/>
      <c r="G898" s="17"/>
    </row>
    <row r="899">
      <c r="A899" s="17"/>
      <c r="B899" s="17"/>
      <c r="C899" s="17"/>
      <c r="D899" s="17"/>
      <c r="E899" s="17"/>
      <c r="F899" s="17"/>
      <c r="G899" s="17"/>
    </row>
    <row r="900">
      <c r="A900" s="17"/>
      <c r="B900" s="17"/>
      <c r="C900" s="17"/>
      <c r="D900" s="17"/>
      <c r="E900" s="17"/>
      <c r="F900" s="17"/>
      <c r="G900" s="17"/>
    </row>
    <row r="901">
      <c r="A901" s="17"/>
      <c r="B901" s="17"/>
      <c r="C901" s="17"/>
      <c r="D901" s="17"/>
      <c r="E901" s="17"/>
      <c r="F901" s="17"/>
      <c r="G901" s="17"/>
    </row>
    <row r="902">
      <c r="A902" s="17"/>
      <c r="B902" s="17"/>
      <c r="C902" s="17"/>
      <c r="D902" s="17"/>
      <c r="E902" s="17"/>
      <c r="F902" s="17"/>
      <c r="G902" s="17"/>
    </row>
    <row r="903">
      <c r="A903" s="17"/>
      <c r="B903" s="17"/>
      <c r="C903" s="17"/>
      <c r="D903" s="17"/>
      <c r="E903" s="17"/>
      <c r="F903" s="17"/>
      <c r="G903" s="17"/>
    </row>
    <row r="904">
      <c r="A904" s="17"/>
      <c r="B904" s="17"/>
      <c r="C904" s="17"/>
      <c r="D904" s="17"/>
      <c r="E904" s="17"/>
      <c r="F904" s="17"/>
      <c r="G904" s="17"/>
    </row>
    <row r="905">
      <c r="A905" s="17"/>
      <c r="B905" s="17"/>
      <c r="C905" s="17"/>
      <c r="D905" s="17"/>
      <c r="E905" s="17"/>
      <c r="F905" s="17"/>
      <c r="G905" s="17"/>
    </row>
    <row r="906">
      <c r="A906" s="17"/>
      <c r="B906" s="17"/>
      <c r="C906" s="17"/>
      <c r="D906" s="17"/>
      <c r="E906" s="17"/>
      <c r="F906" s="17"/>
      <c r="G906" s="17"/>
    </row>
    <row r="907">
      <c r="A907" s="17"/>
      <c r="B907" s="17"/>
      <c r="C907" s="17"/>
      <c r="D907" s="17"/>
      <c r="E907" s="17"/>
      <c r="F907" s="17"/>
      <c r="G907" s="17"/>
    </row>
    <row r="908">
      <c r="A908" s="17"/>
      <c r="B908" s="17"/>
      <c r="C908" s="17"/>
      <c r="D908" s="17"/>
      <c r="E908" s="17"/>
      <c r="F908" s="17"/>
      <c r="G908" s="17"/>
    </row>
    <row r="909">
      <c r="A909" s="17"/>
      <c r="B909" s="17"/>
      <c r="C909" s="17"/>
      <c r="D909" s="17"/>
      <c r="E909" s="17"/>
      <c r="F909" s="17"/>
      <c r="G909" s="17"/>
    </row>
    <row r="910">
      <c r="A910" s="17"/>
      <c r="B910" s="17"/>
      <c r="C910" s="17"/>
      <c r="D910" s="17"/>
      <c r="E910" s="17"/>
      <c r="F910" s="17"/>
      <c r="G910" s="17"/>
    </row>
    <row r="911">
      <c r="A911" s="17"/>
      <c r="B911" s="17"/>
      <c r="C911" s="17"/>
      <c r="D911" s="17"/>
      <c r="E911" s="17"/>
      <c r="F911" s="17"/>
      <c r="G911" s="17"/>
    </row>
    <row r="912">
      <c r="A912" s="17"/>
      <c r="B912" s="17"/>
      <c r="C912" s="17"/>
      <c r="D912" s="17"/>
      <c r="E912" s="17"/>
      <c r="F912" s="17"/>
      <c r="G912" s="17"/>
    </row>
    <row r="913">
      <c r="A913" s="17"/>
      <c r="B913" s="17"/>
      <c r="C913" s="17"/>
      <c r="D913" s="17"/>
      <c r="E913" s="17"/>
      <c r="F913" s="17"/>
      <c r="G913" s="17"/>
    </row>
    <row r="914">
      <c r="A914" s="17"/>
      <c r="B914" s="17"/>
      <c r="C914" s="17"/>
      <c r="D914" s="17"/>
      <c r="E914" s="17"/>
      <c r="F914" s="17"/>
      <c r="G914" s="17"/>
    </row>
    <row r="915">
      <c r="A915" s="17"/>
      <c r="B915" s="17"/>
      <c r="C915" s="17"/>
      <c r="D915" s="17"/>
      <c r="E915" s="17"/>
      <c r="F915" s="17"/>
      <c r="G915" s="17"/>
    </row>
    <row r="916">
      <c r="A916" s="17"/>
      <c r="B916" s="17"/>
      <c r="C916" s="17"/>
      <c r="D916" s="17"/>
      <c r="E916" s="17"/>
      <c r="F916" s="17"/>
      <c r="G916" s="17"/>
    </row>
    <row r="917">
      <c r="A917" s="17"/>
      <c r="B917" s="17"/>
      <c r="C917" s="17"/>
      <c r="D917" s="17"/>
      <c r="E917" s="17"/>
      <c r="F917" s="17"/>
      <c r="G917" s="17"/>
    </row>
    <row r="918">
      <c r="A918" s="17"/>
      <c r="B918" s="17"/>
      <c r="C918" s="17"/>
      <c r="D918" s="17"/>
      <c r="E918" s="17"/>
      <c r="F918" s="17"/>
      <c r="G918" s="17"/>
    </row>
    <row r="919">
      <c r="A919" s="17"/>
      <c r="B919" s="17"/>
      <c r="C919" s="17"/>
      <c r="D919" s="17"/>
      <c r="E919" s="17"/>
      <c r="F919" s="17"/>
      <c r="G919" s="17"/>
    </row>
    <row r="920">
      <c r="A920" s="17"/>
      <c r="B920" s="17"/>
      <c r="C920" s="17"/>
      <c r="D920" s="17"/>
      <c r="E920" s="17"/>
      <c r="F920" s="17"/>
      <c r="G920" s="17"/>
    </row>
    <row r="921">
      <c r="A921" s="17"/>
      <c r="B921" s="17"/>
      <c r="C921" s="17"/>
      <c r="D921" s="17"/>
      <c r="E921" s="17"/>
      <c r="F921" s="17"/>
      <c r="G921" s="17"/>
    </row>
    <row r="922">
      <c r="A922" s="17"/>
      <c r="B922" s="17"/>
      <c r="C922" s="17"/>
      <c r="D922" s="17"/>
      <c r="E922" s="17"/>
      <c r="F922" s="17"/>
      <c r="G922" s="17"/>
    </row>
    <row r="923">
      <c r="A923" s="17"/>
      <c r="B923" s="17"/>
      <c r="C923" s="17"/>
      <c r="D923" s="17"/>
      <c r="E923" s="17"/>
      <c r="F923" s="17"/>
      <c r="G923" s="17"/>
    </row>
    <row r="924">
      <c r="A924" s="17"/>
      <c r="B924" s="17"/>
      <c r="C924" s="17"/>
      <c r="D924" s="17"/>
      <c r="E924" s="17"/>
      <c r="F924" s="17"/>
      <c r="G924" s="17"/>
    </row>
    <row r="925">
      <c r="A925" s="17"/>
      <c r="B925" s="17"/>
      <c r="C925" s="17"/>
      <c r="D925" s="17"/>
      <c r="E925" s="17"/>
      <c r="F925" s="17"/>
      <c r="G925" s="17"/>
    </row>
    <row r="926">
      <c r="A926" s="17"/>
      <c r="B926" s="17"/>
      <c r="C926" s="17"/>
      <c r="D926" s="17"/>
      <c r="E926" s="17"/>
      <c r="F926" s="17"/>
      <c r="G926" s="17"/>
    </row>
    <row r="927">
      <c r="A927" s="17"/>
      <c r="B927" s="17"/>
      <c r="C927" s="17"/>
      <c r="D927" s="17"/>
      <c r="E927" s="17"/>
      <c r="F927" s="17"/>
      <c r="G927" s="17"/>
    </row>
    <row r="928">
      <c r="A928" s="17"/>
      <c r="B928" s="17"/>
      <c r="C928" s="17"/>
      <c r="D928" s="17"/>
      <c r="E928" s="17"/>
      <c r="F928" s="17"/>
      <c r="G928" s="17"/>
    </row>
    <row r="929">
      <c r="A929" s="17"/>
      <c r="B929" s="17"/>
      <c r="C929" s="17"/>
      <c r="D929" s="17"/>
      <c r="E929" s="17"/>
      <c r="F929" s="17"/>
      <c r="G929" s="17"/>
    </row>
    <row r="930">
      <c r="A930" s="17"/>
      <c r="B930" s="17"/>
      <c r="C930" s="17"/>
      <c r="D930" s="17"/>
      <c r="E930" s="17"/>
      <c r="F930" s="17"/>
      <c r="G930" s="17"/>
    </row>
    <row r="931">
      <c r="A931" s="17"/>
      <c r="B931" s="17"/>
      <c r="C931" s="17"/>
      <c r="D931" s="17"/>
      <c r="E931" s="17"/>
      <c r="F931" s="17"/>
      <c r="G931" s="17"/>
    </row>
    <row r="932">
      <c r="A932" s="17"/>
      <c r="B932" s="17"/>
      <c r="C932" s="17"/>
      <c r="D932" s="17"/>
      <c r="E932" s="17"/>
      <c r="F932" s="17"/>
      <c r="G932" s="17"/>
    </row>
    <row r="933">
      <c r="A933" s="17"/>
      <c r="B933" s="17"/>
      <c r="C933" s="17"/>
      <c r="D933" s="17"/>
      <c r="E933" s="17"/>
      <c r="F933" s="17"/>
      <c r="G933" s="17"/>
    </row>
    <row r="934">
      <c r="A934" s="17"/>
      <c r="B934" s="17"/>
      <c r="C934" s="17"/>
      <c r="D934" s="17"/>
      <c r="E934" s="17"/>
      <c r="F934" s="17"/>
      <c r="G934" s="17"/>
    </row>
    <row r="935">
      <c r="A935" s="17"/>
      <c r="B935" s="17"/>
      <c r="C935" s="17"/>
      <c r="D935" s="17"/>
      <c r="E935" s="17"/>
      <c r="F935" s="17"/>
      <c r="G935" s="17"/>
    </row>
    <row r="936">
      <c r="A936" s="17"/>
      <c r="B936" s="17"/>
      <c r="C936" s="17"/>
      <c r="D936" s="17"/>
      <c r="E936" s="17"/>
      <c r="F936" s="17"/>
      <c r="G936" s="17"/>
    </row>
    <row r="937">
      <c r="A937" s="17"/>
      <c r="B937" s="17"/>
      <c r="C937" s="17"/>
      <c r="D937" s="17"/>
      <c r="E937" s="17"/>
      <c r="F937" s="17"/>
      <c r="G937" s="17"/>
    </row>
    <row r="938">
      <c r="A938" s="17"/>
      <c r="B938" s="17"/>
      <c r="C938" s="17"/>
      <c r="D938" s="17"/>
      <c r="E938" s="17"/>
      <c r="F938" s="17"/>
      <c r="G938" s="17"/>
    </row>
    <row r="939">
      <c r="A939" s="17"/>
      <c r="B939" s="17"/>
      <c r="C939" s="17"/>
      <c r="D939" s="17"/>
      <c r="E939" s="17"/>
      <c r="F939" s="17"/>
      <c r="G939" s="17"/>
    </row>
    <row r="940">
      <c r="A940" s="17"/>
      <c r="B940" s="17"/>
      <c r="C940" s="17"/>
      <c r="D940" s="17"/>
      <c r="E940" s="17"/>
      <c r="F940" s="17"/>
      <c r="G940" s="17"/>
    </row>
    <row r="941">
      <c r="A941" s="17"/>
      <c r="B941" s="17"/>
      <c r="C941" s="17"/>
      <c r="D941" s="17"/>
      <c r="E941" s="17"/>
      <c r="F941" s="17"/>
      <c r="G941" s="17"/>
    </row>
    <row r="942">
      <c r="A942" s="17"/>
      <c r="B942" s="17"/>
      <c r="C942" s="17"/>
      <c r="D942" s="17"/>
      <c r="E942" s="17"/>
      <c r="F942" s="17"/>
      <c r="G942" s="17"/>
    </row>
    <row r="943">
      <c r="A943" s="17"/>
      <c r="B943" s="17"/>
      <c r="C943" s="17"/>
      <c r="D943" s="17"/>
      <c r="E943" s="17"/>
      <c r="F943" s="17"/>
      <c r="G943" s="17"/>
    </row>
    <row r="944">
      <c r="A944" s="17"/>
      <c r="B944" s="17"/>
      <c r="C944" s="17"/>
      <c r="D944" s="17"/>
      <c r="E944" s="17"/>
      <c r="F944" s="17"/>
      <c r="G944" s="17"/>
    </row>
    <row r="945">
      <c r="A945" s="17"/>
      <c r="B945" s="17"/>
      <c r="C945" s="17"/>
      <c r="D945" s="17"/>
      <c r="E945" s="17"/>
      <c r="F945" s="17"/>
      <c r="G945" s="17"/>
    </row>
    <row r="946">
      <c r="A946" s="17"/>
      <c r="B946" s="17"/>
      <c r="C946" s="17"/>
      <c r="D946" s="17"/>
      <c r="E946" s="17"/>
      <c r="F946" s="17"/>
      <c r="G946" s="17"/>
    </row>
    <row r="947">
      <c r="A947" s="17"/>
      <c r="B947" s="17"/>
      <c r="C947" s="17"/>
      <c r="D947" s="17"/>
      <c r="E947" s="17"/>
      <c r="F947" s="17"/>
      <c r="G947" s="17"/>
    </row>
    <row r="948">
      <c r="A948" s="17"/>
      <c r="B948" s="17"/>
      <c r="C948" s="17"/>
      <c r="D948" s="17"/>
      <c r="E948" s="17"/>
      <c r="F948" s="17"/>
      <c r="G948" s="17"/>
    </row>
    <row r="949">
      <c r="A949" s="17"/>
      <c r="B949" s="17"/>
      <c r="C949" s="17"/>
      <c r="D949" s="17"/>
      <c r="E949" s="17"/>
      <c r="F949" s="17"/>
      <c r="G949" s="17"/>
    </row>
    <row r="950">
      <c r="A950" s="17"/>
      <c r="B950" s="17"/>
      <c r="C950" s="17"/>
      <c r="D950" s="17"/>
      <c r="E950" s="17"/>
      <c r="F950" s="17"/>
      <c r="G950" s="17"/>
    </row>
    <row r="951">
      <c r="A951" s="17"/>
      <c r="B951" s="17"/>
      <c r="C951" s="17"/>
      <c r="D951" s="17"/>
      <c r="E951" s="17"/>
      <c r="F951" s="17"/>
      <c r="G951" s="17"/>
    </row>
    <row r="952">
      <c r="A952" s="17"/>
      <c r="B952" s="17"/>
      <c r="C952" s="17"/>
      <c r="D952" s="17"/>
      <c r="E952" s="17"/>
      <c r="F952" s="17"/>
      <c r="G952" s="17"/>
    </row>
    <row r="953">
      <c r="A953" s="17"/>
      <c r="B953" s="17"/>
      <c r="C953" s="17"/>
      <c r="D953" s="17"/>
      <c r="E953" s="17"/>
      <c r="F953" s="17"/>
      <c r="G953" s="17"/>
    </row>
    <row r="954">
      <c r="A954" s="17"/>
      <c r="B954" s="17"/>
      <c r="C954" s="17"/>
      <c r="D954" s="17"/>
      <c r="E954" s="17"/>
      <c r="F954" s="17"/>
      <c r="G954" s="17"/>
    </row>
    <row r="955">
      <c r="A955" s="17"/>
      <c r="B955" s="17"/>
      <c r="C955" s="17"/>
      <c r="D955" s="17"/>
      <c r="E955" s="17"/>
      <c r="F955" s="17"/>
      <c r="G955" s="17"/>
    </row>
    <row r="956">
      <c r="A956" s="17"/>
      <c r="B956" s="17"/>
      <c r="C956" s="17"/>
      <c r="D956" s="17"/>
      <c r="E956" s="17"/>
      <c r="F956" s="17"/>
      <c r="G956" s="17"/>
    </row>
    <row r="957">
      <c r="A957" s="17"/>
      <c r="B957" s="17"/>
      <c r="C957" s="17"/>
      <c r="D957" s="17"/>
      <c r="E957" s="17"/>
      <c r="F957" s="17"/>
      <c r="G957" s="17"/>
    </row>
    <row r="958">
      <c r="A958" s="17"/>
      <c r="B958" s="17"/>
      <c r="C958" s="17"/>
      <c r="D958" s="17"/>
      <c r="E958" s="17"/>
      <c r="F958" s="17"/>
      <c r="G958" s="17"/>
    </row>
    <row r="959">
      <c r="A959" s="17"/>
      <c r="B959" s="17"/>
      <c r="C959" s="17"/>
      <c r="D959" s="17"/>
      <c r="E959" s="17"/>
      <c r="F959" s="17"/>
      <c r="G959" s="17"/>
    </row>
    <row r="960">
      <c r="A960" s="17"/>
      <c r="B960" s="17"/>
      <c r="C960" s="17"/>
      <c r="D960" s="17"/>
      <c r="E960" s="17"/>
      <c r="F960" s="17"/>
      <c r="G960" s="17"/>
    </row>
    <row r="961">
      <c r="A961" s="17"/>
      <c r="B961" s="17"/>
      <c r="C961" s="17"/>
      <c r="D961" s="17"/>
      <c r="E961" s="17"/>
      <c r="F961" s="17"/>
      <c r="G961" s="17"/>
    </row>
    <row r="962">
      <c r="A962" s="17"/>
      <c r="B962" s="17"/>
      <c r="C962" s="17"/>
      <c r="D962" s="17"/>
      <c r="E962" s="17"/>
      <c r="F962" s="17"/>
      <c r="G962" s="17"/>
    </row>
    <row r="963">
      <c r="A963" s="17"/>
      <c r="B963" s="17"/>
      <c r="C963" s="17"/>
      <c r="D963" s="17"/>
      <c r="E963" s="17"/>
      <c r="F963" s="17"/>
      <c r="G963" s="17"/>
    </row>
    <row r="964">
      <c r="A964" s="17"/>
      <c r="B964" s="17"/>
      <c r="C964" s="17"/>
      <c r="D964" s="17"/>
      <c r="E964" s="17"/>
      <c r="F964" s="17"/>
      <c r="G964" s="17"/>
    </row>
    <row r="965">
      <c r="A965" s="17"/>
      <c r="B965" s="17"/>
      <c r="C965" s="17"/>
      <c r="D965" s="17"/>
      <c r="E965" s="17"/>
      <c r="F965" s="17"/>
      <c r="G965" s="17"/>
    </row>
    <row r="966">
      <c r="A966" s="17"/>
      <c r="B966" s="17"/>
      <c r="C966" s="17"/>
      <c r="D966" s="17"/>
      <c r="E966" s="17"/>
      <c r="F966" s="17"/>
      <c r="G966" s="17"/>
    </row>
    <row r="967">
      <c r="A967" s="17"/>
      <c r="B967" s="17"/>
      <c r="C967" s="17"/>
      <c r="D967" s="17"/>
      <c r="E967" s="17"/>
      <c r="F967" s="17"/>
      <c r="G967" s="17"/>
    </row>
    <row r="968">
      <c r="A968" s="17"/>
      <c r="B968" s="17"/>
      <c r="C968" s="17"/>
      <c r="D968" s="17"/>
      <c r="E968" s="17"/>
      <c r="F968" s="17"/>
      <c r="G968" s="17"/>
    </row>
    <row r="969">
      <c r="A969" s="17"/>
      <c r="B969" s="17"/>
      <c r="C969" s="17"/>
      <c r="D969" s="17"/>
      <c r="E969" s="17"/>
      <c r="F969" s="17"/>
      <c r="G969" s="17"/>
    </row>
    <row r="970">
      <c r="A970" s="17"/>
      <c r="B970" s="17"/>
      <c r="C970" s="17"/>
      <c r="D970" s="17"/>
      <c r="E970" s="17"/>
      <c r="F970" s="17"/>
      <c r="G970" s="17"/>
    </row>
    <row r="971">
      <c r="A971" s="17"/>
      <c r="B971" s="17"/>
      <c r="C971" s="17"/>
      <c r="D971" s="17"/>
      <c r="E971" s="17"/>
      <c r="F971" s="17"/>
      <c r="G971" s="17"/>
    </row>
    <row r="972">
      <c r="A972" s="17"/>
      <c r="B972" s="17"/>
      <c r="C972" s="17"/>
      <c r="D972" s="17"/>
      <c r="E972" s="17"/>
      <c r="F972" s="17"/>
      <c r="G972" s="17"/>
    </row>
    <row r="973">
      <c r="A973" s="17"/>
      <c r="B973" s="17"/>
      <c r="C973" s="17"/>
      <c r="D973" s="17"/>
      <c r="E973" s="17"/>
      <c r="F973" s="17"/>
      <c r="G973" s="17"/>
    </row>
    <row r="974">
      <c r="A974" s="17"/>
      <c r="B974" s="17"/>
      <c r="C974" s="17"/>
      <c r="D974" s="17"/>
      <c r="E974" s="17"/>
      <c r="F974" s="17"/>
      <c r="G974" s="17"/>
    </row>
    <row r="975">
      <c r="A975" s="17"/>
      <c r="B975" s="17"/>
      <c r="C975" s="17"/>
      <c r="D975" s="17"/>
      <c r="E975" s="17"/>
      <c r="F975" s="17"/>
      <c r="G975" s="17"/>
    </row>
    <row r="976">
      <c r="A976" s="17"/>
      <c r="B976" s="17"/>
      <c r="C976" s="17"/>
      <c r="D976" s="17"/>
      <c r="E976" s="17"/>
      <c r="F976" s="17"/>
      <c r="G976" s="17"/>
    </row>
    <row r="977">
      <c r="A977" s="17"/>
      <c r="B977" s="17"/>
      <c r="C977" s="17"/>
      <c r="D977" s="17"/>
      <c r="E977" s="17"/>
      <c r="F977" s="17"/>
      <c r="G977" s="17"/>
    </row>
    <row r="978">
      <c r="A978" s="17"/>
      <c r="B978" s="17"/>
      <c r="C978" s="17"/>
      <c r="D978" s="17"/>
      <c r="E978" s="17"/>
      <c r="F978" s="17"/>
      <c r="G978" s="17"/>
    </row>
    <row r="979">
      <c r="A979" s="17"/>
      <c r="B979" s="17"/>
      <c r="C979" s="17"/>
      <c r="D979" s="17"/>
      <c r="E979" s="17"/>
      <c r="F979" s="17"/>
      <c r="G979" s="17"/>
    </row>
    <row r="980">
      <c r="A980" s="17"/>
      <c r="B980" s="17"/>
      <c r="C980" s="17"/>
      <c r="D980" s="17"/>
      <c r="E980" s="17"/>
      <c r="F980" s="17"/>
      <c r="G980" s="17"/>
    </row>
    <row r="981">
      <c r="A981" s="17"/>
      <c r="B981" s="17"/>
      <c r="C981" s="17"/>
      <c r="D981" s="17"/>
      <c r="E981" s="17"/>
      <c r="F981" s="17"/>
      <c r="G981" s="17"/>
    </row>
    <row r="982">
      <c r="A982" s="17"/>
      <c r="B982" s="17"/>
      <c r="C982" s="17"/>
      <c r="D982" s="17"/>
      <c r="E982" s="17"/>
      <c r="F982" s="17"/>
      <c r="G982" s="17"/>
    </row>
    <row r="983">
      <c r="A983" s="17"/>
      <c r="B983" s="17"/>
      <c r="C983" s="17"/>
      <c r="D983" s="17"/>
      <c r="E983" s="17"/>
      <c r="F983" s="17"/>
      <c r="G983" s="17"/>
    </row>
    <row r="984">
      <c r="A984" s="17"/>
      <c r="B984" s="17"/>
      <c r="C984" s="17"/>
      <c r="D984" s="17"/>
      <c r="E984" s="17"/>
      <c r="F984" s="17"/>
      <c r="G984" s="17"/>
    </row>
    <row r="985">
      <c r="A985" s="17"/>
      <c r="B985" s="17"/>
      <c r="C985" s="17"/>
      <c r="D985" s="17"/>
      <c r="E985" s="17"/>
      <c r="F985" s="17"/>
      <c r="G985" s="17"/>
    </row>
    <row r="986">
      <c r="A986" s="17"/>
      <c r="B986" s="17"/>
      <c r="C986" s="17"/>
      <c r="D986" s="17"/>
      <c r="E986" s="17"/>
      <c r="F986" s="17"/>
      <c r="G986" s="17"/>
    </row>
    <row r="987">
      <c r="A987" s="17"/>
      <c r="B987" s="17"/>
      <c r="C987" s="17"/>
      <c r="D987" s="17"/>
      <c r="E987" s="17"/>
      <c r="F987" s="17"/>
      <c r="G987" s="17"/>
    </row>
    <row r="988">
      <c r="A988" s="17"/>
      <c r="B988" s="17"/>
      <c r="C988" s="17"/>
      <c r="D988" s="17"/>
      <c r="E988" s="17"/>
      <c r="F988" s="17"/>
      <c r="G988" s="17"/>
    </row>
    <row r="989">
      <c r="A989" s="17"/>
      <c r="B989" s="17"/>
      <c r="C989" s="17"/>
      <c r="D989" s="17"/>
      <c r="E989" s="17"/>
      <c r="F989" s="17"/>
      <c r="G989" s="17"/>
    </row>
    <row r="990">
      <c r="A990" s="17"/>
      <c r="B990" s="17"/>
      <c r="C990" s="17"/>
      <c r="D990" s="17"/>
      <c r="E990" s="17"/>
      <c r="F990" s="17"/>
      <c r="G990" s="17"/>
    </row>
    <row r="991">
      <c r="A991" s="17"/>
      <c r="B991" s="17"/>
      <c r="C991" s="17"/>
      <c r="D991" s="17"/>
      <c r="E991" s="17"/>
      <c r="F991" s="17"/>
      <c r="G991" s="17"/>
    </row>
    <row r="992">
      <c r="A992" s="17"/>
      <c r="B992" s="17"/>
      <c r="C992" s="17"/>
      <c r="D992" s="17"/>
      <c r="E992" s="17"/>
      <c r="F992" s="17"/>
      <c r="G992" s="17"/>
    </row>
    <row r="993">
      <c r="A993" s="17"/>
      <c r="B993" s="17"/>
      <c r="C993" s="17"/>
      <c r="D993" s="17"/>
      <c r="E993" s="17"/>
      <c r="F993" s="17"/>
      <c r="G993" s="17"/>
    </row>
    <row r="994">
      <c r="A994" s="17"/>
      <c r="B994" s="17"/>
      <c r="C994" s="17"/>
      <c r="D994" s="17"/>
      <c r="E994" s="17"/>
      <c r="F994" s="17"/>
      <c r="G994" s="17"/>
    </row>
    <row r="995">
      <c r="A995" s="17"/>
      <c r="B995" s="17"/>
      <c r="C995" s="17"/>
      <c r="D995" s="17"/>
      <c r="E995" s="17"/>
      <c r="F995" s="17"/>
      <c r="G995" s="17"/>
    </row>
    <row r="996">
      <c r="A996" s="17"/>
      <c r="B996" s="17"/>
      <c r="C996" s="17"/>
      <c r="D996" s="17"/>
      <c r="E996" s="17"/>
      <c r="F996" s="17"/>
      <c r="G996" s="17"/>
    </row>
    <row r="997">
      <c r="A997" s="17"/>
      <c r="B997" s="17"/>
      <c r="C997" s="17"/>
      <c r="D997" s="17"/>
      <c r="E997" s="17"/>
      <c r="F997" s="17"/>
      <c r="G997" s="17"/>
    </row>
    <row r="998">
      <c r="A998" s="17"/>
      <c r="B998" s="17"/>
      <c r="C998" s="17"/>
      <c r="D998" s="17"/>
      <c r="E998" s="17"/>
      <c r="F998" s="17"/>
      <c r="G998" s="17"/>
    </row>
    <row r="999">
      <c r="A999" s="17"/>
      <c r="B999" s="17"/>
      <c r="C999" s="17"/>
      <c r="D999" s="17"/>
      <c r="E999" s="17"/>
      <c r="F999" s="17"/>
      <c r="G999" s="17"/>
    </row>
    <row r="1000">
      <c r="A1000" s="17"/>
      <c r="B1000" s="17"/>
      <c r="C1000" s="17"/>
      <c r="D1000" s="17"/>
      <c r="E1000" s="17"/>
      <c r="F1000" s="17"/>
      <c r="G1000"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1269</v>
      </c>
      <c r="C1" s="8" t="s">
        <v>1270</v>
      </c>
      <c r="D1" s="8" t="s">
        <v>1271</v>
      </c>
    </row>
    <row r="2">
      <c r="A2" s="8" t="s">
        <v>79</v>
      </c>
      <c r="B2" s="8" t="s">
        <v>1272</v>
      </c>
      <c r="C2" s="14" t="s">
        <v>1273</v>
      </c>
      <c r="D2" s="8" t="s">
        <v>1274</v>
      </c>
    </row>
    <row r="3">
      <c r="A3" s="8" t="s">
        <v>79</v>
      </c>
      <c r="B3" s="8" t="s">
        <v>1275</v>
      </c>
      <c r="C3" s="22" t="s">
        <v>1276</v>
      </c>
      <c r="D3" s="8" t="s">
        <v>1274</v>
      </c>
    </row>
    <row r="4">
      <c r="A4" s="8" t="s">
        <v>79</v>
      </c>
      <c r="B4" s="8" t="s">
        <v>1277</v>
      </c>
      <c r="C4" s="22" t="s">
        <v>1278</v>
      </c>
      <c r="D4" s="8" t="s">
        <v>1274</v>
      </c>
    </row>
    <row r="5">
      <c r="A5" s="8" t="s">
        <v>108</v>
      </c>
      <c r="B5" s="8" t="s">
        <v>1272</v>
      </c>
      <c r="C5" s="22" t="s">
        <v>1279</v>
      </c>
      <c r="D5" s="8" t="s">
        <v>1274</v>
      </c>
    </row>
    <row r="6">
      <c r="A6" s="8" t="s">
        <v>128</v>
      </c>
      <c r="B6" s="8" t="s">
        <v>1272</v>
      </c>
      <c r="C6" s="22" t="s">
        <v>1280</v>
      </c>
      <c r="D6" s="8" t="s">
        <v>1274</v>
      </c>
    </row>
    <row r="7">
      <c r="A7" s="8" t="s">
        <v>128</v>
      </c>
      <c r="B7" s="8" t="s">
        <v>1275</v>
      </c>
      <c r="C7" s="22" t="s">
        <v>1281</v>
      </c>
      <c r="D7" s="8" t="s">
        <v>1274</v>
      </c>
    </row>
    <row r="8">
      <c r="A8" s="8" t="s">
        <v>128</v>
      </c>
      <c r="B8" s="8" t="s">
        <v>1277</v>
      </c>
      <c r="C8" s="22" t="s">
        <v>1282</v>
      </c>
      <c r="D8" s="8" t="s">
        <v>1274</v>
      </c>
    </row>
    <row r="9">
      <c r="A9" s="8" t="s">
        <v>150</v>
      </c>
      <c r="B9" s="8" t="s">
        <v>1272</v>
      </c>
      <c r="C9" s="22" t="s">
        <v>1283</v>
      </c>
      <c r="D9" s="8" t="s">
        <v>1274</v>
      </c>
    </row>
    <row r="10">
      <c r="A10" s="8" t="s">
        <v>172</v>
      </c>
      <c r="B10" s="8" t="s">
        <v>1272</v>
      </c>
      <c r="C10" s="22" t="s">
        <v>1284</v>
      </c>
      <c r="D10" s="8" t="s">
        <v>1274</v>
      </c>
    </row>
    <row r="11">
      <c r="A11" s="8" t="s">
        <v>172</v>
      </c>
      <c r="B11" s="8" t="s">
        <v>1275</v>
      </c>
      <c r="C11" s="22" t="s">
        <v>1285</v>
      </c>
      <c r="D11" s="8" t="s">
        <v>1274</v>
      </c>
    </row>
    <row r="12">
      <c r="A12" s="8" t="s">
        <v>172</v>
      </c>
      <c r="B12" s="8" t="s">
        <v>1277</v>
      </c>
      <c r="C12" s="22" t="s">
        <v>1286</v>
      </c>
      <c r="D12" s="8" t="s">
        <v>1274</v>
      </c>
    </row>
    <row r="13">
      <c r="A13" s="8" t="s">
        <v>172</v>
      </c>
      <c r="B13" s="8" t="s">
        <v>1287</v>
      </c>
      <c r="C13" s="22" t="s">
        <v>1288</v>
      </c>
      <c r="D13" s="8" t="s">
        <v>1274</v>
      </c>
    </row>
    <row r="14">
      <c r="A14" s="8" t="s">
        <v>198</v>
      </c>
      <c r="B14" s="8" t="s">
        <v>1272</v>
      </c>
      <c r="C14" s="22" t="s">
        <v>1289</v>
      </c>
      <c r="D14" s="8" t="s">
        <v>1274</v>
      </c>
    </row>
    <row r="15">
      <c r="A15" s="8" t="s">
        <v>198</v>
      </c>
      <c r="B15" s="8" t="s">
        <v>1275</v>
      </c>
      <c r="C15" s="22" t="s">
        <v>1290</v>
      </c>
      <c r="D15" s="8" t="s">
        <v>1274</v>
      </c>
    </row>
    <row r="16">
      <c r="A16" s="8" t="s">
        <v>198</v>
      </c>
      <c r="B16" s="8" t="s">
        <v>1277</v>
      </c>
      <c r="C16" s="22" t="s">
        <v>1291</v>
      </c>
      <c r="D16" s="8" t="s">
        <v>1274</v>
      </c>
    </row>
    <row r="17">
      <c r="A17" s="8" t="s">
        <v>214</v>
      </c>
      <c r="B17" s="8" t="s">
        <v>1272</v>
      </c>
      <c r="C17" s="22" t="s">
        <v>1292</v>
      </c>
      <c r="D17" s="8" t="s">
        <v>1274</v>
      </c>
    </row>
    <row r="18">
      <c r="A18" s="8" t="s">
        <v>214</v>
      </c>
      <c r="B18" s="8" t="s">
        <v>1293</v>
      </c>
      <c r="C18" s="22" t="s">
        <v>1294</v>
      </c>
      <c r="D18" s="8" t="s">
        <v>1274</v>
      </c>
    </row>
    <row r="19">
      <c r="A19" s="8" t="s">
        <v>214</v>
      </c>
      <c r="B19" s="8" t="s">
        <v>1275</v>
      </c>
      <c r="C19" s="22" t="s">
        <v>1295</v>
      </c>
      <c r="D19" s="8" t="s">
        <v>1274</v>
      </c>
    </row>
    <row r="20">
      <c r="A20" s="8" t="s">
        <v>214</v>
      </c>
      <c r="B20" s="8" t="s">
        <v>1296</v>
      </c>
      <c r="C20" s="22" t="s">
        <v>1297</v>
      </c>
      <c r="D20" s="8" t="s">
        <v>1274</v>
      </c>
    </row>
    <row r="21">
      <c r="A21" s="8" t="s">
        <v>234</v>
      </c>
      <c r="B21" s="8" t="s">
        <v>1272</v>
      </c>
      <c r="C21" s="22" t="s">
        <v>1298</v>
      </c>
      <c r="D21" s="8" t="s">
        <v>1274</v>
      </c>
    </row>
    <row r="22">
      <c r="A22" s="8" t="s">
        <v>234</v>
      </c>
      <c r="B22" s="8" t="s">
        <v>1275</v>
      </c>
      <c r="C22" s="22" t="s">
        <v>1299</v>
      </c>
      <c r="D22" s="8" t="s">
        <v>1274</v>
      </c>
    </row>
    <row r="23">
      <c r="A23" s="8" t="s">
        <v>234</v>
      </c>
      <c r="B23" s="8" t="s">
        <v>1287</v>
      </c>
      <c r="C23" s="22" t="s">
        <v>1300</v>
      </c>
      <c r="D23" s="8" t="s">
        <v>1274</v>
      </c>
    </row>
    <row r="24">
      <c r="A24" s="8" t="s">
        <v>234</v>
      </c>
      <c r="B24" s="8" t="s">
        <v>1301</v>
      </c>
      <c r="C24" s="22" t="s">
        <v>1302</v>
      </c>
      <c r="D24" s="8" t="s">
        <v>1274</v>
      </c>
    </row>
    <row r="25">
      <c r="A25" s="8" t="s">
        <v>234</v>
      </c>
      <c r="B25" s="8" t="s">
        <v>1277</v>
      </c>
      <c r="C25" s="22" t="s">
        <v>1303</v>
      </c>
      <c r="D25" s="8" t="s">
        <v>1274</v>
      </c>
    </row>
    <row r="26">
      <c r="A26" s="8" t="s">
        <v>252</v>
      </c>
      <c r="B26" s="8" t="s">
        <v>1272</v>
      </c>
      <c r="C26" s="22" t="s">
        <v>1304</v>
      </c>
      <c r="D26" s="8" t="s">
        <v>1274</v>
      </c>
    </row>
    <row r="27">
      <c r="A27" s="8" t="s">
        <v>252</v>
      </c>
      <c r="B27" s="8" t="s">
        <v>1305</v>
      </c>
      <c r="C27" s="22" t="s">
        <v>1306</v>
      </c>
      <c r="D27" s="8" t="s">
        <v>1274</v>
      </c>
    </row>
    <row r="28">
      <c r="A28" s="8" t="s">
        <v>252</v>
      </c>
      <c r="B28" s="8" t="s">
        <v>1307</v>
      </c>
      <c r="C28" s="22" t="s">
        <v>1308</v>
      </c>
      <c r="D28" s="8" t="s">
        <v>1274</v>
      </c>
    </row>
    <row r="29">
      <c r="A29" s="8" t="s">
        <v>252</v>
      </c>
      <c r="B29" s="8" t="s">
        <v>1309</v>
      </c>
      <c r="C29" s="22" t="s">
        <v>1310</v>
      </c>
      <c r="D29" s="8" t="s">
        <v>1274</v>
      </c>
    </row>
    <row r="30">
      <c r="A30" s="8" t="s">
        <v>275</v>
      </c>
      <c r="B30" s="8" t="s">
        <v>1272</v>
      </c>
      <c r="C30" s="22" t="s">
        <v>1311</v>
      </c>
      <c r="D30" s="8" t="s">
        <v>1274</v>
      </c>
    </row>
    <row r="31">
      <c r="A31" s="8" t="s">
        <v>294</v>
      </c>
      <c r="B31" s="8" t="s">
        <v>1272</v>
      </c>
      <c r="C31" s="22" t="s">
        <v>1312</v>
      </c>
      <c r="D31" s="8" t="s">
        <v>1274</v>
      </c>
    </row>
    <row r="32">
      <c r="A32" s="8" t="s">
        <v>308</v>
      </c>
      <c r="B32" s="8" t="s">
        <v>1272</v>
      </c>
      <c r="C32" s="22" t="s">
        <v>1313</v>
      </c>
      <c r="D32" s="8" t="s">
        <v>1274</v>
      </c>
    </row>
    <row r="33">
      <c r="A33" s="8" t="s">
        <v>308</v>
      </c>
      <c r="B33" s="8" t="s">
        <v>1314</v>
      </c>
      <c r="C33" s="22" t="s">
        <v>1315</v>
      </c>
      <c r="D33" s="8" t="s">
        <v>1274</v>
      </c>
    </row>
    <row r="34">
      <c r="A34" s="8" t="s">
        <v>327</v>
      </c>
      <c r="B34" s="8" t="s">
        <v>1272</v>
      </c>
      <c r="C34" s="22" t="s">
        <v>1316</v>
      </c>
      <c r="D34" s="8" t="s">
        <v>1274</v>
      </c>
    </row>
    <row r="35">
      <c r="A35" s="8" t="s">
        <v>327</v>
      </c>
      <c r="B35" s="8" t="s">
        <v>1305</v>
      </c>
      <c r="C35" s="22" t="s">
        <v>1317</v>
      </c>
      <c r="D35" s="8" t="s">
        <v>1274</v>
      </c>
    </row>
    <row r="36">
      <c r="A36" s="8" t="s">
        <v>327</v>
      </c>
      <c r="B36" s="8" t="s">
        <v>1307</v>
      </c>
      <c r="C36" s="22" t="s">
        <v>1318</v>
      </c>
      <c r="D36" s="8" t="s">
        <v>1274</v>
      </c>
    </row>
    <row r="37">
      <c r="A37" s="8" t="s">
        <v>327</v>
      </c>
      <c r="B37" s="8" t="s">
        <v>1309</v>
      </c>
      <c r="C37" s="22" t="s">
        <v>1319</v>
      </c>
      <c r="D37" s="8" t="s">
        <v>1274</v>
      </c>
    </row>
    <row r="38">
      <c r="A38" s="8" t="s">
        <v>327</v>
      </c>
      <c r="B38" s="8" t="s">
        <v>1320</v>
      </c>
      <c r="C38" s="22" t="s">
        <v>1321</v>
      </c>
      <c r="D38" s="8" t="s">
        <v>1274</v>
      </c>
    </row>
    <row r="39">
      <c r="A39" s="8" t="s">
        <v>343</v>
      </c>
      <c r="B39" s="8" t="s">
        <v>1272</v>
      </c>
      <c r="C39" s="22" t="s">
        <v>1322</v>
      </c>
      <c r="D39" s="8" t="s">
        <v>1274</v>
      </c>
    </row>
    <row r="40">
      <c r="A40" s="8" t="s">
        <v>343</v>
      </c>
      <c r="B40" s="8" t="s">
        <v>1314</v>
      </c>
      <c r="C40" s="22" t="s">
        <v>1323</v>
      </c>
      <c r="D40" s="8" t="s">
        <v>1274</v>
      </c>
    </row>
    <row r="41">
      <c r="A41" s="8" t="s">
        <v>366</v>
      </c>
      <c r="B41" s="8" t="s">
        <v>1272</v>
      </c>
      <c r="C41" s="22" t="s">
        <v>1324</v>
      </c>
      <c r="D41" s="8" t="s">
        <v>1274</v>
      </c>
    </row>
    <row r="42">
      <c r="A42" s="8" t="s">
        <v>366</v>
      </c>
      <c r="B42" s="8" t="s">
        <v>1275</v>
      </c>
      <c r="C42" s="22" t="s">
        <v>1325</v>
      </c>
      <c r="D42" s="8" t="s">
        <v>1274</v>
      </c>
    </row>
    <row r="43">
      <c r="A43" s="8" t="s">
        <v>392</v>
      </c>
      <c r="B43" s="8" t="s">
        <v>1272</v>
      </c>
      <c r="C43" s="22" t="s">
        <v>1326</v>
      </c>
      <c r="D43" s="8" t="s">
        <v>1274</v>
      </c>
    </row>
    <row r="44">
      <c r="A44" s="8" t="s">
        <v>392</v>
      </c>
      <c r="B44" s="8" t="s">
        <v>1275</v>
      </c>
      <c r="C44" s="22" t="s">
        <v>1327</v>
      </c>
      <c r="D44" s="8" t="s">
        <v>1274</v>
      </c>
    </row>
    <row r="45">
      <c r="A45" s="8" t="s">
        <v>392</v>
      </c>
      <c r="B45" s="8" t="s">
        <v>1301</v>
      </c>
      <c r="C45" s="22" t="s">
        <v>1328</v>
      </c>
      <c r="D45" s="8" t="s">
        <v>1274</v>
      </c>
    </row>
    <row r="46">
      <c r="A46" s="8" t="s">
        <v>412</v>
      </c>
      <c r="B46" s="8" t="s">
        <v>1272</v>
      </c>
      <c r="C46" s="22" t="s">
        <v>1329</v>
      </c>
      <c r="D46" s="8" t="s">
        <v>1274</v>
      </c>
    </row>
    <row r="47">
      <c r="A47" s="8" t="s">
        <v>430</v>
      </c>
      <c r="B47" s="8" t="s">
        <v>1272</v>
      </c>
      <c r="C47" s="22" t="s">
        <v>1330</v>
      </c>
      <c r="D47" s="8" t="s">
        <v>1274</v>
      </c>
    </row>
    <row r="48">
      <c r="A48" s="8" t="s">
        <v>452</v>
      </c>
      <c r="B48" s="8" t="s">
        <v>1272</v>
      </c>
      <c r="C48" s="22" t="s">
        <v>1331</v>
      </c>
      <c r="D48" s="8" t="s">
        <v>1274</v>
      </c>
    </row>
    <row r="49">
      <c r="A49" s="8" t="s">
        <v>470</v>
      </c>
      <c r="B49" s="8" t="s">
        <v>1272</v>
      </c>
      <c r="C49" s="22" t="s">
        <v>1332</v>
      </c>
      <c r="D49" s="8" t="s">
        <v>1274</v>
      </c>
    </row>
    <row r="50">
      <c r="A50" s="8" t="s">
        <v>489</v>
      </c>
      <c r="B50" s="8" t="s">
        <v>1272</v>
      </c>
      <c r="C50" s="22" t="s">
        <v>1333</v>
      </c>
      <c r="D50" s="8" t="s">
        <v>1274</v>
      </c>
    </row>
    <row r="51">
      <c r="A51" s="8" t="s">
        <v>489</v>
      </c>
      <c r="B51" s="8" t="s">
        <v>1275</v>
      </c>
      <c r="C51" s="22" t="s">
        <v>1334</v>
      </c>
      <c r="D51" s="8" t="s">
        <v>1274</v>
      </c>
    </row>
    <row r="52">
      <c r="A52" s="8" t="s">
        <v>489</v>
      </c>
      <c r="B52" s="8" t="s">
        <v>1305</v>
      </c>
      <c r="C52" s="22" t="s">
        <v>1335</v>
      </c>
      <c r="D52" s="8" t="s">
        <v>1274</v>
      </c>
    </row>
    <row r="53">
      <c r="A53" s="8" t="s">
        <v>489</v>
      </c>
      <c r="B53" s="8" t="s">
        <v>1307</v>
      </c>
      <c r="C53" s="22" t="s">
        <v>1336</v>
      </c>
      <c r="D53" s="8" t="s">
        <v>1274</v>
      </c>
    </row>
    <row r="54">
      <c r="A54" s="8" t="s">
        <v>489</v>
      </c>
      <c r="B54" s="8" t="s">
        <v>1309</v>
      </c>
      <c r="C54" s="22" t="s">
        <v>1337</v>
      </c>
      <c r="D54" s="8" t="s">
        <v>1274</v>
      </c>
    </row>
    <row r="55">
      <c r="A55" s="8" t="s">
        <v>489</v>
      </c>
      <c r="B55" s="8" t="s">
        <v>1320</v>
      </c>
      <c r="C55" s="22" t="s">
        <v>1338</v>
      </c>
      <c r="D55" s="8" t="s">
        <v>1274</v>
      </c>
    </row>
    <row r="56">
      <c r="A56" s="8" t="s">
        <v>489</v>
      </c>
      <c r="B56" s="8" t="s">
        <v>1339</v>
      </c>
      <c r="C56" s="22" t="s">
        <v>1340</v>
      </c>
      <c r="D56" s="8" t="s">
        <v>1274</v>
      </c>
    </row>
    <row r="57">
      <c r="A57" s="8" t="s">
        <v>489</v>
      </c>
      <c r="B57" s="8" t="s">
        <v>1341</v>
      </c>
      <c r="C57" s="22" t="s">
        <v>1342</v>
      </c>
      <c r="D57" s="8" t="s">
        <v>1274</v>
      </c>
    </row>
    <row r="58">
      <c r="A58" s="8" t="s">
        <v>489</v>
      </c>
      <c r="B58" s="8" t="s">
        <v>1343</v>
      </c>
      <c r="C58" s="22" t="s">
        <v>1344</v>
      </c>
      <c r="D58" s="8" t="s">
        <v>1274</v>
      </c>
    </row>
    <row r="59">
      <c r="A59" s="8" t="s">
        <v>489</v>
      </c>
      <c r="B59" s="8" t="s">
        <v>1345</v>
      </c>
      <c r="C59" s="22" t="s">
        <v>1346</v>
      </c>
      <c r="D59" s="8" t="s">
        <v>1274</v>
      </c>
    </row>
    <row r="60">
      <c r="A60" s="8" t="s">
        <v>489</v>
      </c>
      <c r="B60" s="8" t="s">
        <v>1347</v>
      </c>
      <c r="C60" s="22" t="s">
        <v>1348</v>
      </c>
      <c r="D60" s="8" t="s">
        <v>1274</v>
      </c>
    </row>
    <row r="61">
      <c r="A61" s="8" t="s">
        <v>489</v>
      </c>
      <c r="B61" s="8" t="s">
        <v>1349</v>
      </c>
      <c r="C61" s="22" t="s">
        <v>1350</v>
      </c>
      <c r="D61" s="8" t="s">
        <v>1274</v>
      </c>
    </row>
    <row r="62">
      <c r="A62" s="8" t="s">
        <v>489</v>
      </c>
      <c r="B62" s="8" t="s">
        <v>1351</v>
      </c>
      <c r="C62" s="22" t="s">
        <v>1352</v>
      </c>
      <c r="D62" s="8" t="s">
        <v>1274</v>
      </c>
    </row>
    <row r="63">
      <c r="A63" s="8" t="s">
        <v>510</v>
      </c>
      <c r="B63" s="8" t="s">
        <v>1272</v>
      </c>
      <c r="C63" s="22" t="s">
        <v>1353</v>
      </c>
      <c r="D63" s="8" t="s">
        <v>1274</v>
      </c>
    </row>
    <row r="64">
      <c r="A64" s="8" t="s">
        <v>510</v>
      </c>
      <c r="B64" s="8" t="s">
        <v>1305</v>
      </c>
      <c r="C64" s="22" t="s">
        <v>1354</v>
      </c>
      <c r="D64" s="8" t="s">
        <v>1274</v>
      </c>
    </row>
    <row r="65">
      <c r="A65" s="8" t="s">
        <v>510</v>
      </c>
      <c r="B65" s="8" t="s">
        <v>1307</v>
      </c>
      <c r="C65" s="22" t="s">
        <v>1355</v>
      </c>
      <c r="D65" s="8" t="s">
        <v>1274</v>
      </c>
    </row>
    <row r="66">
      <c r="A66" s="8" t="s">
        <v>536</v>
      </c>
      <c r="B66" s="8" t="s">
        <v>1272</v>
      </c>
      <c r="C66" s="22" t="s">
        <v>1356</v>
      </c>
      <c r="D66" s="8" t="s">
        <v>1274</v>
      </c>
    </row>
    <row r="67">
      <c r="A67" s="8" t="s">
        <v>552</v>
      </c>
      <c r="B67" s="8" t="s">
        <v>1272</v>
      </c>
      <c r="C67" s="22" t="s">
        <v>1357</v>
      </c>
      <c r="D67" s="8" t="s">
        <v>1274</v>
      </c>
    </row>
    <row r="68">
      <c r="A68" s="8" t="s">
        <v>571</v>
      </c>
      <c r="B68" s="8" t="s">
        <v>1272</v>
      </c>
      <c r="C68" s="22" t="s">
        <v>1358</v>
      </c>
      <c r="D68" s="8" t="s">
        <v>1274</v>
      </c>
    </row>
    <row r="69">
      <c r="A69" s="8" t="s">
        <v>587</v>
      </c>
      <c r="B69" s="8" t="s">
        <v>1272</v>
      </c>
      <c r="C69" s="22" t="s">
        <v>1359</v>
      </c>
      <c r="D69" s="8" t="s">
        <v>1274</v>
      </c>
    </row>
    <row r="70">
      <c r="A70" s="8" t="s">
        <v>587</v>
      </c>
      <c r="B70" s="8" t="s">
        <v>1275</v>
      </c>
      <c r="C70" s="22" t="s">
        <v>1360</v>
      </c>
      <c r="D70" s="8" t="s">
        <v>1274</v>
      </c>
    </row>
    <row r="71">
      <c r="A71" s="8" t="s">
        <v>587</v>
      </c>
      <c r="B71" s="8" t="s">
        <v>1314</v>
      </c>
      <c r="C71" s="22" t="s">
        <v>1361</v>
      </c>
      <c r="D71" s="8" t="s">
        <v>1274</v>
      </c>
    </row>
    <row r="72">
      <c r="A72" s="8" t="s">
        <v>608</v>
      </c>
      <c r="B72" s="8" t="s">
        <v>1272</v>
      </c>
      <c r="C72" s="22" t="s">
        <v>1362</v>
      </c>
      <c r="D72" s="8" t="s">
        <v>1274</v>
      </c>
    </row>
    <row r="73">
      <c r="A73" s="8" t="s">
        <v>627</v>
      </c>
      <c r="B73" s="8" t="s">
        <v>1272</v>
      </c>
      <c r="C73" s="22" t="s">
        <v>1363</v>
      </c>
      <c r="D73" s="8" t="s">
        <v>1274</v>
      </c>
    </row>
    <row r="74">
      <c r="A74" s="8" t="s">
        <v>627</v>
      </c>
      <c r="B74" s="8" t="s">
        <v>1275</v>
      </c>
      <c r="C74" s="22" t="s">
        <v>1364</v>
      </c>
      <c r="D74" s="8" t="s">
        <v>1274</v>
      </c>
    </row>
    <row r="75">
      <c r="A75" s="8" t="s">
        <v>645</v>
      </c>
      <c r="B75" s="8" t="s">
        <v>1272</v>
      </c>
      <c r="C75" s="22" t="s">
        <v>1365</v>
      </c>
      <c r="D75" s="8" t="s">
        <v>1274</v>
      </c>
    </row>
    <row r="76">
      <c r="A76" s="8" t="s">
        <v>645</v>
      </c>
      <c r="B76" s="8" t="s">
        <v>1275</v>
      </c>
      <c r="C76" s="22" t="s">
        <v>1366</v>
      </c>
      <c r="D76" s="8" t="s">
        <v>1274</v>
      </c>
    </row>
    <row r="77">
      <c r="A77" s="8" t="s">
        <v>661</v>
      </c>
      <c r="B77" s="8" t="s">
        <v>1272</v>
      </c>
      <c r="C77" s="22" t="s">
        <v>1367</v>
      </c>
      <c r="D77" s="8" t="s">
        <v>1274</v>
      </c>
    </row>
    <row r="78">
      <c r="A78" s="8" t="s">
        <v>661</v>
      </c>
      <c r="B78" s="8" t="s">
        <v>1275</v>
      </c>
      <c r="C78" s="22" t="s">
        <v>1368</v>
      </c>
      <c r="D78" s="8" t="s">
        <v>1274</v>
      </c>
    </row>
    <row r="79">
      <c r="A79" s="8" t="s">
        <v>661</v>
      </c>
      <c r="B79" s="8" t="s">
        <v>1277</v>
      </c>
      <c r="C79" s="22" t="s">
        <v>1369</v>
      </c>
      <c r="D79" s="8" t="s">
        <v>1274</v>
      </c>
    </row>
    <row r="80">
      <c r="A80" s="8" t="s">
        <v>678</v>
      </c>
      <c r="B80" s="8" t="s">
        <v>1272</v>
      </c>
      <c r="C80" s="22" t="s">
        <v>1370</v>
      </c>
      <c r="D80" s="8" t="s">
        <v>1274</v>
      </c>
    </row>
    <row r="81">
      <c r="A81" s="8" t="s">
        <v>678</v>
      </c>
      <c r="B81" s="8" t="s">
        <v>1275</v>
      </c>
      <c r="C81" s="22" t="s">
        <v>1371</v>
      </c>
      <c r="D81" s="8" t="s">
        <v>1274</v>
      </c>
    </row>
    <row r="82">
      <c r="A82" s="8" t="s">
        <v>698</v>
      </c>
      <c r="B82" s="8" t="s">
        <v>1272</v>
      </c>
      <c r="C82" s="22" t="s">
        <v>1372</v>
      </c>
      <c r="D82" s="8" t="s">
        <v>1274</v>
      </c>
    </row>
    <row r="83">
      <c r="A83" s="8" t="s">
        <v>698</v>
      </c>
      <c r="B83" s="8" t="s">
        <v>1305</v>
      </c>
      <c r="C83" s="22" t="s">
        <v>1373</v>
      </c>
      <c r="D83" s="8" t="s">
        <v>1274</v>
      </c>
    </row>
    <row r="84">
      <c r="A84" s="8" t="s">
        <v>716</v>
      </c>
      <c r="B84" s="8" t="s">
        <v>1272</v>
      </c>
      <c r="C84" s="22" t="s">
        <v>1374</v>
      </c>
      <c r="D84" s="8" t="s">
        <v>1274</v>
      </c>
    </row>
    <row r="85">
      <c r="A85" s="8" t="s">
        <v>716</v>
      </c>
      <c r="B85" s="8" t="s">
        <v>1275</v>
      </c>
      <c r="C85" s="22" t="s">
        <v>1375</v>
      </c>
      <c r="D85" s="8" t="s">
        <v>1274</v>
      </c>
    </row>
    <row r="86">
      <c r="A86" s="8" t="s">
        <v>738</v>
      </c>
      <c r="B86" s="8" t="s">
        <v>1272</v>
      </c>
      <c r="C86" s="22" t="s">
        <v>1376</v>
      </c>
      <c r="D86" s="8" t="s">
        <v>1274</v>
      </c>
    </row>
    <row r="87">
      <c r="A87" s="8" t="s">
        <v>738</v>
      </c>
      <c r="B87" s="8" t="s">
        <v>1314</v>
      </c>
      <c r="C87" s="22" t="s">
        <v>1377</v>
      </c>
      <c r="D87" s="8" t="s">
        <v>1274</v>
      </c>
    </row>
    <row r="88">
      <c r="A88" s="8" t="s">
        <v>754</v>
      </c>
      <c r="B88" s="8" t="s">
        <v>1272</v>
      </c>
      <c r="C88" s="22" t="s">
        <v>1378</v>
      </c>
      <c r="D88" s="8" t="s">
        <v>1274</v>
      </c>
    </row>
    <row r="89">
      <c r="A89" s="8" t="s">
        <v>754</v>
      </c>
      <c r="B89" s="8" t="s">
        <v>1379</v>
      </c>
      <c r="C89" s="22" t="s">
        <v>1380</v>
      </c>
      <c r="D89" s="8" t="s">
        <v>1274</v>
      </c>
    </row>
    <row r="90">
      <c r="A90" s="8" t="s">
        <v>775</v>
      </c>
      <c r="B90" s="8" t="s">
        <v>1272</v>
      </c>
      <c r="C90" s="22" t="s">
        <v>1381</v>
      </c>
      <c r="D90" s="8" t="s">
        <v>1274</v>
      </c>
    </row>
    <row r="91">
      <c r="A91" s="8" t="s">
        <v>775</v>
      </c>
      <c r="B91" s="8" t="s">
        <v>1382</v>
      </c>
      <c r="C91" s="22" t="s">
        <v>1383</v>
      </c>
      <c r="D91" s="8" t="s">
        <v>1274</v>
      </c>
    </row>
    <row r="92">
      <c r="A92" s="8" t="s">
        <v>775</v>
      </c>
      <c r="B92" s="8" t="s">
        <v>1275</v>
      </c>
      <c r="C92" s="22" t="s">
        <v>1384</v>
      </c>
      <c r="D92" s="8" t="s">
        <v>1274</v>
      </c>
    </row>
    <row r="93">
      <c r="A93" s="8" t="s">
        <v>807</v>
      </c>
      <c r="B93" s="8" t="s">
        <v>1272</v>
      </c>
      <c r="C93" s="22" t="s">
        <v>1385</v>
      </c>
      <c r="D93" s="8" t="s">
        <v>1274</v>
      </c>
    </row>
    <row r="94">
      <c r="A94" s="8" t="s">
        <v>807</v>
      </c>
      <c r="B94" s="8" t="s">
        <v>1275</v>
      </c>
      <c r="C94" s="22" t="s">
        <v>1386</v>
      </c>
      <c r="D94" s="8" t="s">
        <v>1274</v>
      </c>
    </row>
    <row r="95">
      <c r="A95" s="8" t="s">
        <v>807</v>
      </c>
      <c r="B95" s="8" t="s">
        <v>1379</v>
      </c>
      <c r="C95" s="22" t="s">
        <v>1387</v>
      </c>
      <c r="D95" s="8" t="s">
        <v>1274</v>
      </c>
    </row>
    <row r="96">
      <c r="A96" s="8" t="s">
        <v>807</v>
      </c>
      <c r="B96" s="8" t="s">
        <v>1388</v>
      </c>
      <c r="C96" s="22" t="s">
        <v>1389</v>
      </c>
      <c r="D96" s="8" t="s">
        <v>1274</v>
      </c>
    </row>
    <row r="97">
      <c r="A97" s="8" t="s">
        <v>826</v>
      </c>
      <c r="B97" s="8" t="s">
        <v>1272</v>
      </c>
      <c r="C97" s="22" t="s">
        <v>1390</v>
      </c>
      <c r="D97" s="8" t="s">
        <v>1274</v>
      </c>
    </row>
    <row r="98">
      <c r="A98" s="8" t="s">
        <v>826</v>
      </c>
      <c r="B98" s="8" t="s">
        <v>1275</v>
      </c>
      <c r="C98" s="22" t="s">
        <v>1391</v>
      </c>
      <c r="D98" s="8" t="s">
        <v>1274</v>
      </c>
    </row>
    <row r="99">
      <c r="A99" s="8" t="s">
        <v>826</v>
      </c>
      <c r="B99" s="8" t="s">
        <v>1277</v>
      </c>
      <c r="C99" s="22" t="s">
        <v>1392</v>
      </c>
      <c r="D99" s="8" t="s">
        <v>1274</v>
      </c>
    </row>
    <row r="100">
      <c r="A100" s="8" t="s">
        <v>842</v>
      </c>
      <c r="B100" s="8" t="s">
        <v>1272</v>
      </c>
      <c r="C100" s="22" t="s">
        <v>1393</v>
      </c>
      <c r="D100" s="8" t="s">
        <v>1274</v>
      </c>
    </row>
    <row r="101">
      <c r="A101" s="8" t="s">
        <v>842</v>
      </c>
      <c r="B101" s="8" t="s">
        <v>1275</v>
      </c>
      <c r="C101" s="22" t="s">
        <v>1394</v>
      </c>
      <c r="D101" s="8" t="s">
        <v>1274</v>
      </c>
    </row>
    <row r="102">
      <c r="A102" s="8" t="s">
        <v>842</v>
      </c>
      <c r="B102" s="8" t="s">
        <v>1277</v>
      </c>
      <c r="C102" s="22" t="s">
        <v>1395</v>
      </c>
      <c r="D102" s="8" t="s">
        <v>1274</v>
      </c>
    </row>
    <row r="103">
      <c r="A103" s="8" t="s">
        <v>859</v>
      </c>
      <c r="B103" s="8" t="s">
        <v>1396</v>
      </c>
      <c r="C103" s="22" t="s">
        <v>1397</v>
      </c>
      <c r="D103" s="8" t="s">
        <v>1274</v>
      </c>
    </row>
    <row r="104">
      <c r="A104" s="8" t="s">
        <v>874</v>
      </c>
      <c r="B104" s="8" t="s">
        <v>1272</v>
      </c>
      <c r="C104" s="22" t="s">
        <v>1398</v>
      </c>
      <c r="D104" s="8" t="s">
        <v>1274</v>
      </c>
    </row>
    <row r="105">
      <c r="A105" s="8" t="s">
        <v>874</v>
      </c>
      <c r="B105" s="8" t="s">
        <v>1275</v>
      </c>
      <c r="C105" s="22" t="s">
        <v>1399</v>
      </c>
      <c r="D105" s="8" t="s">
        <v>1274</v>
      </c>
    </row>
    <row r="106">
      <c r="A106" s="8" t="s">
        <v>893</v>
      </c>
      <c r="B106" s="8" t="s">
        <v>1272</v>
      </c>
      <c r="C106" s="22" t="s">
        <v>1400</v>
      </c>
      <c r="D106" s="8" t="s">
        <v>1274</v>
      </c>
    </row>
    <row r="107">
      <c r="A107" s="8" t="s">
        <v>893</v>
      </c>
      <c r="B107" s="8" t="s">
        <v>1277</v>
      </c>
      <c r="C107" s="22" t="s">
        <v>1401</v>
      </c>
      <c r="D107" s="8" t="s">
        <v>1274</v>
      </c>
    </row>
    <row r="108">
      <c r="A108" s="8" t="s">
        <v>913</v>
      </c>
      <c r="B108" s="8" t="s">
        <v>1272</v>
      </c>
      <c r="C108" s="22" t="s">
        <v>1402</v>
      </c>
      <c r="D108" s="8" t="s">
        <v>1274</v>
      </c>
    </row>
    <row r="109">
      <c r="A109" s="8" t="s">
        <v>913</v>
      </c>
      <c r="B109" s="8" t="s">
        <v>1275</v>
      </c>
      <c r="C109" s="22" t="s">
        <v>1403</v>
      </c>
      <c r="D109" s="8" t="s">
        <v>1274</v>
      </c>
    </row>
    <row r="110">
      <c r="A110" s="8" t="s">
        <v>913</v>
      </c>
      <c r="B110" s="8" t="s">
        <v>1379</v>
      </c>
      <c r="C110" s="22" t="s">
        <v>1404</v>
      </c>
      <c r="D110" s="8" t="s">
        <v>1274</v>
      </c>
    </row>
    <row r="111">
      <c r="A111" s="8" t="s">
        <v>913</v>
      </c>
      <c r="B111" s="8" t="s">
        <v>1405</v>
      </c>
      <c r="C111" s="22" t="s">
        <v>1406</v>
      </c>
      <c r="D111" s="8" t="s">
        <v>1274</v>
      </c>
    </row>
    <row r="112">
      <c r="A112" s="8" t="s">
        <v>913</v>
      </c>
      <c r="B112" s="8" t="s">
        <v>1405</v>
      </c>
      <c r="C112" s="22" t="s">
        <v>1407</v>
      </c>
      <c r="D112" s="8" t="s">
        <v>1274</v>
      </c>
    </row>
    <row r="113">
      <c r="A113" s="8" t="s">
        <v>933</v>
      </c>
      <c r="B113" s="8" t="s">
        <v>1272</v>
      </c>
      <c r="C113" s="22" t="s">
        <v>1408</v>
      </c>
      <c r="D113" s="8" t="s">
        <v>1274</v>
      </c>
    </row>
    <row r="114">
      <c r="A114" s="8" t="s">
        <v>933</v>
      </c>
      <c r="B114" s="8" t="s">
        <v>1275</v>
      </c>
      <c r="C114" s="22" t="s">
        <v>1409</v>
      </c>
      <c r="D114" s="8" t="s">
        <v>1274</v>
      </c>
    </row>
    <row r="115">
      <c r="A115" s="8" t="s">
        <v>953</v>
      </c>
      <c r="B115" s="8" t="s">
        <v>1272</v>
      </c>
      <c r="C115" s="22" t="s">
        <v>1410</v>
      </c>
      <c r="D115" s="8" t="s">
        <v>1274</v>
      </c>
    </row>
    <row r="116">
      <c r="A116" s="8" t="s">
        <v>953</v>
      </c>
      <c r="B116" s="8" t="s">
        <v>1314</v>
      </c>
      <c r="C116" s="22" t="s">
        <v>1411</v>
      </c>
      <c r="D116" s="8" t="s">
        <v>1274</v>
      </c>
    </row>
    <row r="117">
      <c r="A117" s="8" t="s">
        <v>968</v>
      </c>
      <c r="B117" s="8" t="s">
        <v>1272</v>
      </c>
      <c r="C117" s="22" t="s">
        <v>1412</v>
      </c>
      <c r="D117" s="8" t="s">
        <v>1274</v>
      </c>
    </row>
    <row r="118">
      <c r="A118" s="8" t="s">
        <v>968</v>
      </c>
      <c r="B118" s="8" t="s">
        <v>1314</v>
      </c>
      <c r="C118" s="22" t="s">
        <v>1413</v>
      </c>
      <c r="D118" s="8" t="s">
        <v>1274</v>
      </c>
    </row>
    <row r="119">
      <c r="A119" s="8" t="s">
        <v>968</v>
      </c>
      <c r="B119" s="8" t="s">
        <v>1305</v>
      </c>
      <c r="C119" s="22" t="s">
        <v>1414</v>
      </c>
      <c r="D119" s="8" t="s">
        <v>1274</v>
      </c>
    </row>
    <row r="120">
      <c r="A120" s="8" t="s">
        <v>984</v>
      </c>
      <c r="B120" s="8" t="s">
        <v>1272</v>
      </c>
      <c r="C120" s="22" t="s">
        <v>1415</v>
      </c>
      <c r="D120" s="8" t="s">
        <v>1274</v>
      </c>
    </row>
    <row r="121">
      <c r="A121" s="8" t="s">
        <v>984</v>
      </c>
      <c r="B121" s="8" t="s">
        <v>1275</v>
      </c>
      <c r="C121" s="22" t="s">
        <v>1416</v>
      </c>
      <c r="D121" s="8" t="s">
        <v>1274</v>
      </c>
    </row>
    <row r="122">
      <c r="A122" s="8" t="s">
        <v>1000</v>
      </c>
      <c r="B122" s="8" t="s">
        <v>1314</v>
      </c>
      <c r="C122" s="22" t="s">
        <v>1417</v>
      </c>
      <c r="D122" s="8" t="s">
        <v>1274</v>
      </c>
    </row>
    <row r="123">
      <c r="A123" s="8" t="s">
        <v>1000</v>
      </c>
      <c r="B123" s="8" t="s">
        <v>1272</v>
      </c>
      <c r="C123" s="22" t="s">
        <v>1418</v>
      </c>
      <c r="D123" s="8" t="s">
        <v>1274</v>
      </c>
    </row>
    <row r="124">
      <c r="A124" s="8" t="s">
        <v>1014</v>
      </c>
      <c r="B124" s="8" t="s">
        <v>1272</v>
      </c>
      <c r="C124" s="22" t="s">
        <v>1419</v>
      </c>
      <c r="D124" s="8" t="s">
        <v>1274</v>
      </c>
    </row>
    <row r="125">
      <c r="A125" s="8" t="s">
        <v>1035</v>
      </c>
      <c r="B125" s="8" t="s">
        <v>1272</v>
      </c>
      <c r="C125" s="22" t="s">
        <v>1420</v>
      </c>
      <c r="D125" s="8" t="s">
        <v>1274</v>
      </c>
    </row>
    <row r="126">
      <c r="A126" s="8" t="s">
        <v>1035</v>
      </c>
      <c r="B126" s="8" t="s">
        <v>1421</v>
      </c>
      <c r="C126" s="22" t="s">
        <v>1422</v>
      </c>
      <c r="D126" s="8" t="s">
        <v>1274</v>
      </c>
    </row>
    <row r="127">
      <c r="A127" s="8" t="s">
        <v>1049</v>
      </c>
      <c r="B127" s="8" t="s">
        <v>1423</v>
      </c>
      <c r="C127" s="22" t="s">
        <v>1424</v>
      </c>
      <c r="D127" s="8" t="s">
        <v>1274</v>
      </c>
    </row>
    <row r="128">
      <c r="A128" s="8" t="s">
        <v>1049</v>
      </c>
      <c r="B128" s="8" t="s">
        <v>1421</v>
      </c>
      <c r="C128" s="22" t="s">
        <v>1425</v>
      </c>
      <c r="D128" s="8" t="s">
        <v>1274</v>
      </c>
    </row>
    <row r="129">
      <c r="A129" s="8" t="s">
        <v>1049</v>
      </c>
      <c r="B129" s="8" t="s">
        <v>1287</v>
      </c>
      <c r="C129" s="22" t="s">
        <v>1426</v>
      </c>
      <c r="D129" s="8" t="s">
        <v>1274</v>
      </c>
    </row>
    <row r="130">
      <c r="A130" s="8" t="s">
        <v>1064</v>
      </c>
      <c r="B130" s="8" t="s">
        <v>1287</v>
      </c>
      <c r="C130" s="22" t="s">
        <v>1427</v>
      </c>
      <c r="D130" s="8" t="s">
        <v>1274</v>
      </c>
    </row>
    <row r="131">
      <c r="A131" s="8" t="s">
        <v>1064</v>
      </c>
      <c r="B131" s="8" t="s">
        <v>1423</v>
      </c>
      <c r="C131" s="14" t="s">
        <v>1428</v>
      </c>
      <c r="D131" s="8" t="s">
        <v>1274</v>
      </c>
    </row>
    <row r="132">
      <c r="A132" s="8" t="s">
        <v>1064</v>
      </c>
      <c r="B132" s="8" t="s">
        <v>1429</v>
      </c>
      <c r="C132" s="22" t="s">
        <v>1430</v>
      </c>
      <c r="D132" s="8" t="s">
        <v>1274</v>
      </c>
    </row>
    <row r="133">
      <c r="A133" s="8" t="s">
        <v>1064</v>
      </c>
      <c r="B133" s="8" t="s">
        <v>1431</v>
      </c>
      <c r="C133" s="22" t="s">
        <v>1432</v>
      </c>
      <c r="D133" s="8" t="s">
        <v>1274</v>
      </c>
    </row>
    <row r="134">
      <c r="A134" s="8" t="s">
        <v>1064</v>
      </c>
      <c r="B134" s="8" t="s">
        <v>1433</v>
      </c>
      <c r="C134" s="22" t="s">
        <v>1434</v>
      </c>
      <c r="D134" s="8" t="s">
        <v>1274</v>
      </c>
    </row>
    <row r="135">
      <c r="A135" s="8" t="s">
        <v>1064</v>
      </c>
      <c r="B135" s="8" t="s">
        <v>1435</v>
      </c>
      <c r="C135" s="22" t="s">
        <v>1436</v>
      </c>
      <c r="D135" s="8" t="s">
        <v>1274</v>
      </c>
    </row>
    <row r="136">
      <c r="A136" s="8" t="s">
        <v>1081</v>
      </c>
      <c r="B136" s="8" t="s">
        <v>1437</v>
      </c>
      <c r="C136" s="22" t="s">
        <v>1438</v>
      </c>
      <c r="D136" s="8" t="s">
        <v>1274</v>
      </c>
    </row>
    <row r="137">
      <c r="A137" s="8" t="s">
        <v>1081</v>
      </c>
      <c r="B137" s="8" t="s">
        <v>1439</v>
      </c>
      <c r="C137" s="22" t="s">
        <v>1440</v>
      </c>
      <c r="D137" s="8" t="s">
        <v>1274</v>
      </c>
    </row>
    <row r="138">
      <c r="A138" s="8" t="s">
        <v>1174</v>
      </c>
      <c r="B138" s="8" t="s">
        <v>1423</v>
      </c>
      <c r="C138" s="22" t="s">
        <v>1441</v>
      </c>
      <c r="D138" s="8" t="s">
        <v>1274</v>
      </c>
    </row>
    <row r="139">
      <c r="A139" s="8" t="s">
        <v>1157</v>
      </c>
      <c r="B139" s="8" t="s">
        <v>1423</v>
      </c>
      <c r="C139" s="22" t="s">
        <v>1442</v>
      </c>
      <c r="D139" s="8" t="s">
        <v>1274</v>
      </c>
    </row>
    <row r="140">
      <c r="A140" s="8" t="s">
        <v>1157</v>
      </c>
      <c r="B140" s="8" t="s">
        <v>1293</v>
      </c>
      <c r="C140" s="22" t="s">
        <v>1443</v>
      </c>
      <c r="D140" s="8" t="s">
        <v>1274</v>
      </c>
    </row>
    <row r="141">
      <c r="A141" s="8" t="s">
        <v>1139</v>
      </c>
      <c r="B141" s="8" t="s">
        <v>1421</v>
      </c>
      <c r="C141" s="22" t="s">
        <v>1444</v>
      </c>
      <c r="D141" s="8" t="s">
        <v>1274</v>
      </c>
    </row>
    <row r="142">
      <c r="A142" s="8" t="s">
        <v>1139</v>
      </c>
      <c r="B142" s="8" t="s">
        <v>1423</v>
      </c>
      <c r="C142" s="22" t="s">
        <v>1445</v>
      </c>
      <c r="D142" s="8" t="s">
        <v>1274</v>
      </c>
    </row>
    <row r="143">
      <c r="A143" s="8" t="s">
        <v>1214</v>
      </c>
      <c r="B143" s="8" t="s">
        <v>1421</v>
      </c>
      <c r="C143" s="22" t="s">
        <v>1446</v>
      </c>
      <c r="D143" s="8" t="s">
        <v>1274</v>
      </c>
    </row>
    <row r="144">
      <c r="A144" s="8" t="s">
        <v>1214</v>
      </c>
      <c r="B144" s="8" t="s">
        <v>1423</v>
      </c>
      <c r="C144" s="22" t="s">
        <v>1447</v>
      </c>
      <c r="D144" s="8" t="s">
        <v>1274</v>
      </c>
    </row>
    <row r="145">
      <c r="A145" s="8" t="s">
        <v>1214</v>
      </c>
      <c r="B145" s="8" t="s">
        <v>1448</v>
      </c>
      <c r="C145" s="22" t="s">
        <v>1449</v>
      </c>
      <c r="D145" s="8" t="s">
        <v>1274</v>
      </c>
    </row>
    <row r="146">
      <c r="A146" s="8" t="s">
        <v>1194</v>
      </c>
      <c r="B146" s="8" t="s">
        <v>1421</v>
      </c>
      <c r="C146" s="14" t="s">
        <v>1450</v>
      </c>
      <c r="D146" s="8" t="s">
        <v>1274</v>
      </c>
    </row>
    <row r="147">
      <c r="A147" s="8" t="s">
        <v>1194</v>
      </c>
      <c r="B147" s="8" t="s">
        <v>1451</v>
      </c>
      <c r="C147" s="22" t="s">
        <v>1452</v>
      </c>
      <c r="D147" s="8" t="s">
        <v>1274</v>
      </c>
    </row>
    <row r="148">
      <c r="A148" s="8" t="s">
        <v>1194</v>
      </c>
      <c r="B148" s="8" t="s">
        <v>1423</v>
      </c>
      <c r="C148" s="22" t="s">
        <v>1453</v>
      </c>
      <c r="D148" s="8" t="s">
        <v>1274</v>
      </c>
    </row>
    <row r="149">
      <c r="A149" s="8" t="s">
        <v>1081</v>
      </c>
      <c r="B149" s="8" t="s">
        <v>1451</v>
      </c>
      <c r="C149" s="22" t="s">
        <v>1454</v>
      </c>
      <c r="D149" s="8" t="s">
        <v>1274</v>
      </c>
    </row>
    <row r="150">
      <c r="A150" s="8" t="s">
        <v>1081</v>
      </c>
      <c r="B150" s="8" t="s">
        <v>1455</v>
      </c>
      <c r="C150" s="22" t="s">
        <v>1456</v>
      </c>
      <c r="D150" s="8" t="s">
        <v>1274</v>
      </c>
    </row>
    <row r="151">
      <c r="A151" s="8" t="s">
        <v>1231</v>
      </c>
      <c r="B151" s="8" t="s">
        <v>1421</v>
      </c>
      <c r="C151" s="22" t="s">
        <v>1457</v>
      </c>
      <c r="D151" s="8" t="s">
        <v>1274</v>
      </c>
    </row>
    <row r="152">
      <c r="A152" s="8" t="s">
        <v>1231</v>
      </c>
      <c r="B152" s="8" t="s">
        <v>1458</v>
      </c>
      <c r="C152" s="22" t="s">
        <v>1459</v>
      </c>
      <c r="D152" s="8" t="s">
        <v>1274</v>
      </c>
    </row>
    <row r="153">
      <c r="A153" s="8" t="s">
        <v>1231</v>
      </c>
      <c r="B153" s="8" t="s">
        <v>1423</v>
      </c>
      <c r="C153" s="22" t="s">
        <v>1460</v>
      </c>
      <c r="D153" s="8" t="s">
        <v>1274</v>
      </c>
    </row>
    <row r="154">
      <c r="A154" s="8" t="s">
        <v>1251</v>
      </c>
      <c r="B154" s="8" t="s">
        <v>1421</v>
      </c>
      <c r="C154" s="22" t="s">
        <v>1461</v>
      </c>
      <c r="D154" s="8" t="s">
        <v>1274</v>
      </c>
    </row>
    <row r="155">
      <c r="A155" s="8" t="s">
        <v>1251</v>
      </c>
      <c r="B155" s="8" t="s">
        <v>1423</v>
      </c>
      <c r="C155" s="22" t="s">
        <v>1462</v>
      </c>
      <c r="D155" s="8" t="s">
        <v>1274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s>
  <drawing r:id="rId1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tr">
        <f>IFERROR(__xludf.DUMMYFUNCTION("IMPORTRANGE(""https://docs.google.com/spreadsheets/d/1FEjfHPYbXNv3b-Off1-2MUx6us3c4KKmQYyIhyulJF0/edit?gid=0"", ""Master Sheet!A:Q"")
"),"Investment Firm")</f>
        <v>Investment Firm</v>
      </c>
      <c r="B1" s="17" t="str">
        <f>IFERROR(__xludf.DUMMYFUNCTION("""COMPUTED_VALUE"""),"Year Founded")</f>
        <v>Year Founded</v>
      </c>
      <c r="C1" s="17" t="str">
        <f>IFERROR(__xludf.DUMMYFUNCTION("""COMPUTED_VALUE"""),"AUM")</f>
        <v>AUM</v>
      </c>
      <c r="D1" s="17" t="str">
        <f>IFERROR(__xludf.DUMMYFUNCTION("""COMPUTED_VALUE"""),"Description / Overview")</f>
        <v>Description / Overview</v>
      </c>
      <c r="E1" s="17" t="str">
        <f>IFERROR(__xludf.DUMMYFUNCTION("""COMPUTED_VALUE"""),"Key Strategy / Advantage 1")</f>
        <v>Key Strategy / Advantage 1</v>
      </c>
      <c r="F1" s="17" t="str">
        <f>IFERROR(__xludf.DUMMYFUNCTION("""COMPUTED_VALUE"""),"Key Strategy / Advantage 2")</f>
        <v>Key Strategy / Advantage 2</v>
      </c>
      <c r="G1" s="17" t="str">
        <f>IFERROR(__xludf.DUMMYFUNCTION("""COMPUTED_VALUE"""),"Key Strategy / Advantage 3")</f>
        <v>Key Strategy / Advantage 3</v>
      </c>
      <c r="H1" s="17" t="str">
        <f>IFERROR(__xludf.DUMMYFUNCTION("""COMPUTED_VALUE"""),"Key Strategy / Advantage 4")</f>
        <v>Key Strategy / Advantage 4</v>
      </c>
      <c r="I1" s="17" t="str">
        <f>IFERROR(__xludf.DUMMYFUNCTION("""COMPUTED_VALUE"""),"Key Strategy / Advantage 5")</f>
        <v>Key Strategy / Advantage 5</v>
      </c>
      <c r="J1" s="17" t="str">
        <f>IFERROR(__xludf.DUMMYFUNCTION("""COMPUTED_VALUE"""),"Website")</f>
        <v>Website</v>
      </c>
      <c r="K1" s="17" t="str">
        <f>IFERROR(__xludf.DUMMYFUNCTION("""COMPUTED_VALUE"""),"Headquarters (City, State)")</f>
        <v>Headquarters (City, State)</v>
      </c>
      <c r="L1" s="17" t="str">
        <f>IFERROR(__xludf.DUMMYFUNCTION("""COMPUTED_VALUE"""),"Logo")</f>
        <v>Logo</v>
      </c>
      <c r="M1" s="17" t="str">
        <f>IFERROR(__xludf.DUMMYFUNCTION("""COMPUTED_VALUE"""),"Full-Cycle Deals")</f>
        <v>Full-Cycle Deals</v>
      </c>
      <c r="N1" s="13" t="str">
        <f>IFERROR(__xludf.DUMMYFUNCTION("""COMPUTED_VALUE"""),"Average Annual Return")</f>
        <v>Average Annual Return</v>
      </c>
      <c r="O1" s="27" t="str">
        <f>IFERROR(__xludf.DUMMYFUNCTION("""COMPUTED_VALUE"""),"Average Equity Multiple")</f>
        <v>Average Equity Multiple</v>
      </c>
      <c r="P1" s="28" t="str">
        <f>IFERROR(__xludf.DUMMYFUNCTION("""COMPUTED_VALUE"""),"Average Hold Period")</f>
        <v>Average Hold Period</v>
      </c>
      <c r="Q1" s="13" t="str">
        <f>IFERROR(__xludf.DUMMYFUNCTION("""COMPUTED_VALUE"""),"Success Rate")</f>
        <v>Success Rate</v>
      </c>
    </row>
    <row r="2">
      <c r="A2" s="17" t="str">
        <f>IFERROR(__xludf.DUMMYFUNCTION("""COMPUTED_VALUE"""),"1031 Crowdfunding")</f>
        <v>1031 Crowdfunding</v>
      </c>
      <c r="B2" s="17">
        <f>IFERROR(__xludf.DUMMYFUNCTION("""COMPUTED_VALUE"""),2014.0)</f>
        <v>2014</v>
      </c>
      <c r="C2" s="29">
        <f>IFERROR(__xludf.DUMMYFUNCTION("""COMPUTED_VALUE"""),2.8E9)</f>
        <v>2800000000</v>
      </c>
      <c r="D2" s="17" t="str">
        <f>IFERROR(__xludf.DUMMYFUNCTION("""COMPUTED_VALUE"""),"1031 Crowdfunding occupies the digital end of the securitized 1031 market, operating an online marketplace—founded in 2014 by Edward Fernandez—that aggregates Delaware Statutory Trust interests, non-traded REIT shares, Qualified Opportunity Zone funds and"&amp;" private-credit offerings for accredited exchangers. The platform's differentiation is distribution rather than sponsorship: it lowers the friction and minimums that have historically gated 1031 replacement property, layering a proprietary technology stac"&amp;"k and in-house REIT over a senior-housing and medical-asset tilt. For investors, the appeal is breadth and accessibility; the trade-off is that the firm sits closer to a curator and conduit than to a vertically integrated operator with its own balance-she"&amp;"et track record.")</f>
        <v>1031 Crowdfunding occupies the digital end of the securitized 1031 market, operating an online marketplace—founded in 2014 by Edward Fernandez—that aggregates Delaware Statutory Trust interests, non-traded REIT shares, Qualified Opportunity Zone funds and private-credit offerings for accredited exchangers. The platform's differentiation is distribution rather than sponsorship: it lowers the friction and minimums that have historically gated 1031 replacement property, layering a proprietary technology stack and in-house REIT over a senior-housing and medical-asset tilt. For investors, the appeal is breadth and accessibility; the trade-off is that the firm sits closer to a curator and conduit than to a vertically integrated operator with its own balance-sheet track record.</v>
      </c>
      <c r="E2" s="17" t="str">
        <f>IFERROR(__xludf.DUMMYFUNCTION("""COMPUTED_VALUE"""),"Earliest mover among online 1031 marketplaces, a digital-distribution edge that reaches self-directed exchangers at scale rather than through the traditional broker-dealer channel.")</f>
        <v>Earliest mover among online 1031 marketplaces, a digital-distribution edge that reaches self-directed exchangers at scale rather than through the traditional broker-dealer channel.</v>
      </c>
      <c r="F2" s="17" t="str">
        <f>IFERROR(__xludf.DUMMYFUNCTION("""COMPUTED_VALUE"""),"Runs a proprietary investor-facing technology platform that compresses search, suitability and subscription into one online workflow.")</f>
        <v>Runs a proprietary investor-facing technology platform that compresses search, suitability and subscription into one online workflow.</v>
      </c>
      <c r="G2" s="17" t="str">
        <f>IFERROR(__xludf.DUMMYFUNCTION("""COMPUTED_VALUE"""),"Tilts its curated shelf toward senior-housing and medical assets, a needs-based product bias rather than a generic DST menu.")</f>
        <v>Tilts its curated shelf toward senior-housing and medical assets, a needs-based product bias rather than a generic DST menu.</v>
      </c>
      <c r="H2" s="17" t="str">
        <f>IFERROR(__xludf.DUMMYFUNCTION("""COMPUTED_VALUE"""),"Sponsors its own in-house non-traded REIT, capturing economics across the value chain rather than acting purely as a conduit.")</f>
        <v>Sponsors its own in-house non-traded REIT, capturing economics across the value chain rather than acting purely as a conduit.</v>
      </c>
      <c r="I2" s="17" t="str">
        <f>IFERROR(__xludf.DUMMYFUNCTION("""COMPUTED_VALUE"""),"Markets unusually low minimums, widening the accredited-investor funnel versus higher-entry competitors.")</f>
        <v>Markets unusually low minimums, widening the accredited-investor funnel versus higher-entry competitors.</v>
      </c>
      <c r="J2" s="16" t="str">
        <f>IFERROR(__xludf.DUMMYFUNCTION("""COMPUTED_VALUE"""),"1031crowdfunding.com")</f>
        <v>1031crowdfunding.com</v>
      </c>
      <c r="K2" s="17" t="str">
        <f>IFERROR(__xludf.DUMMYFUNCTION("""COMPUTED_VALUE"""),"Irvine, CA")</f>
        <v>Irvine, CA</v>
      </c>
      <c r="L2" s="16" t="str">
        <f>IFERROR(__xludf.DUMMYFUNCTION("""COMPUTED_VALUE"""),"https://img.logo.dev/1031crowdfunding.com?token=pk_FIVsDKgZTvCedVXXtt2rEg&amp;size=200&amp;retina=true")</f>
        <v>https://img.logo.dev/1031crowdfunding.com?token=pk_FIVsDKgZTvCedVXXtt2rEg&amp;size=200&amp;retina=true</v>
      </c>
      <c r="M2" s="17">
        <f>IFERROR(__xludf.DUMMYFUNCTION("""COMPUTED_VALUE"""),0.0)</f>
        <v>0</v>
      </c>
      <c r="N2" s="13" t="str">
        <f>IFERROR(__xludf.DUMMYFUNCTION("""COMPUTED_VALUE"""),"No Data")</f>
        <v>No Data</v>
      </c>
      <c r="O2" s="27" t="str">
        <f>IFERROR(__xludf.DUMMYFUNCTION("""COMPUTED_VALUE"""),"No Data")</f>
        <v>No Data</v>
      </c>
      <c r="P2" s="28" t="str">
        <f>IFERROR(__xludf.DUMMYFUNCTION("""COMPUTED_VALUE"""),"No Data")</f>
        <v>No Data</v>
      </c>
      <c r="Q2" s="13" t="str">
        <f>IFERROR(__xludf.DUMMYFUNCTION("""COMPUTED_VALUE"""),"No Data")</f>
        <v>No Data</v>
      </c>
    </row>
    <row r="3">
      <c r="A3" s="17" t="str">
        <f>IFERROR(__xludf.DUMMYFUNCTION("""COMPUTED_VALUE"""),"AEI Capital Corporation")</f>
        <v>AEI Capital Corporation</v>
      </c>
      <c r="B3" s="17">
        <f>IFERROR(__xludf.DUMMYFUNCTION("""COMPUTED_VALUE"""),1970.0)</f>
        <v>1970</v>
      </c>
      <c r="C3" s="29">
        <f>IFERROR(__xludf.DUMMYFUNCTION("""COMPUTED_VALUE"""),1.61E9)</f>
        <v>1610000000</v>
      </c>
      <c r="D3" s="17" t="str">
        <f>IFERROR(__xludf.DUMMYFUNCTION("""COMPUTED_VALUE"""),"AEI is among the longest-tenured names in the net-lease 1031 space, tracing its lineage to 1970 and to what it describes as one of the earliest securitized fractional-ownership structures. The firm's franchise is built on debt-free, all-cash ownership of "&amp;"single-tenant retail, restaurant and healthcare properties leased to credit-quality operators—a conservative posture that strips refinancing and foreclosure risk out of the capital stack and has carried it through multiple real estate cycles. With decades"&amp;" of completed full-cycle programs behind it, AEI markets stability and longevity over scale or sector breadth, a profile that resonates with risk-averse exchangers prioritizing capital preservation over yield.")</f>
        <v>AEI is among the longest-tenured names in the net-lease 1031 space, tracing its lineage to 1970 and to what it describes as one of the earliest securitized fractional-ownership structures. The firm's franchise is built on debt-free, all-cash ownership of single-tenant retail, restaurant and healthcare properties leased to credit-quality operators—a conservative posture that strips refinancing and foreclosure risk out of the capital stack and has carried it through multiple real estate cycles. With decades of completed full-cycle programs behind it, AEI markets stability and longevity over scale or sector breadth, a profile that resonates with risk-averse exchangers prioritizing capital preservation over yield.</v>
      </c>
      <c r="E3" s="17" t="str">
        <f>IFERROR(__xludf.DUMMYFUNCTION("""COMPUTED_VALUE"""),"One of the oldest net-lease sponsors in the securitized-exchange market, tracing to 1970 and to one of the earliest fractional-ownership structures.")</f>
        <v>One of the oldest net-lease sponsors in the securitized-exchange market, tracing to 1970 and to one of the earliest fractional-ownership structures.</v>
      </c>
      <c r="F3" s="17" t="str">
        <f>IFERROR(__xludf.DUMMYFUNCTION("""COMPUTED_VALUE"""),"Anchors offerings in debt-free, all-cash ownership, stripping refinancing and foreclosure risk out of the capital stack.")</f>
        <v>Anchors offerings in debt-free, all-cash ownership, stripping refinancing and foreclosure risk out of the capital stack.</v>
      </c>
      <c r="G3" s="17" t="str">
        <f>IFERROR(__xludf.DUMMYFUNCTION("""COMPUTED_VALUE"""),"Specializes in single-tenant retail, restaurant and healthcare net lease to credit-quality operators.")</f>
        <v>Specializes in single-tenant retail, restaurant and healthcare net lease to credit-quality operators.</v>
      </c>
      <c r="H3" s="17" t="str">
        <f>IFERROR(__xludf.DUMMYFUNCTION("""COMPUTED_VALUE"""),"Has completed hundreds of full-cycle programs across multiple cycles, a deep disposition record.")</f>
        <v>Has completed hundreds of full-cycle programs across multiple cycles, a deep disposition record.</v>
      </c>
      <c r="I3" s="17" t="str">
        <f>IFERROR(__xludf.DUMMYFUNCTION("""COMPUTED_VALUE"""),"Markets stability and longevity over scale, resonating with capital-preservation-focused exchangers.")</f>
        <v>Markets stability and longevity over scale, resonating with capital-preservation-focused exchangers.</v>
      </c>
      <c r="J3" s="16" t="str">
        <f>IFERROR(__xludf.DUMMYFUNCTION("""COMPUTED_VALUE"""),"aeifunds.com")</f>
        <v>aeifunds.com</v>
      </c>
      <c r="K3" s="17" t="str">
        <f>IFERROR(__xludf.DUMMYFUNCTION("""COMPUTED_VALUE"""),"St. Paul, MN")</f>
        <v>St. Paul, MN</v>
      </c>
      <c r="L3" s="16" t="str">
        <f>IFERROR(__xludf.DUMMYFUNCTION("""COMPUTED_VALUE"""),"https://img.logo.dev/aeifunds.com?token=pk_FIVsDKgZTvCedVXXtt2rEg&amp;size=200&amp;retina=true")</f>
        <v>https://img.logo.dev/aeifunds.com?token=pk_FIVsDKgZTvCedVXXtt2rEg&amp;size=200&amp;retina=true</v>
      </c>
      <c r="M3" s="17">
        <f>IFERROR(__xludf.DUMMYFUNCTION("""COMPUTED_VALUE"""),48.0)</f>
        <v>48</v>
      </c>
      <c r="N3" s="13">
        <f>IFERROR(__xludf.DUMMYFUNCTION("""COMPUTED_VALUE"""),0.06746666666666669)</f>
        <v>0.06746666667</v>
      </c>
      <c r="O3" s="27">
        <f>IFERROR(__xludf.DUMMYFUNCTION("""COMPUTED_VALUE"""),1.548125)</f>
        <v>1.548125</v>
      </c>
      <c r="P3" s="28">
        <f>IFERROR(__xludf.DUMMYFUNCTION("""COMPUTED_VALUE"""),13.31541666666667)</f>
        <v>13.31541667</v>
      </c>
      <c r="Q3" s="13">
        <f>IFERROR(__xludf.DUMMYFUNCTION("""COMPUTED_VALUE"""),1.0)</f>
        <v>1</v>
      </c>
    </row>
    <row r="4">
      <c r="A4" s="17" t="str">
        <f>IFERROR(__xludf.DUMMYFUNCTION("""COMPUTED_VALUE"""),"American Capital Group")</f>
        <v>American Capital Group</v>
      </c>
      <c r="B4" s="17">
        <f>IFERROR(__xludf.DUMMYFUNCTION("""COMPUTED_VALUE"""),1986.0)</f>
        <v>1986</v>
      </c>
      <c r="C4" s="29">
        <f>IFERROR(__xludf.DUMMYFUNCTION("""COMPUTED_VALUE"""),2.0E9)</f>
        <v>2000000000</v>
      </c>
      <c r="D4" s="17" t="str">
        <f>IFERROR(__xludf.DUMMYFUNCTION("""COMPUTED_VALUE"""),"American Capital Group is a Pacific Northwest multifamily developer and owner-operator, active since 1986, that extends into the 1031/DST channel on the strength of a vertically integrated development platform. Its edge is regional: deep entitlement, cons"&amp;"truction and operating expertise concentrated in a supply-constrained Western corridor, which it leverages to source and stabilize apartment assets it can then package for exchange investors. The flip side of that geographic concentration is limited diver"&amp;"sification, and the firm does not publicly disclose current AUM.")</f>
        <v>American Capital Group is a Pacific Northwest multifamily developer and owner-operator, active since 1986, that extends into the 1031/DST channel on the strength of a vertically integrated development platform. Its edge is regional: deep entitlement, construction and operating expertise concentrated in a supply-constrained Western corridor, which it leverages to source and stabilize apartment assets it can then package for exchange investors. The flip side of that geographic concentration is limited diversification, and the firm does not publicly disclose current AUM.</v>
      </c>
      <c r="E4" s="17" t="str">
        <f>IFERROR(__xludf.DUMMYFUNCTION("""COMPUTED_VALUE"""),"Fully vertically integrated via its American Home Builders and ACG Design divisions, capturing developer margin that pure acquirers cede to third parties.")</f>
        <v>Fully vertically integrated via its American Home Builders and ACG Design divisions, capturing developer margin that pure acquirers cede to third parties.</v>
      </c>
      <c r="F4" s="17" t="str">
        <f>IFERROR(__xludf.DUMMYFUNCTION("""COMPUTED_VALUE"""),"Concentrates on transit-oriented suburban multifamily across ten Western states under its 'Kinect' brand.")</f>
        <v>Concentrates on transit-oriented suburban multifamily across ten Western states under its 'Kinect' brand.</v>
      </c>
      <c r="G4" s="17" t="str">
        <f>IFERROR(__xludf.DUMMYFUNCTION("""COMPUTED_VALUE"""),"Has developed and acquired more than 80 properties totaling over 16,000 units across roughly four decades.")</f>
        <v>Has developed and acquired more than 80 properties totaling over 16,000 units across roughly four decades.</v>
      </c>
      <c r="H4" s="17" t="str">
        <f>IFERROR(__xludf.DUMMYFUNCTION("""COMPUTED_VALUE"""),"Partners with institutional capital such as PGIM Real Estate on development joint ventures.")</f>
        <v>Partners with institutional capital such as PGIM Real Estate on development joint ventures.</v>
      </c>
      <c r="I4" s="17" t="str">
        <f>IFERROR(__xludf.DUMMYFUNCTION("""COMPUTED_VALUE"""),"Builds a deliberate workforce/affordable-housing component into high-end communities, broadening demand.")</f>
        <v>Builds a deliberate workforce/affordable-housing component into high-end communities, broadening demand.</v>
      </c>
      <c r="J4" s="16" t="str">
        <f>IFERROR(__xludf.DUMMYFUNCTION("""COMPUTED_VALUE"""),"americancapitalgroup.com")</f>
        <v>americancapitalgroup.com</v>
      </c>
      <c r="K4" s="17" t="str">
        <f>IFERROR(__xludf.DUMMYFUNCTION("""COMPUTED_VALUE"""),"Bellevue, WA")</f>
        <v>Bellevue, WA</v>
      </c>
      <c r="L4" s="16" t="str">
        <f>IFERROR(__xludf.DUMMYFUNCTION("""COMPUTED_VALUE"""),"https://img.logo.dev/americancapitalgroup.com?token=pk_FIVsDKgZTvCedVXXtt2rEg&amp;size=200&amp;retina=true")</f>
        <v>https://img.logo.dev/americancapitalgroup.com?token=pk_FIVsDKgZTvCedVXXtt2rEg&amp;size=200&amp;retina=true</v>
      </c>
      <c r="M4" s="17">
        <f>IFERROR(__xludf.DUMMYFUNCTION("""COMPUTED_VALUE"""),0.0)</f>
        <v>0</v>
      </c>
      <c r="N4" s="13" t="str">
        <f>IFERROR(__xludf.DUMMYFUNCTION("""COMPUTED_VALUE"""),"No Data")</f>
        <v>No Data</v>
      </c>
      <c r="O4" s="27" t="str">
        <f>IFERROR(__xludf.DUMMYFUNCTION("""COMPUTED_VALUE"""),"No Data")</f>
        <v>No Data</v>
      </c>
      <c r="P4" s="28" t="str">
        <f>IFERROR(__xludf.DUMMYFUNCTION("""COMPUTED_VALUE"""),"No Data")</f>
        <v>No Data</v>
      </c>
      <c r="Q4" s="13" t="str">
        <f>IFERROR(__xludf.DUMMYFUNCTION("""COMPUTED_VALUE"""),"No Data")</f>
        <v>No Data</v>
      </c>
    </row>
    <row r="5">
      <c r="A5" s="17" t="str">
        <f>IFERROR(__xludf.DUMMYFUNCTION("""COMPUTED_VALUE"""),"Apollo Global Management")</f>
        <v>Apollo Global Management</v>
      </c>
      <c r="B5" s="17">
        <f>IFERROR(__xludf.DUMMYFUNCTION("""COMPUTED_VALUE"""),1990.0)</f>
        <v>1990</v>
      </c>
      <c r="C5" s="29">
        <f>IFERROR(__xludf.DUMMYFUNCTION("""COMPUTED_VALUE"""),8.4E11)</f>
        <v>840000000000</v>
      </c>
      <c r="D5" s="17" t="str">
        <f>IFERROR(__xludf.DUMMYFUNCTION("""COMPUTED_VALUE"""),"Apollo Global Management is one of the world's largest alternative asset managers, with roughly $840 billion in assets across credit, private equity and real assets, and its scale is the headline. Real estate is a comparatively modest sleeve of the platfo"&amp;"rm, but Apollo reaches 1031 investors through Apollo Real Estate Exchange (AREX), its DST vehicle, while the broader franchise is powered by a credit-led origination engine and the permanent capital of its Athene insurance balance sheet. For exchangers, t"&amp;"he draw is institutional underwriting and sponsor durability; the caveat is that DSTs are peripheral to a business whose center of gravity is credit.")</f>
        <v>Apollo Global Management is one of the world's largest alternative asset managers, with roughly $840 billion in assets across credit, private equity and real assets, and its scale is the headline. Real estate is a comparatively modest sleeve of the platform, but Apollo reaches 1031 investors through Apollo Real Estate Exchange (AREX), its DST vehicle, while the broader franchise is powered by a credit-led origination engine and the permanent capital of its Athene insurance balance sheet. For exchangers, the draw is institutional underwriting and sponsor durability; the caveat is that DSTs are peripheral to a business whose center of gravity is credit.</v>
      </c>
      <c r="E5" s="17" t="str">
        <f>IFERROR(__xludf.DUMMYFUNCTION("""COMPUTED_VALUE"""),"Operates one of the world's largest alternative platforms at roughly $840 billion, dwarfing dedicated DST sponsors.")</f>
        <v>Operates one of the world's largest alternative platforms at roughly $840 billion, dwarfing dedicated DST sponsors.</v>
      </c>
      <c r="F5" s="17" t="str">
        <f>IFERROR(__xludf.DUMMYFUNCTION("""COMPUTED_VALUE"""),"Reaches 1031 investors through Apollo Real Estate Exchange (AREX), layered on a ~$46 billion real assets business.")</f>
        <v>Reaches 1031 investors through Apollo Real Estate Exchange (AREX), layered on a ~$46 billion real assets business.</v>
      </c>
      <c r="G5" s="17" t="str">
        <f>IFERROR(__xludf.DUMMYFUNCTION("""COMPUTED_VALUE"""),"Runs a credit-led origination engine that sources opportunities equity-only sponsors never see.")</f>
        <v>Runs a credit-led origination engine that sources opportunities equity-only sponsors never see.</v>
      </c>
      <c r="H5" s="17" t="str">
        <f>IFERROR(__xludf.DUMMYFUNCTION("""COMPUTED_VALUE"""),"Anchors its capital base in the Athene insurance balance sheet, supplying permanent, long-duration capital.")</f>
        <v>Anchors its capital base in the Athene insurance balance sheet, supplying permanent, long-duration capital.</v>
      </c>
      <c r="I5" s="17" t="str">
        <f>IFERROR(__xludf.DUMMYFUNCTION("""COMPUTED_VALUE"""),"Carries a distressed/opportunistic heritage positioning it to exploit dislocation.")</f>
        <v>Carries a distressed/opportunistic heritage positioning it to exploit dislocation.</v>
      </c>
      <c r="J5" s="16" t="str">
        <f>IFERROR(__xludf.DUMMYFUNCTION("""COMPUTED_VALUE"""),"apollo.com")</f>
        <v>apollo.com</v>
      </c>
      <c r="K5" s="17" t="str">
        <f>IFERROR(__xludf.DUMMYFUNCTION("""COMPUTED_VALUE"""),"New York, NY")</f>
        <v>New York, NY</v>
      </c>
      <c r="L5" s="16" t="str">
        <f>IFERROR(__xludf.DUMMYFUNCTION("""COMPUTED_VALUE"""),"https://img.logo.dev/apollo.com?token=pk_FIVsDKgZTvCedVXXtt2rEg&amp;size=200&amp;retina=true")</f>
        <v>https://img.logo.dev/apollo.com?token=pk_FIVsDKgZTvCedVXXtt2rEg&amp;size=200&amp;retina=true</v>
      </c>
      <c r="M5" s="17">
        <f>IFERROR(__xludf.DUMMYFUNCTION("""COMPUTED_VALUE"""),0.0)</f>
        <v>0</v>
      </c>
      <c r="N5" s="13" t="str">
        <f>IFERROR(__xludf.DUMMYFUNCTION("""COMPUTED_VALUE"""),"No Data")</f>
        <v>No Data</v>
      </c>
      <c r="O5" s="27" t="str">
        <f>IFERROR(__xludf.DUMMYFUNCTION("""COMPUTED_VALUE"""),"No Data")</f>
        <v>No Data</v>
      </c>
      <c r="P5" s="28" t="str">
        <f>IFERROR(__xludf.DUMMYFUNCTION("""COMPUTED_VALUE"""),"No Data")</f>
        <v>No Data</v>
      </c>
      <c r="Q5" s="13" t="str">
        <f>IFERROR(__xludf.DUMMYFUNCTION("""COMPUTED_VALUE"""),"No Data")</f>
        <v>No Data</v>
      </c>
    </row>
    <row r="6">
      <c r="A6" s="17" t="str">
        <f>IFERROR(__xludf.DUMMYFUNCTION("""COMPUTED_VALUE"""),"ARCTRUST")</f>
        <v>ARCTRUST</v>
      </c>
      <c r="B6" s="17">
        <f>IFERROR(__xludf.DUMMYFUNCTION("""COMPUTED_VALUE"""),1985.0)</f>
        <v>1985</v>
      </c>
      <c r="C6" s="29">
        <f>IFERROR(__xludf.DUMMYFUNCTION("""COMPUTED_VALUE"""),5.0E9)</f>
        <v>5000000000</v>
      </c>
      <c r="D6" s="17" t="str">
        <f>IFERROR(__xludf.DUMMYFUNCTION("""COMPUTED_VALUE"""),"ARCTRUST is a roughly 40-year, vertically integrated net-lease specialist structured as a private REIT, giving 1031 investors access to a diversified, professionally managed retail portfolio rather than a single-asset DST. Based in Clifton, New Jersey, th"&amp;"e firm develops build-to-suit properties for national credit tenants such as Wawa, ShopRite and Chick-fil-A and concentrates on necessity retail across the New York-to-Washington corridor, Florida and airport-metro markets. It has completed more than 500 "&amp;"projects valued in excess of $5 billion, a development track record that anchors its DST and REIT offerings.")</f>
        <v>ARCTRUST is a roughly 40-year, vertically integrated net-lease specialist structured as a private REIT, giving 1031 investors access to a diversified, professionally managed retail portfolio rather than a single-asset DST. Based in Clifton, New Jersey, the firm develops build-to-suit properties for national credit tenants such as Wawa, ShopRite and Chick-fil-A and concentrates on necessity retail across the New York-to-Washington corridor, Florida and airport-metro markets. It has completed more than 500 projects valued in excess of $5 billion, a development track record that anchors its DST and REIT offerings.</v>
      </c>
      <c r="E6" s="17" t="str">
        <f>IFERROR(__xludf.DUMMYFUNCTION("""COMPUTED_VALUE"""),"Operates as a private net-lease REIT, giving exchangers a diversified managed portfolio rather than a single-asset DST.")</f>
        <v>Operates as a private net-lease REIT, giving exchangers a diversified managed portfolio rather than a single-asset DST.</v>
      </c>
      <c r="F6" s="17" t="str">
        <f>IFERROR(__xludf.DUMMYFUNCTION("""COMPUTED_VALUE"""),"Specializes in build-to-suit development for national credit tenants such as Wawa, ShopRite and Chick-fil-A.")</f>
        <v>Specializes in build-to-suit development for national credit tenants such as Wawa, ShopRite and Chick-fil-A.</v>
      </c>
      <c r="G6" s="17" t="str">
        <f>IFERROR(__xludf.DUMMYFUNCTION("""COMPUTED_VALUE"""),"Concentrates on necessity-retail net lease in the NY-DC corridor, Florida and airport-metro markets.")</f>
        <v>Concentrates on necessity-retail net lease in the NY-DC corridor, Florida and airport-metro markets.</v>
      </c>
      <c r="H6" s="17" t="str">
        <f>IFERROR(__xludf.DUMMYFUNCTION("""COMPUTED_VALUE"""),"Has completed more than 500 projects valued over $5 billion across roughly four decades.")</f>
        <v>Has completed more than 500 projects valued over $5 billion across roughly four decades.</v>
      </c>
      <c r="I6" s="17" t="str">
        <f>IFERROR(__xludf.DUMMYFUNCTION("""COMPUTED_VALUE"""),"Brings a 40-year, multi-cycle operating history uncommon among mid-market retail sponsors.")</f>
        <v>Brings a 40-year, multi-cycle operating history uncommon among mid-market retail sponsors.</v>
      </c>
      <c r="J6" s="16" t="str">
        <f>IFERROR(__xludf.DUMMYFUNCTION("""COMPUTED_VALUE"""),"arctrust.com")</f>
        <v>arctrust.com</v>
      </c>
      <c r="K6" s="17" t="str">
        <f>IFERROR(__xludf.DUMMYFUNCTION("""COMPUTED_VALUE"""),"Clifton, NJ")</f>
        <v>Clifton, NJ</v>
      </c>
      <c r="L6" s="16" t="str">
        <f>IFERROR(__xludf.DUMMYFUNCTION("""COMPUTED_VALUE"""),"https://img.logo.dev/arctrust.com?token=pk_FIVsDKgZTvCedVXXtt2rEg&amp;size=200&amp;retina=true")</f>
        <v>https://img.logo.dev/arctrust.com?token=pk_FIVsDKgZTvCedVXXtt2rEg&amp;size=200&amp;retina=true</v>
      </c>
      <c r="M6" s="17">
        <f>IFERROR(__xludf.DUMMYFUNCTION("""COMPUTED_VALUE"""),0.0)</f>
        <v>0</v>
      </c>
      <c r="N6" s="13" t="str">
        <f>IFERROR(__xludf.DUMMYFUNCTION("""COMPUTED_VALUE"""),"No Data")</f>
        <v>No Data</v>
      </c>
      <c r="O6" s="27" t="str">
        <f>IFERROR(__xludf.DUMMYFUNCTION("""COMPUTED_VALUE"""),"No Data")</f>
        <v>No Data</v>
      </c>
      <c r="P6" s="28" t="str">
        <f>IFERROR(__xludf.DUMMYFUNCTION("""COMPUTED_VALUE"""),"No Data")</f>
        <v>No Data</v>
      </c>
      <c r="Q6" s="13" t="str">
        <f>IFERROR(__xludf.DUMMYFUNCTION("""COMPUTED_VALUE"""),"No Data")</f>
        <v>No Data</v>
      </c>
    </row>
    <row r="7">
      <c r="A7" s="17" t="str">
        <f>IFERROR(__xludf.DUMMYFUNCTION("""COMPUTED_VALUE"""),"Ares Management")</f>
        <v>Ares Management</v>
      </c>
      <c r="B7" s="17">
        <f>IFERROR(__xludf.DUMMYFUNCTION("""COMPUTED_VALUE"""),1997.0)</f>
        <v>1997</v>
      </c>
      <c r="C7" s="29">
        <f>IFERROR(__xludf.DUMMYFUNCTION("""COMPUTED_VALUE"""),5.957E11)</f>
        <v>595700000000</v>
      </c>
      <c r="D7" s="17" t="str">
        <f>IFERROR(__xludf.DUMMYFUNCTION("""COMPUTED_VALUE"""),"Ares Management is a roughly $596 billion global alternatives manager whose real estate ambitions in the wealth channel run through Ares Wealth Management Solutions, the distribution arm that brings DST and non-traded vehicles to advisors and their client"&amp;"s. The March 2025 acquisition of GCP International added some $45 billion in AUM and meaningfully deepened its real assets and industrial logistics footprint, complementing the Ares Industrial REIT. Credit remains the platform's dominant gravitational for"&amp;"ce, but the firm's insurance and separately-managed-account capital base gives its real estate offerings institutional ballast that few pure-play DST sponsors can match.")</f>
        <v>Ares Management is a roughly $596 billion global alternatives manager whose real estate ambitions in the wealth channel run through Ares Wealth Management Solutions, the distribution arm that brings DST and non-traded vehicles to advisors and their clients. The March 2025 acquisition of GCP International added some $45 billion in AUM and meaningfully deepened its real assets and industrial logistics footprint, complementing the Ares Industrial REIT. Credit remains the platform's dominant gravitational force, but the firm's insurance and separately-managed-account capital base gives its real estate offerings institutional ballast that few pure-play DST sponsors can match.</v>
      </c>
      <c r="E7" s="17" t="str">
        <f>IFERROR(__xludf.DUMMYFUNCTION("""COMPUTED_VALUE"""),"Manages roughly $596 billion with credit dominance, lending its real estate offerings institutional ballast.")</f>
        <v>Manages roughly $596 billion with credit dominance, lending its real estate offerings institutional ballast.</v>
      </c>
      <c r="F7" s="17" t="str">
        <f>IFERROR(__xludf.DUMMYFUNCTION("""COMPUTED_VALUE"""),"Distributes DST/non-traded vehicles through Ares Wealth Management Solutions, a dedicated advisor channel.")</f>
        <v>Distributes DST/non-traded vehicles through Ares Wealth Management Solutions, a dedicated advisor channel.</v>
      </c>
      <c r="G7" s="17" t="str">
        <f>IFERROR(__xludf.DUMMYFUNCTION("""COMPUTED_VALUE"""),"Deepened logistics/real assets via the March 2025 GCP International acquisition (+~$45 billion AUM).")</f>
        <v>Deepened logistics/real assets via the March 2025 GCP International acquisition (+~$45 billion AUM).</v>
      </c>
      <c r="H7" s="17" t="str">
        <f>IFERROR(__xludf.DUMMYFUNCTION("""COMPUTED_VALUE"""),"Operates the Ares Industrial REIT, giving exchangers institutional logistics exposure.")</f>
        <v>Operates the Ares Industrial REIT, giving exchangers institutional logistics exposure.</v>
      </c>
      <c r="I7" s="17" t="str">
        <f>IFERROR(__xludf.DUMMYFUNCTION("""COMPUTED_VALUE"""),"Draws on a large insurance and SMA capital base, supplying durable scaled capital across cycles.")</f>
        <v>Draws on a large insurance and SMA capital base, supplying durable scaled capital across cycles.</v>
      </c>
      <c r="J7" s="16" t="str">
        <f>IFERROR(__xludf.DUMMYFUNCTION("""COMPUTED_VALUE"""),"aresmgmt.com")</f>
        <v>aresmgmt.com</v>
      </c>
      <c r="K7" s="17" t="str">
        <f>IFERROR(__xludf.DUMMYFUNCTION("""COMPUTED_VALUE"""),"Los Angeles, CA")</f>
        <v>Los Angeles, CA</v>
      </c>
      <c r="L7" s="16" t="str">
        <f>IFERROR(__xludf.DUMMYFUNCTION("""COMPUTED_VALUE"""),"https://img.logo.dev/aresmgmt.com?token=pk_FIVsDKgZTvCedVXXtt2rEg&amp;size=200&amp;retina=true")</f>
        <v>https://img.logo.dev/aresmgmt.com?token=pk_FIVsDKgZTvCedVXXtt2rEg&amp;size=200&amp;retina=true</v>
      </c>
      <c r="M7" s="17">
        <f>IFERROR(__xludf.DUMMYFUNCTION("""COMPUTED_VALUE"""),0.0)</f>
        <v>0</v>
      </c>
      <c r="N7" s="13" t="str">
        <f>IFERROR(__xludf.DUMMYFUNCTION("""COMPUTED_VALUE"""),"No Data")</f>
        <v>No Data</v>
      </c>
      <c r="O7" s="27" t="str">
        <f>IFERROR(__xludf.DUMMYFUNCTION("""COMPUTED_VALUE"""),"No Data")</f>
        <v>No Data</v>
      </c>
      <c r="P7" s="28" t="str">
        <f>IFERROR(__xludf.DUMMYFUNCTION("""COMPUTED_VALUE"""),"No Data")</f>
        <v>No Data</v>
      </c>
      <c r="Q7" s="13" t="str">
        <f>IFERROR(__xludf.DUMMYFUNCTION("""COMPUTED_VALUE"""),"No Data")</f>
        <v>No Data</v>
      </c>
    </row>
    <row r="8">
      <c r="A8" s="17" t="str">
        <f>IFERROR(__xludf.DUMMYFUNCTION("""COMPUTED_VALUE"""),"Arrimus Capital Advisors")</f>
        <v>Arrimus Capital Advisors</v>
      </c>
      <c r="B8" s="17">
        <f>IFERROR(__xludf.DUMMYFUNCTION("""COMPUTED_VALUE"""),2014.0)</f>
        <v>2014</v>
      </c>
      <c r="C8" s="29">
        <f>IFERROR(__xludf.DUMMYFUNCTION("""COMPUTED_VALUE"""),7.5E10)</f>
        <v>75000000000</v>
      </c>
      <c r="D8" s="17" t="str">
        <f>IFERROR(__xludf.DUMMYFUNCTION("""COMPUTED_VALUE"""),"Arrimus Capital Advisors is a West Coast real estate investment manager, founded in 2014, pursuing value-add and opportunistic strategies that it occasionally structures for 1031 investors. Its profile is that of a regionally focused operator trading on a"&amp;"cquisition acumen in its home markets rather than on scale; the firm does not publicly disclose AUM, and its limited disclosure footprint warrants PPM-level diligence before any allocation.")</f>
        <v>Arrimus Capital Advisors is a West Coast real estate investment manager, founded in 2014, pursuing value-add and opportunistic strategies that it occasionally structures for 1031 investors. Its profile is that of a regionally focused operator trading on acquisition acumen in its home markets rather than on scale; the firm does not publicly disclose AUM, and its limited disclosure footprint warrants PPM-level diligence before any allocation.</v>
      </c>
      <c r="E8" s="17" t="str">
        <f>IFERROR(__xludf.DUMMYFUNCTION("""COMPUTED_VALUE"""),"Pursues value-add and opportunistic strategies concentrated on the West Coast.")</f>
        <v>Pursues value-add and opportunistic strategies concentrated on the West Coast.</v>
      </c>
      <c r="F8" s="17" t="str">
        <f>IFERROR(__xludf.DUMMYFUNCTION("""COMPUTED_VALUE"""),"Operates as a nimble boutique able to move on smaller, off-market deals below the institutional bid.")</f>
        <v>Operates as a nimble boutique able to move on smaller, off-market deals below the institutional bid.</v>
      </c>
      <c r="G8" s="17" t="str">
        <f>IFERROR(__xludf.DUMMYFUNCTION("""COMPUTED_VALUE"""),"Founder/principal sourcing relationships in core California markets are its primary edge.")</f>
        <v>Founder/principal sourcing relationships in core California markets are its primary edge.</v>
      </c>
      <c r="H8" s="17" t="str">
        <f>IFERROR(__xludf.DUMMYFUNCTION("""COMPUTED_VALUE"""),"AUM and fund-level track record are not publicly disclosed.")</f>
        <v>AUM and fund-level track record are not publicly disclosed.</v>
      </c>
      <c r="I8" s="17" t="str">
        <f>IFERROR(__xludf.DUMMYFUNCTION("""COMPUTED_VALUE"""),"Full-cycle results require PPM-level review.")</f>
        <v>Full-cycle results require PPM-level review.</v>
      </c>
      <c r="J8" s="16" t="str">
        <f>IFERROR(__xludf.DUMMYFUNCTION("""COMPUTED_VALUE"""),"arrimuscapital.com")</f>
        <v>arrimuscapital.com</v>
      </c>
      <c r="K8" s="17" t="str">
        <f>IFERROR(__xludf.DUMMYFUNCTION("""COMPUTED_VALUE"""),"Newport Beach, CA")</f>
        <v>Newport Beach, CA</v>
      </c>
      <c r="L8" s="16" t="str">
        <f>IFERROR(__xludf.DUMMYFUNCTION("""COMPUTED_VALUE"""),"https://img.logo.dev/arrimuscapital.com?token=pk_FIVsDKgZTvCedVXXtt2rEg&amp;size=200&amp;retina=true")</f>
        <v>https://img.logo.dev/arrimuscapital.com?token=pk_FIVsDKgZTvCedVXXtt2rEg&amp;size=200&amp;retina=true</v>
      </c>
      <c r="M8" s="17">
        <f>IFERROR(__xludf.DUMMYFUNCTION("""COMPUTED_VALUE"""),0.0)</f>
        <v>0</v>
      </c>
      <c r="N8" s="13" t="str">
        <f>IFERROR(__xludf.DUMMYFUNCTION("""COMPUTED_VALUE"""),"No Data")</f>
        <v>No Data</v>
      </c>
      <c r="O8" s="27" t="str">
        <f>IFERROR(__xludf.DUMMYFUNCTION("""COMPUTED_VALUE"""),"No Data")</f>
        <v>No Data</v>
      </c>
      <c r="P8" s="28" t="str">
        <f>IFERROR(__xludf.DUMMYFUNCTION("""COMPUTED_VALUE"""),"No Data")</f>
        <v>No Data</v>
      </c>
      <c r="Q8" s="13" t="str">
        <f>IFERROR(__xludf.DUMMYFUNCTION("""COMPUTED_VALUE"""),"No Data")</f>
        <v>No Data</v>
      </c>
    </row>
    <row r="9">
      <c r="A9" s="17" t="str">
        <f>IFERROR(__xludf.DUMMYFUNCTION("""COMPUTED_VALUE"""),"Baker Tilly")</f>
        <v>Baker Tilly</v>
      </c>
      <c r="B9" s="17">
        <f>IFERROR(__xludf.DUMMYFUNCTION("""COMPUTED_VALUE"""),1931.0)</f>
        <v>1931</v>
      </c>
      <c r="C9" s="29">
        <f>IFERROR(__xludf.DUMMYFUNCTION("""COMPUTED_VALUE"""),5.1E9)</f>
        <v>5100000000</v>
      </c>
      <c r="D9" s="17" t="str">
        <f>IFERROR(__xludf.DUMMYFUNCTION("""COMPUTED_VALUE"""),"Baker Tilly is a top-tier accounting and advisory firm, not a real estate sponsor, and appears in the 1031/DST ecosystem as a tax, cost-segregation and transaction advisor rather than as an issuer of offerings. Investors should treat its presence on a spo"&amp;"nsor list as a service-provider relationship; it originates no property programs and carries no sponsor AUM.")</f>
        <v>Baker Tilly is a top-tier accounting and advisory firm, not a real estate sponsor, and appears in the 1031/DST ecosystem as a tax, cost-segregation and transaction advisor rather than as an issuer of offerings. Investors should treat its presence on a sponsor list as a service-provider relationship; it originates no property programs and carries no sponsor AUM.</v>
      </c>
      <c r="E9" s="17" t="str">
        <f>IFERROR(__xludf.DUMMYFUNCTION("""COMPUTED_VALUE"""),"Functions as a tax and transaction advisor in the 1031/DST ecosystem, not a property sponsor.")</f>
        <v>Functions as a tax and transaction advisor in the 1031/DST ecosystem, not a property sponsor.</v>
      </c>
      <c r="F9" s="17" t="str">
        <f>IFERROR(__xludf.DUMMYFUNCTION("""COMPUTED_VALUE"""),"Brings a national accounting/advisory platform to cost-segregation, 1031 structuring and entity planning.")</f>
        <v>Brings a national accounting/advisory platform to cost-segregation, 1031 structuring and entity planning.</v>
      </c>
      <c r="G9" s="17" t="str">
        <f>IFERROR(__xludf.DUMMYFUNCTION("""COMPUTED_VALUE"""),"Originates no property programs and carries no sponsor AUM.")</f>
        <v>Originates no property programs and carries no sponsor AUM.</v>
      </c>
      <c r="H9" s="17" t="str">
        <f>IFERROR(__xludf.DUMMYFUNCTION("""COMPUTED_VALUE"""),"Deep CPA and tax-specialist bench differentiates it from real estate operators.")</f>
        <v>Deep CPA and tax-specialist bench differentiates it from real estate operators.</v>
      </c>
      <c r="I9" s="17" t="str">
        <f>IFERROR(__xludf.DUMMYFUNCTION("""COMPUTED_VALUE"""),"Relevant to exchangers for diligence and tax support rather than as an issuer.")</f>
        <v>Relevant to exchangers for diligence and tax support rather than as an issuer.</v>
      </c>
      <c r="J9" s="16" t="str">
        <f>IFERROR(__xludf.DUMMYFUNCTION("""COMPUTED_VALUE"""),"bakertilly.com")</f>
        <v>bakertilly.com</v>
      </c>
      <c r="K9" s="17" t="str">
        <f>IFERROR(__xludf.DUMMYFUNCTION("""COMPUTED_VALUE"""),"Chicago, IL")</f>
        <v>Chicago, IL</v>
      </c>
      <c r="L9" s="16" t="str">
        <f>IFERROR(__xludf.DUMMYFUNCTION("""COMPUTED_VALUE"""),"https://img.logo.dev/bakertilly.com?token=pk_FIVsDKgZTvCedVXXtt2rEg&amp;size=200&amp;retina=true")</f>
        <v>https://img.logo.dev/bakertilly.com?token=pk_FIVsDKgZTvCedVXXtt2rEg&amp;size=200&amp;retina=true</v>
      </c>
      <c r="M9" s="17">
        <f>IFERROR(__xludf.DUMMYFUNCTION("""COMPUTED_VALUE"""),0.0)</f>
        <v>0</v>
      </c>
      <c r="N9" s="13" t="str">
        <f>IFERROR(__xludf.DUMMYFUNCTION("""COMPUTED_VALUE"""),"No Data")</f>
        <v>No Data</v>
      </c>
      <c r="O9" s="27" t="str">
        <f>IFERROR(__xludf.DUMMYFUNCTION("""COMPUTED_VALUE"""),"No Data")</f>
        <v>No Data</v>
      </c>
      <c r="P9" s="28" t="str">
        <f>IFERROR(__xludf.DUMMYFUNCTION("""COMPUTED_VALUE"""),"No Data")</f>
        <v>No Data</v>
      </c>
      <c r="Q9" s="13" t="str">
        <f>IFERROR(__xludf.DUMMYFUNCTION("""COMPUTED_VALUE"""),"No Data")</f>
        <v>No Data</v>
      </c>
    </row>
    <row r="10">
      <c r="A10" s="17" t="str">
        <f>IFERROR(__xludf.DUMMYFUNCTION("""COMPUTED_VALUE"""),"Beacon Real Estate Group")</f>
        <v>Beacon Real Estate Group</v>
      </c>
      <c r="B10" s="17">
        <f>IFERROR(__xludf.DUMMYFUNCTION("""COMPUTED_VALUE"""),2005.0)</f>
        <v>2005</v>
      </c>
      <c r="C10" s="29">
        <f>IFERROR(__xludf.DUMMYFUNCTION("""COMPUTED_VALUE"""),2.36E9)</f>
        <v>2360000000</v>
      </c>
      <c r="D10" s="17" t="str">
        <f>IFERROR(__xludf.DUMMYFUNCTION("""COMPUTED_VALUE"""),"Beacon Real Estate Group is a Miami-based multifamily-focused private investment firm, active since 2005, that pursues value-add apartment strategies concentrated in the Southeast and Florida. It presents as a regional operator leaning on demographic tail"&amp;"winds in its core markets; current AUM is not publicly disclosed, and the firm's smaller disclosure footprint argues for direct diligence.")</f>
        <v>Beacon Real Estate Group is a Miami-based multifamily-focused private investment firm, active since 2005, that pursues value-add apartment strategies concentrated in the Southeast and Florida. It presents as a regional operator leaning on demographic tailwinds in its core markets; current AUM is not publicly disclosed, and the firm's smaller disclosure footprint argues for direct diligence.</v>
      </c>
      <c r="E10" s="17" t="str">
        <f>IFERROR(__xludf.DUMMYFUNCTION("""COMPUTED_VALUE"""),"Concentrates on value-add multifamily in the Southeast and Florida, riding in-migration tailwinds.")</f>
        <v>Concentrates on value-add multifamily in the Southeast and Florida, riding in-migration tailwinds.</v>
      </c>
      <c r="F10" s="17" t="str">
        <f>IFERROR(__xludf.DUMMYFUNCTION("""COMPUTED_VALUE"""),"Operates as a regionally focused private equity sponsor with local sourcing relationships.")</f>
        <v>Operates as a regionally focused private equity sponsor with local sourcing relationships.</v>
      </c>
      <c r="G10" s="17" t="str">
        <f>IFERROR(__xludf.DUMMYFUNCTION("""COMPUTED_VALUE"""),"Founder-led acquisition discipline in supply-constrained Florida submarkets is its differentiator.")</f>
        <v>Founder-led acquisition discipline in supply-constrained Florida submarkets is its differentiator.</v>
      </c>
      <c r="H10" s="17" t="str">
        <f>IFERROR(__xludf.DUMMYFUNCTION("""COMPUTED_VALUE"""),"AUM is not publicly disclosed, limiting verification of scale.")</f>
        <v>AUM is not publicly disclosed, limiting verification of scale.</v>
      </c>
      <c r="I10" s="17" t="str">
        <f>IFERROR(__xludf.DUMMYFUNCTION("""COMPUTED_VALUE"""),"Full-cycle track record requires PPM-level review.")</f>
        <v>Full-cycle track record requires PPM-level review.</v>
      </c>
      <c r="J10" s="16" t="str">
        <f>IFERROR(__xludf.DUMMYFUNCTION("""COMPUTED_VALUE"""),"beaconreg.com")</f>
        <v>beaconreg.com</v>
      </c>
      <c r="K10" s="17" t="str">
        <f>IFERROR(__xludf.DUMMYFUNCTION("""COMPUTED_VALUE"""),"Miami, FL")</f>
        <v>Miami, FL</v>
      </c>
      <c r="L10" s="16" t="str">
        <f>IFERROR(__xludf.DUMMYFUNCTION("""COMPUTED_VALUE"""),"https://img.logo.dev/beaconreg.com?token=pk_FIVsDKgZTvCedVXXtt2rEg&amp;size=200&amp;retina=true")</f>
        <v>https://img.logo.dev/beaconreg.com?token=pk_FIVsDKgZTvCedVXXtt2rEg&amp;size=200&amp;retina=true</v>
      </c>
      <c r="M10" s="17">
        <f>IFERROR(__xludf.DUMMYFUNCTION("""COMPUTED_VALUE"""),0.0)</f>
        <v>0</v>
      </c>
      <c r="N10" s="13" t="str">
        <f>IFERROR(__xludf.DUMMYFUNCTION("""COMPUTED_VALUE"""),"No Data")</f>
        <v>No Data</v>
      </c>
      <c r="O10" s="27" t="str">
        <f>IFERROR(__xludf.DUMMYFUNCTION("""COMPUTED_VALUE"""),"No Data")</f>
        <v>No Data</v>
      </c>
      <c r="P10" s="28" t="str">
        <f>IFERROR(__xludf.DUMMYFUNCTION("""COMPUTED_VALUE"""),"No Data")</f>
        <v>No Data</v>
      </c>
      <c r="Q10" s="13" t="str">
        <f>IFERROR(__xludf.DUMMYFUNCTION("""COMPUTED_VALUE"""),"No Data")</f>
        <v>No Data</v>
      </c>
    </row>
    <row r="11">
      <c r="A11" s="17" t="str">
        <f>IFERROR(__xludf.DUMMYFUNCTION("""COMPUTED_VALUE"""),"Blackstone")</f>
        <v>Blackstone</v>
      </c>
      <c r="B11" s="17">
        <f>IFERROR(__xludf.DUMMYFUNCTION("""COMPUTED_VALUE"""),1985.0)</f>
        <v>1985</v>
      </c>
      <c r="C11" s="29">
        <f>IFERROR(__xludf.DUMMYFUNCTION("""COMPUTED_VALUE"""),1.3E12)</f>
        <v>1300000000000</v>
      </c>
      <c r="D11" s="17" t="str">
        <f>IFERROR(__xludf.DUMMYFUNCTION("""COMPUTED_VALUE"""),"Blackstone is the world's largest alternative asset manager, with roughly $1.3 trillion in total AUM and a real estate platform commanding about $319 billion of investor capital as of year-end 2025—an order of magnitude beyond any dedicated DST sponsor. I"&amp;"ts retail real estate flagship, the Blackstone Real Estate Income Trust (BREIT), is a perpetual-life non-traded REIT carrying roughly $53 billion in NAV and concentrated in the secular winners of data centers, logistics and rental housing. With perpetual "&amp;"capital approaching 40% of the firm and a long-run track record on its largest BREIT share class near a 9.4% annualized return since inception, Blackstone offers institutional scale and sector positioning that define the high end of the market—though its "&amp;"1031/DST activity is a small adjunct to a vast machine.")</f>
        <v>Blackstone is the world's largest alternative asset manager, with roughly $1.3 trillion in total AUM and a real estate platform commanding about $319 billion of investor capital as of year-end 2025—an order of magnitude beyond any dedicated DST sponsor. Its retail real estate flagship, the Blackstone Real Estate Income Trust (BREIT), is a perpetual-life non-traded REIT carrying roughly $53 billion in NAV and concentrated in the secular winners of data centers, logistics and rental housing. With perpetual capital approaching 40% of the firm and a long-run track record on its largest BREIT share class near a 9.4% annualized return since inception, Blackstone offers institutional scale and sector positioning that define the high end of the market—though its 1031/DST activity is a small adjunct to a vast machine.</v>
      </c>
      <c r="E11" s="17" t="str">
        <f>IFERROR(__xludf.DUMMYFUNCTION("""COMPUTED_VALUE"""),"Commands roughly $319 billion of real estate investor capital, the largest such platform globally.")</f>
        <v>Commands roughly $319 billion of real estate investor capital, the largest such platform globally.</v>
      </c>
      <c r="F11" s="17" t="str">
        <f>IFERROR(__xludf.DUMMYFUNCTION("""COMPUTED_VALUE"""),"Operates BREIT, a perpetual-life non-traded REIT (~$53 billion NAV), its primary 1031/DST conduit.")</f>
        <v>Operates BREIT, a perpetual-life non-traded REIT (~$53 billion NAV), its primary 1031/DST conduit.</v>
      </c>
      <c r="G11" s="17" t="str">
        <f>IFERROR(__xludf.DUMMYFUNCTION("""COMPUTED_VALUE"""),"Concentrates the portfolio in data centers, logistics and rental housing, the secular winners.")</f>
        <v>Concentrates the portfolio in data centers, logistics and rental housing, the secular winners.</v>
      </c>
      <c r="H11" s="17" t="str">
        <f>IFERROR(__xludf.DUMMYFUNCTION("""COMPUTED_VALUE"""),"Derives ~40% of firm AUM from perpetual capital, insulating it from redemption and vintage pressures.")</f>
        <v>Derives ~40% of firm AUM from perpetual capital, insulating it from redemption and vintage pressures.</v>
      </c>
      <c r="I11" s="17" t="str">
        <f>IFERROR(__xludf.DUMMYFUNCTION("""COMPUTED_VALUE"""),"Has delivered ~9.4% annualized on its largest BREIT share class since inception, a verifiable record.")</f>
        <v>Has delivered ~9.4% annualized on its largest BREIT share class since inception, a verifiable record.</v>
      </c>
      <c r="J11" s="16" t="str">
        <f>IFERROR(__xludf.DUMMYFUNCTION("""COMPUTED_VALUE"""),"blackstone.com")</f>
        <v>blackstone.com</v>
      </c>
      <c r="K11" s="17" t="str">
        <f>IFERROR(__xludf.DUMMYFUNCTION("""COMPUTED_VALUE"""),"New York, NY")</f>
        <v>New York, NY</v>
      </c>
      <c r="L11" s="16" t="str">
        <f>IFERROR(__xludf.DUMMYFUNCTION("""COMPUTED_VALUE"""),"https://img.logo.dev/blackstone.com?token=pk_FIVsDKgZTvCedVXXtt2rEg&amp;size=200&amp;retina=true")</f>
        <v>https://img.logo.dev/blackstone.com?token=pk_FIVsDKgZTvCedVXXtt2rEg&amp;size=200&amp;retina=true</v>
      </c>
      <c r="M11" s="17">
        <f>IFERROR(__xludf.DUMMYFUNCTION("""COMPUTED_VALUE"""),0.0)</f>
        <v>0</v>
      </c>
      <c r="N11" s="13" t="str">
        <f>IFERROR(__xludf.DUMMYFUNCTION("""COMPUTED_VALUE"""),"No Data")</f>
        <v>No Data</v>
      </c>
      <c r="O11" s="27" t="str">
        <f>IFERROR(__xludf.DUMMYFUNCTION("""COMPUTED_VALUE"""),"No Data")</f>
        <v>No Data</v>
      </c>
      <c r="P11" s="28" t="str">
        <f>IFERROR(__xludf.DUMMYFUNCTION("""COMPUTED_VALUE"""),"No Data")</f>
        <v>No Data</v>
      </c>
      <c r="Q11" s="13" t="str">
        <f>IFERROR(__xludf.DUMMYFUNCTION("""COMPUTED_VALUE"""),"No Data")</f>
        <v>No Data</v>
      </c>
    </row>
    <row r="12">
      <c r="A12" s="17" t="str">
        <f>IFERROR(__xludf.DUMMYFUNCTION("""COMPUTED_VALUE"""),"Blue Owl")</f>
        <v>Blue Owl</v>
      </c>
      <c r="B12" s="17">
        <f>IFERROR(__xludf.DUMMYFUNCTION("""COMPUTED_VALUE"""),2009.0)</f>
        <v>2009</v>
      </c>
      <c r="C12" s="29">
        <f>IFERROR(__xludf.DUMMYFUNCTION("""COMPUTED_VALUE"""),2.73E11)</f>
        <v>273000000000</v>
      </c>
      <c r="D12" s="17" t="str">
        <f>IFERROR(__xludf.DUMMYFUNCTION("""COMPUTED_VALUE"""),"Blue Owl Capital is a roughly $273 billion alternatives manager whose net-lease pedigree—anchored by the Oak Street platform it absorbed—feeds its DST/1031 vehicle, Blue Owl Real Estate Exchange (OREX). The strategy is purpose-built around triple-net, sal"&amp;"e-leaseback assets leased to creditworthy corporate tenants, a cash-flow-stable profile well suited to exchange investors seeking predictability. With a permanent-capital orientation and a diversified credit-and-real-assets platform behind it, OREX brings"&amp;" institutional sourcing to a niche that rewards tenant credit discipline.")</f>
        <v>Blue Owl Capital is a roughly $273 billion alternatives manager whose net-lease pedigree—anchored by the Oak Street platform it absorbed—feeds its DST/1031 vehicle, Blue Owl Real Estate Exchange (OREX). The strategy is purpose-built around triple-net, sale-leaseback assets leased to creditworthy corporate tenants, a cash-flow-stable profile well suited to exchange investors seeking predictability. With a permanent-capital orientation and a diversified credit-and-real-assets platform behind it, OREX brings institutional sourcing to a niche that rewards tenant credit discipline.</v>
      </c>
      <c r="E12" s="17" t="str">
        <f>IFERROR(__xludf.DUMMYFUNCTION("""COMPUTED_VALUE"""),"Inherits the Oak Street net-lease engine, a premier sale-leaseback origination platform, now feeding its DST product.")</f>
        <v>Inherits the Oak Street net-lease engine, a premier sale-leaseback origination platform, now feeding its DST product.</v>
      </c>
      <c r="F12" s="17" t="str">
        <f>IFERROR(__xludf.DUMMYFUNCTION("""COMPUTED_VALUE"""),"Reaches exchangers through Blue Owl Real Estate Exchange (OREX), built around credit-tenant triple-net assets.")</f>
        <v>Reaches exchangers through Blue Owl Real Estate Exchange (OREX), built around credit-tenant triple-net assets.</v>
      </c>
      <c r="G12" s="17" t="str">
        <f>IFERROR(__xludf.DUMMYFUNCTION("""COMPUTED_VALUE"""),"Specializes in long-duration triple-net sale-leasebacks, a cash-flow-stable 1031 profile.")</f>
        <v>Specializes in long-duration triple-net sale-leasebacks, a cash-flow-stable 1031 profile.</v>
      </c>
      <c r="H12" s="17" t="str">
        <f>IFERROR(__xludf.DUMMYFUNCTION("""COMPUTED_VALUE"""),"Operates a ~$273 billion diversified alternatives platform spanning credit, GP stakes and real assets.")</f>
        <v>Operates a ~$273 billion diversified alternatives platform spanning credit, GP stakes and real assets.</v>
      </c>
      <c r="I12" s="17" t="str">
        <f>IFERROR(__xludf.DUMMYFUNCTION("""COMPUTED_VALUE"""),"Maintains a permanent-capital orientation aligned with net-lease hold periods.")</f>
        <v>Maintains a permanent-capital orientation aligned with net-lease hold periods.</v>
      </c>
      <c r="J12" s="16" t="str">
        <f>IFERROR(__xludf.DUMMYFUNCTION("""COMPUTED_VALUE"""),"blueowl.com")</f>
        <v>blueowl.com</v>
      </c>
      <c r="K12" s="17" t="str">
        <f>IFERROR(__xludf.DUMMYFUNCTION("""COMPUTED_VALUE"""),"New York, NY")</f>
        <v>New York, NY</v>
      </c>
      <c r="L12" s="16" t="str">
        <f>IFERROR(__xludf.DUMMYFUNCTION("""COMPUTED_VALUE"""),"https://img.logo.dev/blueowl.com?token=pk_FIVsDKgZTvCedVXXtt2rEg&amp;size=200&amp;retina=true")</f>
        <v>https://img.logo.dev/blueowl.com?token=pk_FIVsDKgZTvCedVXXtt2rEg&amp;size=200&amp;retina=true</v>
      </c>
      <c r="M12" s="17">
        <f>IFERROR(__xludf.DUMMYFUNCTION("""COMPUTED_VALUE"""),0.0)</f>
        <v>0</v>
      </c>
      <c r="N12" s="13" t="str">
        <f>IFERROR(__xludf.DUMMYFUNCTION("""COMPUTED_VALUE"""),"No Data")</f>
        <v>No Data</v>
      </c>
      <c r="O12" s="27" t="str">
        <f>IFERROR(__xludf.DUMMYFUNCTION("""COMPUTED_VALUE"""),"No Data")</f>
        <v>No Data</v>
      </c>
      <c r="P12" s="28" t="str">
        <f>IFERROR(__xludf.DUMMYFUNCTION("""COMPUTED_VALUE"""),"No Data")</f>
        <v>No Data</v>
      </c>
      <c r="Q12" s="13" t="str">
        <f>IFERROR(__xludf.DUMMYFUNCTION("""COMPUTED_VALUE"""),"No Data")</f>
        <v>No Data</v>
      </c>
    </row>
    <row r="13">
      <c r="A13" s="17" t="str">
        <f>IFERROR(__xludf.DUMMYFUNCTION("""COMPUTED_VALUE"""),"Bluerock")</f>
        <v>Bluerock</v>
      </c>
      <c r="B13" s="17">
        <f>IFERROR(__xludf.DUMMYFUNCTION("""COMPUTED_VALUE"""),2002.0)</f>
        <v>2002</v>
      </c>
      <c r="C13" s="29">
        <f>IFERROR(__xludf.DUMMYFUNCTION("""COMPUTED_VALUE"""),1.9E10)</f>
        <v>19000000000</v>
      </c>
      <c r="D13" s="17" t="str">
        <f>IFERROR(__xludf.DUMMYFUNCTION("""COMPUTED_VALUE"""),"Bluerock has sponsored syndicated 1031 exchanges for more than eighteen years, and its Bluerock Value Exchange (BVEX) arm packages multifamily, industrial and other core sectors into what it markets as 'Premier Exchange Properties.' Backed by a broader Bl"&amp;"uerock platform of roughly $19 billion that also spans interval funds, the firm pairs institutional acquisition capability with a long DST track record across multiple cycles. Its national footprint and sector breadth position it as a diversified mid-to-l"&amp;"arge sponsor rather than a single-asset specialist.")</f>
        <v>Bluerock has sponsored syndicated 1031 exchanges for more than eighteen years, and its Bluerock Value Exchange (BVEX) arm packages multifamily, industrial and other core sectors into what it markets as 'Premier Exchange Properties.' Backed by a broader Bluerock platform of roughly $19 billion that also spans interval funds, the firm pairs institutional acquisition capability with a long DST track record across multiple cycles. Its national footprint and sector breadth position it as a diversified mid-to-large sponsor rather than a single-asset specialist.</v>
      </c>
      <c r="E13" s="17" t="str">
        <f>IFERROR(__xludf.DUMMYFUNCTION("""COMPUTED_VALUE"""),"Has sponsored syndicated 1031 exchanges for more than 18 years, one of the longer continuous DST records.")</f>
        <v>Has sponsored syndicated 1031 exchanges for more than 18 years, one of the longer continuous DST records.</v>
      </c>
      <c r="F13" s="17" t="str">
        <f>IFERROR(__xludf.DUMMYFUNCTION("""COMPUTED_VALUE"""),"Packages multifamily and industrial as trademarked 'Premier Exchange Properties' targeting stable cash flow.")</f>
        <v>Packages multifamily and industrial as trademarked 'Premier Exchange Properties' targeting stable cash flow.</v>
      </c>
      <c r="G13" s="17" t="str">
        <f>IFERROR(__xludf.DUMMYFUNCTION("""COMPUTED_VALUE"""),"Sits within a ~$19 billion Bluerock platform that also runs interval funds.")</f>
        <v>Sits within a ~$19 billion Bluerock platform that also runs interval funds.</v>
      </c>
      <c r="H13" s="17" t="str">
        <f>IFERROR(__xludf.DUMMYFUNCTION("""COMPUTED_VALUE"""),"Sources institutional-quality assets across sectors and a national footprint.")</f>
        <v>Sources institutional-quality assets across sectors and a national footprint.</v>
      </c>
      <c r="I13" s="17" t="str">
        <f>IFERROR(__xludf.DUMMYFUNCTION("""COMPUTED_VALUE"""),"Operates across full market cycles, lending uncommon seasoning.")</f>
        <v>Operates across full market cycles, lending uncommon seasoning.</v>
      </c>
      <c r="J13" s="16" t="str">
        <f>IFERROR(__xludf.DUMMYFUNCTION("""COMPUTED_VALUE"""),"bluerockexchange.com")</f>
        <v>bluerockexchange.com</v>
      </c>
      <c r="K13" s="17" t="str">
        <f>IFERROR(__xludf.DUMMYFUNCTION("""COMPUTED_VALUE"""),"New York, NY")</f>
        <v>New York, NY</v>
      </c>
      <c r="L13" s="16" t="str">
        <f>IFERROR(__xludf.DUMMYFUNCTION("""COMPUTED_VALUE"""),"https://img.logo.dev/bluerockexchange.com?token=pk_FIVsDKgZTvCedVXXtt2rEg&amp;size=200&amp;retina=true")</f>
        <v>https://img.logo.dev/bluerockexchange.com?token=pk_FIVsDKgZTvCedVXXtt2rEg&amp;size=200&amp;retina=true</v>
      </c>
      <c r="M13" s="17">
        <f>IFERROR(__xludf.DUMMYFUNCTION("""COMPUTED_VALUE"""),97.0)</f>
        <v>97</v>
      </c>
      <c r="N13" s="13">
        <f>IFERROR(__xludf.DUMMYFUNCTION("""COMPUTED_VALUE"""),0.21387835051546406)</f>
        <v>0.2138783505</v>
      </c>
      <c r="O13" s="27">
        <f>IFERROR(__xludf.DUMMYFUNCTION("""COMPUTED_VALUE"""),1.7736082474226798)</f>
        <v>1.773608247</v>
      </c>
      <c r="P13" s="28">
        <f>IFERROR(__xludf.DUMMYFUNCTION("""COMPUTED_VALUE"""),4.004123711340205)</f>
        <v>4.004123711</v>
      </c>
      <c r="Q13" s="13">
        <f>IFERROR(__xludf.DUMMYFUNCTION("""COMPUTED_VALUE"""),0.9381443298969072)</f>
        <v>0.9381443299</v>
      </c>
    </row>
    <row r="14">
      <c r="A14" s="17" t="str">
        <f>IFERROR(__xludf.DUMMYFUNCTION("""COMPUTED_VALUE"""),"Bonaventure")</f>
        <v>Bonaventure</v>
      </c>
      <c r="B14" s="17">
        <f>IFERROR(__xludf.DUMMYFUNCTION("""COMPUTED_VALUE"""),1999.0)</f>
        <v>1999</v>
      </c>
      <c r="C14" s="29">
        <f>IFERROR(__xludf.DUMMYFUNCTION("""COMPUTED_VALUE"""),2.6E9)</f>
        <v>2600000000</v>
      </c>
      <c r="D14" s="17" t="str">
        <f>IFERROR(__xludf.DUMMYFUNCTION("""COMPUTED_VALUE"""),"Bonaventure is a vertically integrated Mid-Atlantic and Southeast multifamily firm, founded in 1999, that has built its 1031/721 franchise around its perpetual-life Bonaventure Multifamily Income Trust (BMIT), through which it has facilitated more than $1"&amp;".5 billion in tax-deferred exchanges. The model is notable for its balance-sheet discipline—roughly 98% fixed-rate debt—and for an UPREIT structure that lets exchangers roll into a diversified, professionally managed apartment portfolio. With a claimed ne"&amp;"t annualized BMIT return north of 22% and full control of development, acquisition and management, Bonaventure markets operational integration and rate-risk insulation as its core advantages.")</f>
        <v>Bonaventure is a vertically integrated Mid-Atlantic and Southeast multifamily firm, founded in 1999, that has built its 1031/721 franchise around its perpetual-life Bonaventure Multifamily Income Trust (BMIT), through which it has facilitated more than $1.5 billion in tax-deferred exchanges. The model is notable for its balance-sheet discipline—roughly 98% fixed-rate debt—and for an UPREIT structure that lets exchangers roll into a diversified, professionally managed apartment portfolio. With a claimed net annualized BMIT return north of 22% and full control of development, acquisition and management, Bonaventure markets operational integration and rate-risk insulation as its core advantages.</v>
      </c>
      <c r="E14" s="17" t="str">
        <f>IFERROR(__xludf.DUMMYFUNCTION("""COMPUTED_VALUE"""),"Built around its perpetual-life BMIT trust ($1.1B+ gross assets), offering a 721/UPREIT roll-up for exchangers.")</f>
        <v>Built around its perpetual-life BMIT trust ($1.1B+ gross assets), offering a 721/UPREIT roll-up for exchangers.</v>
      </c>
      <c r="F14" s="17" t="str">
        <f>IFERROR(__xludf.DUMMYFUNCTION("""COMPUTED_VALUE"""),"Has facilitated more than $1.5 billion in tax-deferred exchanges, substantial for a regional firm.")</f>
        <v>Has facilitated more than $1.5 billion in tax-deferred exchanges, substantial for a regional firm.</v>
      </c>
      <c r="G14" s="17" t="str">
        <f>IFERROR(__xludf.DUMMYFUNCTION("""COMPUTED_VALUE"""),"Runs a balance sheet roughly 98% fixed-rate, insulating cash flows from rate shocks.")</f>
        <v>Runs a balance sheet roughly 98% fixed-rate, insulating cash flows from rate shocks.</v>
      </c>
      <c r="H14" s="17" t="str">
        <f>IFERROR(__xludf.DUMMYFUNCTION("""COMPUTED_VALUE"""),"Fully vertically integrated across Mid-Atlantic/Southeast multifamily.")</f>
        <v>Fully vertically integrated across Mid-Atlantic/Southeast multifamily.</v>
      </c>
      <c r="I14" s="17" t="str">
        <f>IFERROR(__xludf.DUMMYFUNCTION("""COMPUTED_VALUE"""),"Cites a net annualized BMIT return north of 22%, a standout if sustained.")</f>
        <v>Cites a net annualized BMIT return north of 22%, a standout if sustained.</v>
      </c>
      <c r="J14" s="16" t="str">
        <f>IFERROR(__xludf.DUMMYFUNCTION("""COMPUTED_VALUE"""),"bonaventure.com")</f>
        <v>bonaventure.com</v>
      </c>
      <c r="K14" s="17" t="str">
        <f>IFERROR(__xludf.DUMMYFUNCTION("""COMPUTED_VALUE"""),"Alexandria, VA")</f>
        <v>Alexandria, VA</v>
      </c>
      <c r="L14" s="16" t="str">
        <f>IFERROR(__xludf.DUMMYFUNCTION("""COMPUTED_VALUE"""),"https://img.logo.dev/bonaventure.com?token=pk_FIVsDKgZTvCedVXXtt2rEg&amp;size=200&amp;retina=true")</f>
        <v>https://img.logo.dev/bonaventure.com?token=pk_FIVsDKgZTvCedVXXtt2rEg&amp;size=200&amp;retina=true</v>
      </c>
      <c r="M14" s="17">
        <f>IFERROR(__xludf.DUMMYFUNCTION("""COMPUTED_VALUE"""),0.0)</f>
        <v>0</v>
      </c>
      <c r="N14" s="13" t="str">
        <f>IFERROR(__xludf.DUMMYFUNCTION("""COMPUTED_VALUE"""),"No Data")</f>
        <v>No Data</v>
      </c>
      <c r="O14" s="27" t="str">
        <f>IFERROR(__xludf.DUMMYFUNCTION("""COMPUTED_VALUE"""),"No Data")</f>
        <v>No Data</v>
      </c>
      <c r="P14" s="28" t="str">
        <f>IFERROR(__xludf.DUMMYFUNCTION("""COMPUTED_VALUE"""),"No Data")</f>
        <v>No Data</v>
      </c>
      <c r="Q14" s="13" t="str">
        <f>IFERROR(__xludf.DUMMYFUNCTION("""COMPUTED_VALUE"""),"No Data")</f>
        <v>No Data</v>
      </c>
    </row>
    <row r="15">
      <c r="A15" s="17" t="str">
        <f>IFERROR(__xludf.DUMMYFUNCTION("""COMPUTED_VALUE"""),"Bridgeview")</f>
        <v>Bridgeview</v>
      </c>
      <c r="B15" s="17">
        <f>IFERROR(__xludf.DUMMYFUNCTION("""COMPUTED_VALUE"""),2011.0)</f>
        <v>2011</v>
      </c>
      <c r="C15" s="29">
        <f>IFERROR(__xludf.DUMMYFUNCTION("""COMPUTED_VALUE"""),4.4E8)</f>
        <v>440000000</v>
      </c>
      <c r="D15" s="17" t="str">
        <f>IFERROR(__xludf.DUMMYFUNCTION("""COMPUTED_VALUE"""),"Bridgeview is a Dallas-based, veteran-owned developer-sponsor of multifamily, office and mixed-use assets that distributes its DSTs through a captive broker-dealer, BV Securities—an unusual degree of vertical control over distribution for a firm of its si"&amp;"ze. Founded in 2011 and concentrated in Texas, it has carved out niches in student-housing DSTs near TCU and UT-Arlington and in zero-debt healthcare offerings such as its Ernest Health program. The captive distribution and Texas focus are differentiators"&amp;", though current AUM is not publicly disclosed and the geographic concentration limits diversification.")</f>
        <v>Bridgeview is a Dallas-based, veteran-owned developer-sponsor of multifamily, office and mixed-use assets that distributes its DSTs through a captive broker-dealer, BV Securities—an unusual degree of vertical control over distribution for a firm of its size. Founded in 2011 and concentrated in Texas, it has carved out niches in student-housing DSTs near TCU and UT-Arlington and in zero-debt healthcare offerings such as its Ernest Health program. The captive distribution and Texas focus are differentiators, though current AUM is not publicly disclosed and the geographic concentration limits diversification.</v>
      </c>
      <c r="E15" s="17" t="str">
        <f>IFERROR(__xludf.DUMMYFUNCTION("""COMPUTED_VALUE"""),"Distributes DSTs through a captive broker-dealer, BV Securities, unusual vertical control for its size.")</f>
        <v>Distributes DSTs through a captive broker-dealer, BV Securities, unusual vertical control for its size.</v>
      </c>
      <c r="F15" s="17" t="str">
        <f>IFERROR(__xludf.DUMMYFUNCTION("""COMPUTED_VALUE"""),"Carved out student-housing DST niches adjacent to TCU and UT-Arlington.")</f>
        <v>Carved out student-housing DST niches adjacent to TCU and UT-Arlington.</v>
      </c>
      <c r="G15" s="17" t="str">
        <f>IFERROR(__xludf.DUMMYFUNCTION("""COMPUTED_VALUE"""),"Structured a zero-debt healthcare DST around Ernest Health, eliminating lender risk.")</f>
        <v>Structured a zero-debt healthcare DST around Ernest Health, eliminating lender risk.</v>
      </c>
      <c r="H15" s="17" t="str">
        <f>IFERROR(__xludf.DUMMYFUNCTION("""COMPUTED_VALUE"""),"Veteran-owned, a differentiator for certain investor mandates.")</f>
        <v>Veteran-owned, a differentiator for certain investor mandates.</v>
      </c>
      <c r="I15" s="17" t="str">
        <f>IFERROR(__xludf.DUMMYFUNCTION("""COMPUTED_VALUE"""),"Concentrated in Texas, giving deep local sourcing but limited geographic diversification.")</f>
        <v>Concentrated in Texas, giving deep local sourcing but limited geographic diversification.</v>
      </c>
      <c r="J15" s="16" t="str">
        <f>IFERROR(__xludf.DUMMYFUNCTION("""COMPUTED_VALUE"""),"bridgeviewre.com")</f>
        <v>bridgeviewre.com</v>
      </c>
      <c r="K15" s="17" t="str">
        <f>IFERROR(__xludf.DUMMYFUNCTION("""COMPUTED_VALUE"""),"Dallas, TX")</f>
        <v>Dallas, TX</v>
      </c>
      <c r="L15" s="16" t="str">
        <f>IFERROR(__xludf.DUMMYFUNCTION("""COMPUTED_VALUE"""),"https://img.logo.dev/bridgeviewre.com?token=pk_FIVsDKgZTvCedVXXtt2rEg&amp;size=200&amp;retina=true")</f>
        <v>https://img.logo.dev/bridgeviewre.com?token=pk_FIVsDKgZTvCedVXXtt2rEg&amp;size=200&amp;retina=true</v>
      </c>
      <c r="M15" s="17">
        <f>IFERROR(__xludf.DUMMYFUNCTION("""COMPUTED_VALUE"""),2.0)</f>
        <v>2</v>
      </c>
      <c r="N15" s="13">
        <f>IFERROR(__xludf.DUMMYFUNCTION("""COMPUTED_VALUE"""),0.3725)</f>
        <v>0.3725</v>
      </c>
      <c r="O15" s="27">
        <f>IFERROR(__xludf.DUMMYFUNCTION("""COMPUTED_VALUE"""),3.825)</f>
        <v>3.825</v>
      </c>
      <c r="P15" s="28">
        <f>IFERROR(__xludf.DUMMYFUNCTION("""COMPUTED_VALUE"""),3.79)</f>
        <v>3.79</v>
      </c>
      <c r="Q15" s="13">
        <f>IFERROR(__xludf.DUMMYFUNCTION("""COMPUTED_VALUE"""),1.0)</f>
        <v>1</v>
      </c>
    </row>
    <row r="16">
      <c r="A16" s="17" t="str">
        <f>IFERROR(__xludf.DUMMYFUNCTION("""COMPUTED_VALUE"""),"Brookfield")</f>
        <v>Brookfield</v>
      </c>
      <c r="B16" s="17">
        <f>IFERROR(__xludf.DUMMYFUNCTION("""COMPUTED_VALUE"""),1899.0)</f>
        <v>1899</v>
      </c>
      <c r="C16" s="29">
        <f>IFERROR(__xludf.DUMMYFUNCTION("""COMPUTED_VALUE"""),1.0E12)</f>
        <v>1000000000000</v>
      </c>
      <c r="D16" s="17" t="str">
        <f>IFERROR(__xludf.DUMMYFUNCTION("""COMPUTED_VALUE"""),"Brookfield is a global owner-operator of real assets with well over $1 trillion in AUM and roughly $31 billion in U.S. institutional real estate, and it reaches retail and exchange investors through the Brookfield Real Estate Income Trust. Its competitive"&amp;" advantage is operational rather than financial-engineering: deep in-house operating platforms across infrastructure, renewables and property allow it to drive value at the asset level. Backed by a perpetual-capital base and a 125-year institutional linea"&amp;"ge, Brookfield brings owner-operator scale that few sponsors can replicate, with DST/non-traded vehicles a small slice of the whole.")</f>
        <v>Brookfield is a global owner-operator of real assets with well over $1 trillion in AUM and roughly $31 billion in U.S. institutional real estate, and it reaches retail and exchange investors through the Brookfield Real Estate Income Trust. Its competitive advantage is operational rather than financial-engineering: deep in-house operating platforms across infrastructure, renewables and property allow it to drive value at the asset level. Backed by a perpetual-capital base and a 125-year institutional lineage, Brookfield brings owner-operator scale that few sponsors can replicate, with DST/non-traded vehicles a small slice of the whole.</v>
      </c>
      <c r="E16" s="17" t="str">
        <f>IFERROR(__xludf.DUMMYFUNCTION("""COMPUTED_VALUE"""),"Global owner-operator of real assets with well over $1 trillion AUM, an operational scale no DST sponsor approaches.")</f>
        <v>Global owner-operator of real assets with well over $1 trillion AUM, an operational scale no DST sponsor approaches.</v>
      </c>
      <c r="F16" s="17" t="str">
        <f>IFERROR(__xludf.DUMMYFUNCTION("""COMPUTED_VALUE"""),"Reaches retail/exchange investors through the Brookfield Real Estate Income Trust.")</f>
        <v>Reaches retail/exchange investors through the Brookfield Real Estate Income Trust.</v>
      </c>
      <c r="G16" s="17" t="str">
        <f>IFERROR(__xludf.DUMMYFUNCTION("""COMPUTED_VALUE"""),"Differentiates on in-house operating platforms across infrastructure, renewables and property.")</f>
        <v>Differentiates on in-house operating platforms across infrastructure, renewables and property.</v>
      </c>
      <c r="H16" s="17" t="str">
        <f>IFERROR(__xludf.DUMMYFUNCTION("""COMPUTED_VALUE"""),"Spans real assets and infrastructure breadth few real estate managers can replicate.")</f>
        <v>Spans real assets and infrastructure breadth few real estate managers can replicate.</v>
      </c>
      <c r="I16" s="17" t="str">
        <f>IFERROR(__xludf.DUMMYFUNCTION("""COMPUTED_VALUE"""),"Backed by a perpetual-capital base and a 125-year institutional lineage.")</f>
        <v>Backed by a perpetual-capital base and a 125-year institutional lineage.</v>
      </c>
      <c r="J16" s="16" t="str">
        <f>IFERROR(__xludf.DUMMYFUNCTION("""COMPUTED_VALUE"""),"brookfield.com")</f>
        <v>brookfield.com</v>
      </c>
      <c r="K16" s="17" t="str">
        <f>IFERROR(__xludf.DUMMYFUNCTION("""COMPUTED_VALUE"""),"New York, NY")</f>
        <v>New York, NY</v>
      </c>
      <c r="L16" s="16" t="str">
        <f>IFERROR(__xludf.DUMMYFUNCTION("""COMPUTED_VALUE"""),"https://img.logo.dev/brookfield.com?token=pk_FIVsDKgZTvCedVXXtt2rEg&amp;size=200&amp;retina=true")</f>
        <v>https://img.logo.dev/brookfield.com?token=pk_FIVsDKgZTvCedVXXtt2rEg&amp;size=200&amp;retina=true</v>
      </c>
      <c r="M16" s="17">
        <f>IFERROR(__xludf.DUMMYFUNCTION("""COMPUTED_VALUE"""),0.0)</f>
        <v>0</v>
      </c>
      <c r="N16" s="13" t="str">
        <f>IFERROR(__xludf.DUMMYFUNCTION("""COMPUTED_VALUE"""),"No Data")</f>
        <v>No Data</v>
      </c>
      <c r="O16" s="27" t="str">
        <f>IFERROR(__xludf.DUMMYFUNCTION("""COMPUTED_VALUE"""),"No Data")</f>
        <v>No Data</v>
      </c>
      <c r="P16" s="28" t="str">
        <f>IFERROR(__xludf.DUMMYFUNCTION("""COMPUTED_VALUE"""),"No Data")</f>
        <v>No Data</v>
      </c>
      <c r="Q16" s="13" t="str">
        <f>IFERROR(__xludf.DUMMYFUNCTION("""COMPUTED_VALUE"""),"No Data")</f>
        <v>No Data</v>
      </c>
    </row>
    <row r="17">
      <c r="A17" s="17" t="str">
        <f>IFERROR(__xludf.DUMMYFUNCTION("""COMPUTED_VALUE"""),"CAI Investments")</f>
        <v>CAI Investments</v>
      </c>
      <c r="B17" s="17">
        <f>IFERROR(__xludf.DUMMYFUNCTION("""COMPUTED_VALUE"""),2011.0)</f>
        <v>2011</v>
      </c>
      <c r="C17" s="29">
        <f>IFERROR(__xludf.DUMMYFUNCTION("""COMPUTED_VALUE"""),1.6E9)</f>
        <v>1600000000</v>
      </c>
      <c r="D17" s="17" t="str">
        <f>IFERROR(__xludf.DUMMYFUNCTION("""COMPUTED_VALUE"""),"CAI Investments is a Las Vegas vertically integrated developer-sponsor distinguished by a hospitality and Marriott development pedigree—including a 2016 Marriott best-repositioning award—that it has parlayed into a net-lease DST portfolio spanning industr"&amp;"ial, office, QSR and multifamily assets. Founded in 2011, the firm controls the development-to-management lifecycle in-house, a meaningful edge in sourcing and stabilizing the properties it packages for exchangers. Public AUM is not disclosed, though the "&amp;"firm references in excess of $150 million in projects developed.")</f>
        <v>CAI Investments is a Las Vegas vertically integrated developer-sponsor distinguished by a hospitality and Marriott development pedigree—including a 2016 Marriott best-repositioning award—that it has parlayed into a net-lease DST portfolio spanning industrial, office, QSR and multifamily assets. Founded in 2011, the firm controls the development-to-management lifecycle in-house, a meaningful edge in sourcing and stabilizing the properties it packages for exchangers. Public AUM is not disclosed, though the firm references in excess of $150 million in projects developed.</v>
      </c>
      <c r="E17" s="17" t="str">
        <f>IFERROR(__xludf.DUMMYFUNCTION("""COMPUTED_VALUE"""),"Trades on a hospitality/Marriott development pedigree, including a 2016 Marriott best-repositioning award.")</f>
        <v>Trades on a hospitality/Marriott development pedigree, including a 2016 Marriott best-repositioning award.</v>
      </c>
      <c r="F17" s="17" t="str">
        <f>IFERROR(__xludf.DUMMYFUNCTION("""COMPUTED_VALUE"""),"Fully vertically integrated developer-sponsor, controlling assets ground-up through management.")</f>
        <v>Fully vertically integrated developer-sponsor, controlling assets ground-up through management.</v>
      </c>
      <c r="G17" s="17" t="str">
        <f>IFERROR(__xludf.DUMMYFUNCTION("""COMPUTED_VALUE"""),"Offers NNN-leased DSTs spanning industrial, office, QSR and multifamily.")</f>
        <v>Offers NNN-leased DSTs spanning industrial, office, QSR and multifamily.</v>
      </c>
      <c r="H17" s="17" t="str">
        <f>IFERROR(__xludf.DUMMYFUNCTION("""COMPUTED_VALUE"""),"Las Vegas base gives sourcing depth in fast-growing Mountain West markets.")</f>
        <v>Las Vegas base gives sourcing depth in fast-growing Mountain West markets.</v>
      </c>
      <c r="I17" s="17" t="str">
        <f>IFERROR(__xludf.DUMMYFUNCTION("""COMPUTED_VALUE"""),"References $150M+ in projects developed, though current AUM is undisclosed.")</f>
        <v>References $150M+ in projects developed, though current AUM is undisclosed.</v>
      </c>
      <c r="J17" s="16" t="str">
        <f>IFERROR(__xludf.DUMMYFUNCTION("""COMPUTED_VALUE"""),"caicap.com")</f>
        <v>caicap.com</v>
      </c>
      <c r="K17" s="17" t="str">
        <f>IFERROR(__xludf.DUMMYFUNCTION("""COMPUTED_VALUE"""),"Las Vegas, NV")</f>
        <v>Las Vegas, NV</v>
      </c>
      <c r="L17" s="16" t="str">
        <f>IFERROR(__xludf.DUMMYFUNCTION("""COMPUTED_VALUE"""),"https://img.logo.dev/caicap.com?token=pk_FIVsDKgZTvCedVXXtt2rEg&amp;size=200&amp;retina=true")</f>
        <v>https://img.logo.dev/caicap.com?token=pk_FIVsDKgZTvCedVXXtt2rEg&amp;size=200&amp;retina=true</v>
      </c>
      <c r="M17" s="17">
        <f>IFERROR(__xludf.DUMMYFUNCTION("""COMPUTED_VALUE"""),0.0)</f>
        <v>0</v>
      </c>
      <c r="N17" s="13" t="str">
        <f>IFERROR(__xludf.DUMMYFUNCTION("""COMPUTED_VALUE"""),"No Data")</f>
        <v>No Data</v>
      </c>
      <c r="O17" s="27" t="str">
        <f>IFERROR(__xludf.DUMMYFUNCTION("""COMPUTED_VALUE"""),"No Data")</f>
        <v>No Data</v>
      </c>
      <c r="P17" s="28" t="str">
        <f>IFERROR(__xludf.DUMMYFUNCTION("""COMPUTED_VALUE"""),"No Data")</f>
        <v>No Data</v>
      </c>
      <c r="Q17" s="13" t="str">
        <f>IFERROR(__xludf.DUMMYFUNCTION("""COMPUTED_VALUE"""),"No Data")</f>
        <v>No Data</v>
      </c>
    </row>
    <row r="18">
      <c r="A18" s="17" t="str">
        <f>IFERROR(__xludf.DUMMYFUNCTION("""COMPUTED_VALUE"""),"Cantor Fitzgerald")</f>
        <v>Cantor Fitzgerald</v>
      </c>
      <c r="B18" s="17">
        <f>IFERROR(__xludf.DUMMYFUNCTION("""COMPUTED_VALUE"""),1945.0)</f>
        <v>1945</v>
      </c>
      <c r="C18" s="29">
        <f>IFERROR(__xludf.DUMMYFUNCTION("""COMPUTED_VALUE"""),1.3E10)</f>
        <v>13000000000</v>
      </c>
      <c r="D18" s="17" t="str">
        <f>IFERROR(__xludf.DUMMYFUNCTION("""COMPUTED_VALUE"""),"Cantor Fitzgerald reaches the 1031 market through Cantor Fitzgerald Investors, leveraging the global capital-markets and brokerage muscle of its 1945-founded parent and its Newmark affiliation to source institutional-quality DSTs and feed its non-traded C"&amp;"antor Fitzgerald Income Trust. With roughly $13 billion under management at Cantor Fitzgerald Asset Management as of early 2024 and a portfolio approaching 12 million square feet across multifamily and net-lease assets, the franchise blends investment-ban"&amp;"k sourcing with an UPREIT exit path. Its Opportunity Zone partnership with Silverstein Properties extends the platform into ground-up development, broadening the tax-advantaged menu it can offer.")</f>
        <v>Cantor Fitzgerald reaches the 1031 market through Cantor Fitzgerald Investors, leveraging the global capital-markets and brokerage muscle of its 1945-founded parent and its Newmark affiliation to source institutional-quality DSTs and feed its non-traded Cantor Fitzgerald Income Trust. With roughly $13 billion under management at Cantor Fitzgerald Asset Management as of early 2024 and a portfolio approaching 12 million square feet across multifamily and net-lease assets, the franchise blends investment-bank sourcing with an UPREIT exit path. Its Opportunity Zone partnership with Silverstein Properties extends the platform into ground-up development, broadening the tax-advantaged menu it can offer.</v>
      </c>
      <c r="E18" s="17" t="str">
        <f>IFERROR(__xludf.DUMMYFUNCTION("""COMPUTED_VALUE"""),"Leverages its 1945-founded parent's capital-markets muscle and Newmark affiliation to source institutional DSTs.")</f>
        <v>Leverages its 1945-founded parent's capital-markets muscle and Newmark affiliation to source institutional DSTs.</v>
      </c>
      <c r="F18" s="17" t="str">
        <f>IFERROR(__xludf.DUMMYFUNCTION("""COMPUTED_VALUE"""),"Operates the non-traded Cantor Fitzgerald Income Trust, offering an UPREIT exit path.")</f>
        <v>Operates the non-traded Cantor Fitzgerald Income Trust, offering an UPREIT exit path.</v>
      </c>
      <c r="G18" s="17" t="str">
        <f>IFERROR(__xludf.DUMMYFUNCTION("""COMPUTED_VALUE"""),"Manages ~$13 billion at Cantor Fitzgerald Asset Management across ~12 million square feet.")</f>
        <v>Manages ~$13 billion at Cantor Fitzgerald Asset Management across ~12 million square feet.</v>
      </c>
      <c r="H18" s="17" t="str">
        <f>IFERROR(__xludf.DUMMYFUNCTION("""COMPUTED_VALUE"""),"Spans multifamily, industrial, office, retail and life-sciences DSTs.")</f>
        <v>Spans multifamily, industrial, office, retail and life-sciences DSTs.</v>
      </c>
      <c r="I18" s="17" t="str">
        <f>IFERROR(__xludf.DUMMYFUNCTION("""COMPUTED_VALUE"""),"Extends into Opportunity Zone development via its Silverstein partnership.")</f>
        <v>Extends into Opportunity Zone development via its Silverstein partnership.</v>
      </c>
      <c r="J18" s="16" t="str">
        <f>IFERROR(__xludf.DUMMYFUNCTION("""COMPUTED_VALUE"""),"cantor.com")</f>
        <v>cantor.com</v>
      </c>
      <c r="K18" s="17" t="str">
        <f>IFERROR(__xludf.DUMMYFUNCTION("""COMPUTED_VALUE"""),"New York, NY")</f>
        <v>New York, NY</v>
      </c>
      <c r="L18" s="16" t="str">
        <f>IFERROR(__xludf.DUMMYFUNCTION("""COMPUTED_VALUE"""),"https://img.logo.dev/cantor.com?token=pk_FIVsDKgZTvCedVXXtt2rEg&amp;size=200&amp;retina=true")</f>
        <v>https://img.logo.dev/cantor.com?token=pk_FIVsDKgZTvCedVXXtt2rEg&amp;size=200&amp;retina=true</v>
      </c>
      <c r="M18" s="17">
        <f>IFERROR(__xludf.DUMMYFUNCTION("""COMPUTED_VALUE"""),9.0)</f>
        <v>9</v>
      </c>
      <c r="N18" s="13">
        <f>IFERROR(__xludf.DUMMYFUNCTION("""COMPUTED_VALUE"""),0.11666666666666664)</f>
        <v>0.1166666667</v>
      </c>
      <c r="O18" s="27">
        <f>IFERROR(__xludf.DUMMYFUNCTION("""COMPUTED_VALUE"""),1.448888888888889)</f>
        <v>1.448888889</v>
      </c>
      <c r="P18" s="28">
        <f>IFERROR(__xludf.DUMMYFUNCTION("""COMPUTED_VALUE"""),3.922222222222222)</f>
        <v>3.922222222</v>
      </c>
      <c r="Q18" s="13">
        <f>IFERROR(__xludf.DUMMYFUNCTION("""COMPUTED_VALUE"""),1.0)</f>
        <v>1</v>
      </c>
    </row>
    <row r="19">
      <c r="A19" s="17" t="str">
        <f>IFERROR(__xludf.DUMMYFUNCTION("""COMPUTED_VALUE"""),"Cantor Silverstein")</f>
        <v>Cantor Silverstein</v>
      </c>
      <c r="B19" s="17">
        <f>IFERROR(__xludf.DUMMYFUNCTION("""COMPUTED_VALUE"""),2019.0)</f>
        <v>2019</v>
      </c>
      <c r="C19" s="29">
        <f>IFERROR(__xludf.DUMMYFUNCTION("""COMPUTED_VALUE"""),1.0E9)</f>
        <v>1000000000</v>
      </c>
      <c r="D19" s="17" t="str">
        <f>IFERROR(__xludf.DUMMYFUNCTION("""COMPUTED_VALUE"""),"Cantor Silverstein Opportunity Zone Trust is a joint venture between Cantor Fitzgerald and Silverstein Properties, structured as a non-traded Opportunity Zone REIT focused on ground-up development in qualified zones. It pairs Silverstein's marquee develop"&amp;"ment expertise with Cantor's capital-markets distribution—a combination that gives the vehicle unusual credibility for a QOZ program—though current AUM is not publicly disclosed. The structure suits investors seeking capital-gains deferral and step-up ben"&amp;"efits through institutional development rather than stabilized cash flow.")</f>
        <v>Cantor Silverstein Opportunity Zone Trust is a joint venture between Cantor Fitzgerald and Silverstein Properties, structured as a non-traded Opportunity Zone REIT focused on ground-up development in qualified zones. It pairs Silverstein's marquee development expertise with Cantor's capital-markets distribution—a combination that gives the vehicle unusual credibility for a QOZ program—though current AUM is not publicly disclosed. The structure suits investors seeking capital-gains deferral and step-up benefits through institutional development rather than stabilized cash flow.</v>
      </c>
      <c r="E19" s="17" t="str">
        <f>IFERROR(__xludf.DUMMYFUNCTION("""COMPUTED_VALUE"""),"Joint venture of Cantor Fitzgerald and Silverstein Properties, pairing distribution with marquee development.")</f>
        <v>Joint venture of Cantor Fitzgerald and Silverstein Properties, pairing distribution with marquee development.</v>
      </c>
      <c r="F19" s="17" t="str">
        <f>IFERROR(__xludf.DUMMYFUNCTION("""COMPUTED_VALUE"""),"Structured as a non-traded Opportunity Zone REIT delivering deferral and step-up benefits via development.")</f>
        <v>Structured as a non-traded Opportunity Zone REIT delivering deferral and step-up benefits via development.</v>
      </c>
      <c r="G19" s="17" t="str">
        <f>IFERROR(__xludf.DUMMYFUNCTION("""COMPUTED_VALUE"""),"Draws on Silverstein's institutional ground-up capability, rare credibility for a QOZ program.")</f>
        <v>Draws on Silverstein's institutional ground-up capability, rare credibility for a QOZ program.</v>
      </c>
      <c r="H19" s="17" t="str">
        <f>IFERROR(__xludf.DUMMYFUNCTION("""COMPUTED_VALUE"""),"Has raised roughly $1 billion across its CSOZ Trust and successor funds.")</f>
        <v>Has raised roughly $1 billion across its CSOZ Trust and successor funds.</v>
      </c>
      <c r="I19" s="17" t="str">
        <f>IFERROR(__xludf.DUMMYFUNCTION("""COMPUTED_VALUE"""),"Focuses on multifamily/mixed-use development in qualified zones rather than stabilized cash flow.")</f>
        <v>Focuses on multifamily/mixed-use development in qualified zones rather than stabilized cash flow.</v>
      </c>
      <c r="J19" s="16" t="str">
        <f>IFERROR(__xludf.DUMMYFUNCTION("""COMPUTED_VALUE"""),"cantorsilverstein.com")</f>
        <v>cantorsilverstein.com</v>
      </c>
      <c r="K19" s="17" t="str">
        <f>IFERROR(__xludf.DUMMYFUNCTION("""COMPUTED_VALUE"""),"New York, NY")</f>
        <v>New York, NY</v>
      </c>
      <c r="L19" s="16" t="str">
        <f>IFERROR(__xludf.DUMMYFUNCTION("""COMPUTED_VALUE"""),"https://img.logo.dev/cantorsilverstein.com?token=pk_FIVsDKgZTvCedVXXtt2rEg&amp;size=200&amp;retina=true")</f>
        <v>https://img.logo.dev/cantorsilverstein.com?token=pk_FIVsDKgZTvCedVXXtt2rEg&amp;size=200&amp;retina=true</v>
      </c>
      <c r="M19" s="17">
        <f>IFERROR(__xludf.DUMMYFUNCTION("""COMPUTED_VALUE"""),0.0)</f>
        <v>0</v>
      </c>
      <c r="N19" s="13" t="str">
        <f>IFERROR(__xludf.DUMMYFUNCTION("""COMPUTED_VALUE"""),"No Data")</f>
        <v>No Data</v>
      </c>
      <c r="O19" s="27" t="str">
        <f>IFERROR(__xludf.DUMMYFUNCTION("""COMPUTED_VALUE"""),"No Data")</f>
        <v>No Data</v>
      </c>
      <c r="P19" s="28" t="str">
        <f>IFERROR(__xludf.DUMMYFUNCTION("""COMPUTED_VALUE"""),"No Data")</f>
        <v>No Data</v>
      </c>
      <c r="Q19" s="13" t="str">
        <f>IFERROR(__xludf.DUMMYFUNCTION("""COMPUTED_VALUE"""),"No Data")</f>
        <v>No Data</v>
      </c>
    </row>
    <row r="20">
      <c r="A20" s="17" t="str">
        <f>IFERROR(__xludf.DUMMYFUNCTION("""COMPUTED_VALUE"""),"Capital Square")</f>
        <v>Capital Square</v>
      </c>
      <c r="B20" s="17">
        <f>IFERROR(__xludf.DUMMYFUNCTION("""COMPUTED_VALUE"""),2012.0)</f>
        <v>2012</v>
      </c>
      <c r="C20" s="29">
        <f>IFERROR(__xludf.DUMMYFUNCTION("""COMPUTED_VALUE"""),6.0E9)</f>
        <v>6000000000</v>
      </c>
      <c r="D20" s="17" t="str">
        <f>IFERROR(__xludf.DUMMYFUNCTION("""COMPUTED_VALUE"""),"Capital Square has evolved from a pure 1031/DST sponsor into one of the more vertically integrated platforms in the securitized exchange market, with over $6 billion in AUM and more than $7.5 billion in transaction volume since its 2012 founding by Louis "&amp;"Rogers. Beyond sponsoring DSTs across 175-plus assets for some 6,500 investors, the firm develops its own multifamily product, manages roughly 13,000 apartments through Capital Square Living, and diversifies into Qualified Opportunity Zone funds and a REI"&amp;"T. That control of the full lifecycle—and full-cycle results such as a cited 159% return of equity on a completed DST—make it a benchmark name for diligence-minded exchangers.")</f>
        <v>Capital Square has evolved from a pure 1031/DST sponsor into one of the more vertically integrated platforms in the securitized exchange market, with over $6 billion in AUM and more than $7.5 billion in transaction volume since its 2012 founding by Louis Rogers. Beyond sponsoring DSTs across 175-plus assets for some 6,500 investors, the firm develops its own multifamily product, manages roughly 13,000 apartments through Capital Square Living, and diversifies into Qualified Opportunity Zone funds and a REIT. That control of the full lifecycle—and full-cycle results such as a cited 159% return of equity on a completed DST—make it a benchmark name for diligence-minded exchangers.</v>
      </c>
      <c r="E20" s="17" t="str">
        <f>IFERROR(__xludf.DUMMYFUNCTION("""COMPUTED_VALUE"""),"Evolved from a pure DST sponsor into a vertically integrated developer, $7.5B+ transaction volume since 2012 across 175+ assets and 6,500+ investors.")</f>
        <v>Evolved from a pure DST sponsor into a vertically integrated developer, $7.5B+ transaction volume since 2012 across 175+ assets and 6,500+ investors.</v>
      </c>
      <c r="F20" s="17" t="str">
        <f>IFERROR(__xludf.DUMMYFUNCTION("""COMPUTED_VALUE"""),"Develops its own multifamily product (2,000+ units, ~$800M dev value) rather than buying solely at market.")</f>
        <v>Develops its own multifamily product (2,000+ units, ~$800M dev value) rather than buying solely at market.</v>
      </c>
      <c r="G20" s="17" t="str">
        <f>IFERROR(__xludf.DUMMYFUNCTION("""COMPUTED_VALUE"""),"Operates Capital Square Living, managing 13,000+ apartments in-house.")</f>
        <v>Operates Capital Square Living, managing 13,000+ apartments in-house.</v>
      </c>
      <c r="H20" s="17" t="str">
        <f>IFERROR(__xludf.DUMMYFUNCTION("""COMPUTED_VALUE"""),"Diversifies beyond DSTs into QOZ funds and a REIT.")</f>
        <v>Diversifies beyond DSTs into QOZ funds and a REIT.</v>
      </c>
      <c r="I20" s="17" t="str">
        <f>IFERROR(__xludf.DUMMYFUNCTION("""COMPUTED_VALUE"""),"Has produced standout full-cycle results, including a cited 159% return of equity on a completed DST.")</f>
        <v>Has produced standout full-cycle results, including a cited 159% return of equity on a completed DST.</v>
      </c>
      <c r="J20" s="16" t="str">
        <f>IFERROR(__xludf.DUMMYFUNCTION("""COMPUTED_VALUE"""),"capitalsq.com")</f>
        <v>capitalsq.com</v>
      </c>
      <c r="K20" s="17" t="str">
        <f>IFERROR(__xludf.DUMMYFUNCTION("""COMPUTED_VALUE"""),"Richmond, VA")</f>
        <v>Richmond, VA</v>
      </c>
      <c r="L20" s="16" t="str">
        <f>IFERROR(__xludf.DUMMYFUNCTION("""COMPUTED_VALUE"""),"https://img.logo.dev/capitalsq.com?token=pk_FIVsDKgZTvCedVXXtt2rEg&amp;size=200&amp;retina=true")</f>
        <v>https://img.logo.dev/capitalsq.com?token=pk_FIVsDKgZTvCedVXXtt2rEg&amp;size=200&amp;retina=true</v>
      </c>
      <c r="M20" s="17">
        <f>IFERROR(__xludf.DUMMYFUNCTION("""COMPUTED_VALUE"""),19.0)</f>
        <v>19</v>
      </c>
      <c r="N20" s="13">
        <f>IFERROR(__xludf.DUMMYFUNCTION("""COMPUTED_VALUE"""),0.15199473684210527)</f>
        <v>0.1519947368</v>
      </c>
      <c r="O20" s="27">
        <f>IFERROR(__xludf.DUMMYFUNCTION("""COMPUTED_VALUE"""),1.833157894736842)</f>
        <v>1.833157895</v>
      </c>
      <c r="P20" s="28">
        <f>IFERROR(__xludf.DUMMYFUNCTION("""COMPUTED_VALUE"""),4.810526315789473)</f>
        <v>4.810526316</v>
      </c>
      <c r="Q20" s="13">
        <f>IFERROR(__xludf.DUMMYFUNCTION("""COMPUTED_VALUE"""),1.0)</f>
        <v>1</v>
      </c>
    </row>
    <row r="21">
      <c r="A21" s="17" t="str">
        <f>IFERROR(__xludf.DUMMYFUNCTION("""COMPUTED_VALUE"""),"Carter Exchange")</f>
        <v>Carter Exchange</v>
      </c>
      <c r="B21" s="17">
        <f>IFERROR(__xludf.DUMMYFUNCTION("""COMPUTED_VALUE"""),2017.0)</f>
        <v>2017</v>
      </c>
      <c r="C21" s="29">
        <f>IFERROR(__xludf.DUMMYFUNCTION("""COMPUTED_VALUE"""),3.0E9)</f>
        <v>3000000000</v>
      </c>
      <c r="D21" s="17" t="str">
        <f>IFERROR(__xludf.DUMMYFUNCTION("""COMPUTED_VALUE"""),"Carter operates as a family of affiliated companies—Carter Multifamily, Carter Exchange Fund Management and the data-center-focused Aphorio Carter—managing roughly $3 billion and drawing leadership directly from the Carter Validus mission-critical REITs. "&amp;"That heritage gives the platform genuine depth in healthcare and critical-infrastructure real estate, including data centers, alongside a Class A multifamily DST business launched in 2019. With more than $50 billion in cumulative CRE volume across its lea"&amp;"dership team and captive property management, Carter pairs sector specialization with operational control, positioning it as a credible mid-market sponsor in defensible asset classes.")</f>
        <v>Carter operates as a family of affiliated companies—Carter Multifamily, Carter Exchange Fund Management and the data-center-focused Aphorio Carter—managing roughly $3 billion and drawing leadership directly from the Carter Validus mission-critical REITs. That heritage gives the platform genuine depth in healthcare and critical-infrastructure real estate, including data centers, alongside a Class A multifamily DST business launched in 2019. With more than $50 billion in cumulative CRE volume across its leadership team and captive property management, Carter pairs sector specialization with operational control, positioning it as a credible mid-market sponsor in defensible asset classes.</v>
      </c>
      <c r="E21" s="17" t="str">
        <f>IFERROR(__xludf.DUMMYFUNCTION("""COMPUTED_VALUE"""),"Specializes in data centers/mission-critical infrastructure through its Aphorio Carter arm.")</f>
        <v>Specializes in data centers/mission-critical infrastructure through its Aphorio Carter arm.</v>
      </c>
      <c r="F21" s="17" t="str">
        <f>IFERROR(__xludf.DUMMYFUNCTION("""COMPUTED_VALUE"""),"Operates a Class A multifamily DST platform alongside its infrastructure focus.")</f>
        <v>Operates a Class A multifamily DST platform alongside its infrastructure focus.</v>
      </c>
      <c r="G21" s="17" t="str">
        <f>IFERROR(__xludf.DUMMYFUNCTION("""COMPUTED_VALUE"""),"Draws leadership from the Carter Validus mission-critical REITs ($50B+ cumulative CRE volume).")</f>
        <v>Draws leadership from the Carter Validus mission-critical REITs ($50B+ cumulative CRE volume).</v>
      </c>
      <c r="H21" s="17" t="str">
        <f>IFERROR(__xludf.DUMMYFUNCTION("""COMPUTED_VALUE"""),"Runs captive property management across the Carter Funds family.")</f>
        <v>Runs captive property management across the Carter Funds family.</v>
      </c>
      <c r="I21" s="17" t="str">
        <f>IFERROR(__xludf.DUMMYFUNCTION("""COMPUTED_VALUE"""),"Manages roughly $3 billion across affiliated companies.")</f>
        <v>Manages roughly $3 billion across affiliated companies.</v>
      </c>
      <c r="J21" s="16" t="str">
        <f>IFERROR(__xludf.DUMMYFUNCTION("""COMPUTED_VALUE"""),"carterfunds.com")</f>
        <v>carterfunds.com</v>
      </c>
      <c r="K21" s="17" t="str">
        <f>IFERROR(__xludf.DUMMYFUNCTION("""COMPUTED_VALUE"""),"Tampa, FL")</f>
        <v>Tampa, FL</v>
      </c>
      <c r="L21" s="16" t="str">
        <f>IFERROR(__xludf.DUMMYFUNCTION("""COMPUTED_VALUE"""),"https://img.logo.dev/carterfunds.com?token=pk_FIVsDKgZTvCedVXXtt2rEg&amp;size=200&amp;retina=true")</f>
        <v>https://img.logo.dev/carterfunds.com?token=pk_FIVsDKgZTvCedVXXtt2rEg&amp;size=200&amp;retina=true</v>
      </c>
      <c r="M21" s="17">
        <f>IFERROR(__xludf.DUMMYFUNCTION("""COMPUTED_VALUE"""),3.0)</f>
        <v>3</v>
      </c>
      <c r="N21" s="13">
        <f>IFERROR(__xludf.DUMMYFUNCTION("""COMPUTED_VALUE"""),0.20070000000000002)</f>
        <v>0.2007</v>
      </c>
      <c r="O21" s="27">
        <f>IFERROR(__xludf.DUMMYFUNCTION("""COMPUTED_VALUE"""),1.7533333333333332)</f>
        <v>1.753333333</v>
      </c>
      <c r="P21" s="28">
        <f>IFERROR(__xludf.DUMMYFUNCTION("""COMPUTED_VALUE"""),3.7900000000000005)</f>
        <v>3.79</v>
      </c>
      <c r="Q21" s="13">
        <f>IFERROR(__xludf.DUMMYFUNCTION("""COMPUTED_VALUE"""),1.0)</f>
        <v>1</v>
      </c>
    </row>
    <row r="22">
      <c r="A22" s="17" t="str">
        <f>IFERROR(__xludf.DUMMYFUNCTION("""COMPUTED_VALUE"""),"Cliffwater")</f>
        <v>Cliffwater</v>
      </c>
      <c r="B22" s="17">
        <f>IFERROR(__xludf.DUMMYFUNCTION("""COMPUTED_VALUE"""),2004.0)</f>
        <v>2004</v>
      </c>
      <c r="C22" s="29">
        <f>IFERROR(__xludf.DUMMYFUNCTION("""COMPUTED_VALUE"""),1.2E11)</f>
        <v>120000000000</v>
      </c>
      <c r="D22" s="17" t="str">
        <f>IFERROR(__xludf.DUMMYFUNCTION("""COMPUTED_VALUE"""),"Cliffwater is an alternatives research and advisory firm and the manager of large interval funds such as the Cliffwater Corporate Lending and Enhanced Lending funds, rather than a property sponsor in the conventional DST sense. Its franchise is built on i"&amp;"nstitutional-grade private-credit research and RIA-channel distribution, and it appears in the alts ecosystem as an allocator and fund manager. Investors should recognize that it originates no real estate DSTs and that its roughly $120 billion of advisory"&amp;" and fund assets reflects a credit, not a property-sponsorship, business.")</f>
        <v>Cliffwater is an alternatives research and advisory firm and the manager of large interval funds such as the Cliffwater Corporate Lending and Enhanced Lending funds, rather than a property sponsor in the conventional DST sense. Its franchise is built on institutional-grade private-credit research and RIA-channel distribution, and it appears in the alts ecosystem as an allocator and fund manager. Investors should recognize that it originates no real estate DSTs and that its roughly $120 billion of advisory and fund assets reflects a credit, not a property-sponsorship, business.</v>
      </c>
      <c r="E22" s="17" t="str">
        <f>IFERROR(__xludf.DUMMYFUNCTION("""COMPUTED_VALUE"""),"Pioneered the institutional interval-fund structure with its flagship Corporate Lending Fund.")</f>
        <v>Pioneered the institutional interval-fund structure with its flagship Corporate Lending Fund.</v>
      </c>
      <c r="F22" s="17" t="str">
        <f>IFERROR(__xludf.DUMMYFUNCTION("""COMPUTED_VALUE"""),"Specializes in private credit, an adjacent rather than core real estate discipline.")</f>
        <v>Specializes in private credit, an adjacent rather than core real estate discipline.</v>
      </c>
      <c r="G22" s="17" t="str">
        <f>IFERROR(__xludf.DUMMYFUNCTION("""COMPUTED_VALUE"""),"Built on a heritage of institutional alternatives research and manager selection.")</f>
        <v>Built on a heritage of institutional alternatives research and manager selection.</v>
      </c>
      <c r="H22" s="17" t="str">
        <f>IFERROR(__xludf.DUMMYFUNCTION("""COMPUTED_VALUE"""),"Originates no real estate DSTs; its ~$120 billion reflects credit and advisory assets.")</f>
        <v>Originates no real estate DSTs; its ~$120 billion reflects credit and advisory assets.</v>
      </c>
      <c r="I22" s="17" t="str">
        <f>IFERROR(__xludf.DUMMYFUNCTION("""COMPUTED_VALUE"""),"Distributes primarily through the RIA channel.")</f>
        <v>Distributes primarily through the RIA channel.</v>
      </c>
      <c r="J22" s="16" t="str">
        <f>IFERROR(__xludf.DUMMYFUNCTION("""COMPUTED_VALUE"""),"cliffwater.com")</f>
        <v>cliffwater.com</v>
      </c>
      <c r="K22" s="17" t="str">
        <f>IFERROR(__xludf.DUMMYFUNCTION("""COMPUTED_VALUE"""),"Marina del Rey, CA")</f>
        <v>Marina del Rey, CA</v>
      </c>
      <c r="L22" s="16" t="str">
        <f>IFERROR(__xludf.DUMMYFUNCTION("""COMPUTED_VALUE"""),"https://img.logo.dev/cliffwater.com?token=pk_FIVsDKgZTvCedVXXtt2rEg&amp;size=200&amp;retina=true")</f>
        <v>https://img.logo.dev/cliffwater.com?token=pk_FIVsDKgZTvCedVXXtt2rEg&amp;size=200&amp;retina=true</v>
      </c>
      <c r="M22" s="17">
        <f>IFERROR(__xludf.DUMMYFUNCTION("""COMPUTED_VALUE"""),0.0)</f>
        <v>0</v>
      </c>
      <c r="N22" s="13" t="str">
        <f>IFERROR(__xludf.DUMMYFUNCTION("""COMPUTED_VALUE"""),"No Data")</f>
        <v>No Data</v>
      </c>
      <c r="O22" s="27" t="str">
        <f>IFERROR(__xludf.DUMMYFUNCTION("""COMPUTED_VALUE"""),"No Data")</f>
        <v>No Data</v>
      </c>
      <c r="P22" s="28" t="str">
        <f>IFERROR(__xludf.DUMMYFUNCTION("""COMPUTED_VALUE"""),"No Data")</f>
        <v>No Data</v>
      </c>
      <c r="Q22" s="13" t="str">
        <f>IFERROR(__xludf.DUMMYFUNCTION("""COMPUTED_VALUE"""),"No Data")</f>
        <v>No Data</v>
      </c>
    </row>
    <row r="23">
      <c r="A23" s="17" t="str">
        <f>IFERROR(__xludf.DUMMYFUNCTION("""COMPUTED_VALUE"""),"Core")</f>
        <v>Core</v>
      </c>
      <c r="B23" s="17">
        <f>IFERROR(__xludf.DUMMYFUNCTION("""COMPUTED_VALUE"""),2005.0)</f>
        <v>2005</v>
      </c>
      <c r="C23" s="29">
        <f>IFERROR(__xludf.DUMMYFUNCTION("""COMPUTED_VALUE"""),6.0E8)</f>
        <v>600000000</v>
      </c>
      <c r="D23" s="17" t="str">
        <f>IFERROR(__xludf.DUMMYFUNCTION("""COMPUTED_VALUE"""),"CORE Realty Holdings Management and affiliates own and professionally manage more than 10.6 million square feet of commercial and multifamily real estate (4,500-plus units) across roughly 12 states from Newport Beach, CA. The firm pioneered the Co-Ownersh"&amp;"ip of Real Estate (CORE) tenant-in-common model as an alternative to the DST structure, operating with an owner-operator mindset across multifamily, office, industrial and retail. It acts as both principal owner and realty advisor; current AUM is not publ"&amp;"icly disclosed.")</f>
        <v>CORE Realty Holdings Management and affiliates own and professionally manage more than 10.6 million square feet of commercial and multifamily real estate (4,500-plus units) across roughly 12 states from Newport Beach, CA. The firm pioneered the Co-Ownership of Real Estate (CORE) tenant-in-common model as an alternative to the DST structure, operating with an owner-operator mindset across multifamily, office, industrial and retail. It acts as both principal owner and realty advisor; current AUM is not publicly disclosed.</v>
      </c>
      <c r="E23" s="17" t="str">
        <f>IFERROR(__xludf.DUMMYFUNCTION("""COMPUTED_VALUE"""),"Pioneered the Co-Ownership of Real Estate (CORE) tenant-in-common structure as a DST alternative for 1031 exchangers.")</f>
        <v>Pioneered the Co-Ownership of Real Estate (CORE) tenant-in-common structure as a DST alternative for 1031 exchangers.</v>
      </c>
      <c r="F23" s="17" t="str">
        <f>IFERROR(__xludf.DUMMYFUNCTION("""COMPUTED_VALUE"""),"Owns and manages 10.6M-plus square feet of commercial and multifamily real estate across roughly 12 states.")</f>
        <v>Owns and manages 10.6M-plus square feet of commercial and multifamily real estate across roughly 12 states.</v>
      </c>
      <c r="G23" s="17" t="str">
        <f>IFERROR(__xludf.DUMMYFUNCTION("""COMPUTED_VALUE"""),"Operates with an owner-operator mindset through 70-plus real estate professionals.")</f>
        <v>Operates with an owner-operator mindset through 70-plus real estate professionals.</v>
      </c>
      <c r="H23" s="17" t="str">
        <f>IFERROR(__xludf.DUMMYFUNCTION("""COMPUTED_VALUE"""),"Spans multifamily, office, industrial and retail in a diversified in-house management platform.")</f>
        <v>Spans multifamily, office, industrial and retail in a diversified in-house management platform.</v>
      </c>
      <c r="I23" s="17" t="str">
        <f>IFERROR(__xludf.DUMMYFUNCTION("""COMPUTED_VALUE"""),"Acts as both principal owner and realty advisor; current AUM is not publicly disclosed.")</f>
        <v>Acts as both principal owner and realty advisor; current AUM is not publicly disclosed.</v>
      </c>
      <c r="J23" s="16" t="str">
        <f>IFERROR(__xludf.DUMMYFUNCTION("""COMPUTED_VALUE"""),"crhmi.com")</f>
        <v>crhmi.com</v>
      </c>
      <c r="K23" s="17" t="str">
        <f>IFERROR(__xludf.DUMMYFUNCTION("""COMPUTED_VALUE"""),"Newport Beach, CA")</f>
        <v>Newport Beach, CA</v>
      </c>
      <c r="L23" s="16" t="str">
        <f>IFERROR(__xludf.DUMMYFUNCTION("""COMPUTED_VALUE"""),"https://img.logo.dev/crhmi.com?token=pk_FIVsDKgZTvCedVXXtt2rEg&amp;size=200&amp;retina=true")</f>
        <v>https://img.logo.dev/crhmi.com?token=pk_FIVsDKgZTvCedVXXtt2rEg&amp;size=200&amp;retina=true</v>
      </c>
      <c r="M23" s="17">
        <f>IFERROR(__xludf.DUMMYFUNCTION("""COMPUTED_VALUE"""),0.0)</f>
        <v>0</v>
      </c>
      <c r="N23" s="13" t="str">
        <f>IFERROR(__xludf.DUMMYFUNCTION("""COMPUTED_VALUE"""),"No Data")</f>
        <v>No Data</v>
      </c>
      <c r="O23" s="27" t="str">
        <f>IFERROR(__xludf.DUMMYFUNCTION("""COMPUTED_VALUE"""),"No Data")</f>
        <v>No Data</v>
      </c>
      <c r="P23" s="28" t="str">
        <f>IFERROR(__xludf.DUMMYFUNCTION("""COMPUTED_VALUE"""),"No Data")</f>
        <v>No Data</v>
      </c>
      <c r="Q23" s="13" t="str">
        <f>IFERROR(__xludf.DUMMYFUNCTION("""COMPUTED_VALUE"""),"No Data")</f>
        <v>No Data</v>
      </c>
    </row>
    <row r="24">
      <c r="A24" s="17" t="str">
        <f>IFERROR(__xludf.DUMMYFUNCTION("""COMPUTED_VALUE"""),"Core Pacific")</f>
        <v>Core Pacific</v>
      </c>
      <c r="B24" s="17">
        <f>IFERROR(__xludf.DUMMYFUNCTION("""COMPUTED_VALUE"""),2005.0)</f>
        <v>2005</v>
      </c>
      <c r="C24" s="29">
        <f>IFERROR(__xludf.DUMMYFUNCTION("""COMPUTED_VALUE"""),6.0E8)</f>
        <v>600000000</v>
      </c>
      <c r="D24" s="17" t="str">
        <f>IFERROR(__xludf.DUMMYFUNCTION("""COMPUTED_VALUE"""),"CORE Pacific Advisors is the securitized-1031 sponsorship affiliate of CORE Realty Holdings Management, based in Newport Beach, CA, focused on multifamily DSTs and tenant-in-common offerings. Named offerings include CPA Barrington Apartments and the Denve"&amp;"r-market Arbour Commons in Westminster, CO. It draws on decades of CORE-team experience buying, managing and selling commercial real estate; standalone AUM is not separately disclosed.")</f>
        <v>CORE Pacific Advisors is the securitized-1031 sponsorship affiliate of CORE Realty Holdings Management, based in Newport Beach, CA, focused on multifamily DSTs and tenant-in-common offerings. Named offerings include CPA Barrington Apartments and the Denver-market Arbour Commons in Westminster, CO. It draws on decades of CORE-team experience buying, managing and selling commercial real estate; standalone AUM is not separately disclosed.</v>
      </c>
      <c r="E24" s="17" t="str">
        <f>IFERROR(__xludf.DUMMYFUNCTION("""COMPUTED_VALUE"""),"Securitized-1031 sponsorship affiliate of CORE Realty Holdings, inheriting its owner-operator infrastructure.")</f>
        <v>Securitized-1031 sponsorship affiliate of CORE Realty Holdings, inheriting its owner-operator infrastructure.</v>
      </c>
      <c r="F24" s="17" t="str">
        <f>IFERROR(__xludf.DUMMYFUNCTION("""COMPUTED_VALUE"""),"Focuses on multifamily DSTs and TICs, including CPA Barrington Apartments and the Denver-market Arbour Commons.")</f>
        <v>Focuses on multifamily DSTs and TICs, including CPA Barrington Apartments and the Denver-market Arbour Commons.</v>
      </c>
      <c r="G24" s="17" t="str">
        <f>IFERROR(__xludf.DUMMYFUNCTION("""COMPUTED_VALUE"""),"Draws on decades of CORE-team experience across acquisition, management and disposition.")</f>
        <v>Draws on decades of CORE-team experience across acquisition, management and disposition.</v>
      </c>
      <c r="H24" s="17" t="str">
        <f>IFERROR(__xludf.DUMMYFUNCTION("""COMPUTED_VALUE"""),"Targets institutional-quality assets positioned to outperform while managing downside risk.")</f>
        <v>Targets institutional-quality assets positioned to outperform while managing downside risk.</v>
      </c>
      <c r="I24" s="17" t="str">
        <f>IFERROR(__xludf.DUMMYFUNCTION("""COMPUTED_VALUE"""),"Standalone AUM is not separately disclosed; assess within the CORE Realty platform.")</f>
        <v>Standalone AUM is not separately disclosed; assess within the CORE Realty platform.</v>
      </c>
      <c r="J24" s="16" t="str">
        <f>IFERROR(__xludf.DUMMYFUNCTION("""COMPUTED_VALUE"""),"corepacific.com")</f>
        <v>corepacific.com</v>
      </c>
      <c r="K24" s="17" t="str">
        <f>IFERROR(__xludf.DUMMYFUNCTION("""COMPUTED_VALUE"""),"Newport Beach, CA")</f>
        <v>Newport Beach, CA</v>
      </c>
      <c r="L24" s="16" t="str">
        <f>IFERROR(__xludf.DUMMYFUNCTION("""COMPUTED_VALUE"""),"https://img.logo.dev/corepacific.com?token=pk_FIVsDKgZTvCedVXXtt2rEg&amp;size=200&amp;retina=true")</f>
        <v>https://img.logo.dev/corepacific.com?token=pk_FIVsDKgZTvCedVXXtt2rEg&amp;size=200&amp;retina=true</v>
      </c>
      <c r="M24" s="17">
        <f>IFERROR(__xludf.DUMMYFUNCTION("""COMPUTED_VALUE"""),0.0)</f>
        <v>0</v>
      </c>
      <c r="N24" s="13" t="str">
        <f>IFERROR(__xludf.DUMMYFUNCTION("""COMPUTED_VALUE"""),"No Data")</f>
        <v>No Data</v>
      </c>
      <c r="O24" s="27" t="str">
        <f>IFERROR(__xludf.DUMMYFUNCTION("""COMPUTED_VALUE"""),"No Data")</f>
        <v>No Data</v>
      </c>
      <c r="P24" s="28" t="str">
        <f>IFERROR(__xludf.DUMMYFUNCTION("""COMPUTED_VALUE"""),"No Data")</f>
        <v>No Data</v>
      </c>
      <c r="Q24" s="13" t="str">
        <f>IFERROR(__xludf.DUMMYFUNCTION("""COMPUTED_VALUE"""),"No Data")</f>
        <v>No Data</v>
      </c>
    </row>
    <row r="25">
      <c r="A25" s="17" t="str">
        <f>IFERROR(__xludf.DUMMYFUNCTION("""COMPUTED_VALUE"""),"Cove Capital")</f>
        <v>Cove Capital</v>
      </c>
      <c r="B25" s="17">
        <f>IFERROR(__xludf.DUMMYFUNCTION("""COMPUTED_VALUE"""),2012.0)</f>
        <v>2012</v>
      </c>
      <c r="C25" s="29">
        <f>IFERROR(__xludf.DUMMYFUNCTION("""COMPUTED_VALUE"""),9.58E8)</f>
        <v>958000000</v>
      </c>
      <c r="D25" s="17" t="str">
        <f>IFERROR(__xludf.DUMMYFUNCTION("""COMPUTED_VALUE"""),"Cove Capital Investments has built a distinctive franchise on a single contrarian premise: debt-free DSTs. Founded in 2012 by Dwight Kay and Chay Lapin, the firm structures all-cash offerings that carry no mortgage risk—eliminating the lender-driven loss "&amp;"scenarios that have tripped up leveraged DSTs in downturns—across net-lease, industrial and multifamily assets. With more than $958 million in sponsored transactions across roughly 129 assets, principal co-investment in every offering, and optional (rathe"&amp;"r than mandatory) 721 UPREIT exits, Cove markets capital preservation and alignment to a largely repeat base of 2,600-plus investors. The zero-leverage model caps upside but is precisely the point for its risk-averse clientele.")</f>
        <v>Cove Capital Investments has built a distinctive franchise on a single contrarian premise: debt-free DSTs. Founded in 2012 by Dwight Kay and Chay Lapin, the firm structures all-cash offerings that carry no mortgage risk—eliminating the lender-driven loss scenarios that have tripped up leveraged DSTs in downturns—across net-lease, industrial and multifamily assets. With more than $958 million in sponsored transactions across roughly 129 assets, principal co-investment in every offering, and optional (rather than mandatory) 721 UPREIT exits, Cove markets capital preservation and alignment to a largely repeat base of 2,600-plus investors. The zero-leverage model caps upside but is precisely the point for its risk-averse clientele.</v>
      </c>
      <c r="E25" s="17" t="str">
        <f>IFERROR(__xludf.DUMMYFUNCTION("""COMPUTED_VALUE"""),"Built its entire franchise on debt-free, all-cash DSTs, eliminating lender-driven foreclosure scenarios.")</f>
        <v>Built its entire franchise on debt-free, all-cash DSTs, eliminating lender-driven foreclosure scenarios.</v>
      </c>
      <c r="F25" s="17" t="str">
        <f>IFERROR(__xludf.DUMMYFUNCTION("""COMPUTED_VALUE"""),"Principals Dwight Kay and Chay Lapin co-invest in every offering, a hard alignment signal.")</f>
        <v>Principals Dwight Kay and Chay Lapin co-invest in every offering, a hard alignment signal.</v>
      </c>
      <c r="G25" s="17" t="str">
        <f>IFERROR(__xludf.DUMMYFUNCTION("""COMPUTED_VALUE"""),"Offers optional, non-mandatory 721 UPREIT exits, preserving investor flexibility.")</f>
        <v>Offers optional, non-mandatory 721 UPREIT exits, preserving investor flexibility.</v>
      </c>
      <c r="H25" s="17" t="str">
        <f>IFERROR(__xludf.DUMMYFUNCTION("""COMPUTED_VALUE"""),"Serves a largely repeat base of 2,600+ investors.")</f>
        <v>Serves a largely repeat base of 2,600+ investors.</v>
      </c>
      <c r="I25" s="17" t="str">
        <f>IFERROR(__xludf.DUMMYFUNCTION("""COMPUTED_VALUE"""),"Has sponsored $958M+ in transactions across ~129 net-lease, industrial and multifamily assets.")</f>
        <v>Has sponsored $958M+ in transactions across ~129 net-lease, industrial and multifamily assets.</v>
      </c>
      <c r="J25" s="16" t="str">
        <f>IFERROR(__xludf.DUMMYFUNCTION("""COMPUTED_VALUE"""),"covecapitalinvestments.com")</f>
        <v>covecapitalinvestments.com</v>
      </c>
      <c r="K25" s="17" t="str">
        <f>IFERROR(__xludf.DUMMYFUNCTION("""COMPUTED_VALUE"""),"Torrance, CA")</f>
        <v>Torrance, CA</v>
      </c>
      <c r="L25" s="16" t="str">
        <f>IFERROR(__xludf.DUMMYFUNCTION("""COMPUTED_VALUE"""),"https://img.logo.dev/covecapitalinvestments.com?token=pk_FIVsDKgZTvCedVXXtt2rEg&amp;size=200&amp;retina=true")</f>
        <v>https://img.logo.dev/covecapitalinvestments.com?token=pk_FIVsDKgZTvCedVXXtt2rEg&amp;size=200&amp;retina=true</v>
      </c>
      <c r="M25" s="17">
        <f>IFERROR(__xludf.DUMMYFUNCTION("""COMPUTED_VALUE"""),0.0)</f>
        <v>0</v>
      </c>
      <c r="N25" s="13" t="str">
        <f>IFERROR(__xludf.DUMMYFUNCTION("""COMPUTED_VALUE"""),"No Data")</f>
        <v>No Data</v>
      </c>
      <c r="O25" s="27" t="str">
        <f>IFERROR(__xludf.DUMMYFUNCTION("""COMPUTED_VALUE"""),"No Data")</f>
        <v>No Data</v>
      </c>
      <c r="P25" s="28" t="str">
        <f>IFERROR(__xludf.DUMMYFUNCTION("""COMPUTED_VALUE"""),"No Data")</f>
        <v>No Data</v>
      </c>
      <c r="Q25" s="13" t="str">
        <f>IFERROR(__xludf.DUMMYFUNCTION("""COMPUTED_VALUE"""),"No Data")</f>
        <v>No Data</v>
      </c>
    </row>
    <row r="26">
      <c r="A26" s="17" t="str">
        <f>IFERROR(__xludf.DUMMYFUNCTION("""COMPUTED_VALUE"""),"Croatan Investments")</f>
        <v>Croatan Investments</v>
      </c>
      <c r="B26" s="17">
        <f>IFERROR(__xludf.DUMMYFUNCTION("""COMPUTED_VALUE"""),2004.0)</f>
        <v>2004</v>
      </c>
      <c r="C26" s="29">
        <f>IFERROR(__xludf.DUMMYFUNCTION("""COMPUTED_VALUE"""),1.5E9)</f>
        <v>1500000000</v>
      </c>
      <c r="D26" s="17" t="str">
        <f>IFERROR(__xludf.DUMMYFUNCTION("""COMPUTED_VALUE"""),"Croatan Investments is a Norfolk-based multifamily private equity sponsor, active since 2014, pursuing value-add apartment strategies concentrated in the Southeast and broader Sun Belt. It presents as a regional operator riding demographic and migration t"&amp;"ailwinds; current AUM is not publicly disclosed, and the firm's limited public footprint warrants direct diligence.")</f>
        <v>Croatan Investments is a Norfolk-based multifamily private equity sponsor, active since 2014, pursuing value-add apartment strategies concentrated in the Southeast and broader Sun Belt. It presents as a regional operator riding demographic and migration tailwinds; current AUM is not publicly disclosed, and the firm's limited public footprint warrants direct diligence.</v>
      </c>
      <c r="E26" s="17" t="str">
        <f>IFERROR(__xludf.DUMMYFUNCTION("""COMPUTED_VALUE"""),"Certified minority-owned, relevant to certain institutional and investor mandates.")</f>
        <v>Certified minority-owned, relevant to certain institutional and investor mandates.</v>
      </c>
      <c r="F26" s="17" t="str">
        <f>IFERROR(__xludf.DUMMYFUNCTION("""COMPUTED_VALUE"""),"Operates a dedicated build-to-rent platform targeting an institutionalizing residential segment.")</f>
        <v>Operates a dedicated build-to-rent platform targeting an institutionalizing residential segment.</v>
      </c>
      <c r="G26" s="17" t="str">
        <f>IFERROR(__xludf.DUMMYFUNCTION("""COMPUTED_VALUE"""),"Focuses on Class-B value-add multifamily in high job/population-growth Mid-Atlantic and Sun Belt markets.")</f>
        <v>Focuses on Class-B value-add multifamily in high job/population-growth Mid-Atlantic and Sun Belt markets.</v>
      </c>
      <c r="H26" s="17" t="str">
        <f>IFERROR(__xludf.DUMMYFUNCTION("""COMPUTED_VALUE"""),"Invests flexibly across equity, preferred equity and mezzanine debt across the cycle.")</f>
        <v>Invests flexibly across equity, preferred equity and mezzanine debt across the cycle.</v>
      </c>
      <c r="I26" s="17" t="str">
        <f>IFERROR(__xludf.DUMMYFUNCTION("""COMPUTED_VALUE"""),"Provides hands-on in-house renovation oversight; AUM undisclosed.")</f>
        <v>Provides hands-on in-house renovation oversight; AUM undisclosed.</v>
      </c>
      <c r="J26" s="16" t="str">
        <f>IFERROR(__xludf.DUMMYFUNCTION("""COMPUTED_VALUE"""),"croataninvestments.com")</f>
        <v>croataninvestments.com</v>
      </c>
      <c r="K26" s="17" t="str">
        <f>IFERROR(__xludf.DUMMYFUNCTION("""COMPUTED_VALUE"""),"Virginia Beach, VA")</f>
        <v>Virginia Beach, VA</v>
      </c>
      <c r="L26" s="16" t="str">
        <f>IFERROR(__xludf.DUMMYFUNCTION("""COMPUTED_VALUE"""),"https://img.logo.dev/croataninvestments.com?token=pk_FIVsDKgZTvCedVXXtt2rEg&amp;size=200&amp;retina=true")</f>
        <v>https://img.logo.dev/croataninvestments.com?token=pk_FIVsDKgZTvCedVXXtt2rEg&amp;size=200&amp;retina=true</v>
      </c>
      <c r="M26" s="17">
        <f>IFERROR(__xludf.DUMMYFUNCTION("""COMPUTED_VALUE"""),0.0)</f>
        <v>0</v>
      </c>
      <c r="N26" s="13" t="str">
        <f>IFERROR(__xludf.DUMMYFUNCTION("""COMPUTED_VALUE"""),"No Data")</f>
        <v>No Data</v>
      </c>
      <c r="O26" s="27" t="str">
        <f>IFERROR(__xludf.DUMMYFUNCTION("""COMPUTED_VALUE"""),"No Data")</f>
        <v>No Data</v>
      </c>
      <c r="P26" s="28" t="str">
        <f>IFERROR(__xludf.DUMMYFUNCTION("""COMPUTED_VALUE"""),"No Data")</f>
        <v>No Data</v>
      </c>
      <c r="Q26" s="13" t="str">
        <f>IFERROR(__xludf.DUMMYFUNCTION("""COMPUTED_VALUE"""),"No Data")</f>
        <v>No Data</v>
      </c>
    </row>
    <row r="27">
      <c r="A27" s="17" t="str">
        <f>IFERROR(__xludf.DUMMYFUNCTION("""COMPUTED_VALUE"""),"Cunat")</f>
        <v>Cunat</v>
      </c>
      <c r="B27" s="17">
        <f>IFERROR(__xludf.DUMMYFUNCTION("""COMPUTED_VALUE"""),1972.0)</f>
        <v>1972</v>
      </c>
      <c r="C27" s="29">
        <f>IFERROR(__xludf.DUMMYFUNCTION("""COMPUTED_VALUE"""),8.0E8)</f>
        <v>800000000</v>
      </c>
      <c r="D27" s="17" t="str">
        <f>IFERROR(__xludf.DUMMYFUNCTION("""COMPUTED_VALUE"""),"Cunat is an Illinois-based, vertically integrated multifamily developer and manager with a track record stretching back to 1972, extending into the DST channel on the strength of in-house development and property-management capabilities. Its profile is th"&amp;"at of a long-tenured Midwest operator trading on operational control rather than scale; current AUM is not publicly disclosed.")</f>
        <v>Cunat is an Illinois-based, vertically integrated multifamily developer and manager with a track record stretching back to 1972, extending into the DST channel on the strength of in-house development and property-management capabilities. Its profile is that of a long-tenured Midwest operator trading on operational control rather than scale; current AUM is not publicly disclosed.</v>
      </c>
      <c r="E27" s="17" t="str">
        <f>IFERROR(__xludf.DUMMYFUNCTION("""COMPUTED_VALUE"""),"Brings a 50-plus-year operating history to the DST channel.")</f>
        <v>Brings a 50-plus-year operating history to the DST channel.</v>
      </c>
      <c r="F27" s="17" t="str">
        <f>IFERROR(__xludf.DUMMYFUNCTION("""COMPUTED_VALUE"""),"Vertically integrated as a multifamily developer and manager.")</f>
        <v>Vertically integrated as a multifamily developer and manager.</v>
      </c>
      <c r="G27" s="17" t="str">
        <f>IFERROR(__xludf.DUMMYFUNCTION("""COMPUTED_VALUE"""),"Concentrates in the Midwest with deep local market knowledge.")</f>
        <v>Concentrates in the Midwest with deep local market knowledge.</v>
      </c>
      <c r="H27" s="17" t="str">
        <f>IFERROR(__xludf.DUMMYFUNCTION("""COMPUTED_VALUE"""),"Family-operated continuity provides stability across cycles.")</f>
        <v>Family-operated continuity provides stability across cycles.</v>
      </c>
      <c r="I27" s="17" t="str">
        <f>IFERROR(__xludf.DUMMYFUNCTION("""COMPUTED_VALUE"""),"Reports total assets exceeding $800 million; a 2025 full-cycle DST (Cunat Exchange I) returned 12.14% annually, sold ahead of schedule.")</f>
        <v>Reports total assets exceeding $800 million; a 2025 full-cycle DST (Cunat Exchange I) returned 12.14% annually, sold ahead of schedule.</v>
      </c>
      <c r="J27" s="16" t="str">
        <f>IFERROR(__xludf.DUMMYFUNCTION("""COMPUTED_VALUE"""),"cunat.com")</f>
        <v>cunat.com</v>
      </c>
      <c r="K27" s="17" t="str">
        <f>IFERROR(__xludf.DUMMYFUNCTION("""COMPUTED_VALUE"""),"Crystal Lake, IL")</f>
        <v>Crystal Lake, IL</v>
      </c>
      <c r="L27" s="16" t="str">
        <f>IFERROR(__xludf.DUMMYFUNCTION("""COMPUTED_VALUE"""),"https://img.logo.dev/cunat.com?token=pk_FIVsDKgZTvCedVXXtt2rEg&amp;size=200&amp;retina=true")</f>
        <v>https://img.logo.dev/cunat.com?token=pk_FIVsDKgZTvCedVXXtt2rEg&amp;size=200&amp;retina=true</v>
      </c>
      <c r="M27" s="17">
        <f>IFERROR(__xludf.DUMMYFUNCTION("""COMPUTED_VALUE"""),0.0)</f>
        <v>0</v>
      </c>
      <c r="N27" s="13" t="str">
        <f>IFERROR(__xludf.DUMMYFUNCTION("""COMPUTED_VALUE"""),"No Data")</f>
        <v>No Data</v>
      </c>
      <c r="O27" s="27" t="str">
        <f>IFERROR(__xludf.DUMMYFUNCTION("""COMPUTED_VALUE"""),"No Data")</f>
        <v>No Data</v>
      </c>
      <c r="P27" s="28" t="str">
        <f>IFERROR(__xludf.DUMMYFUNCTION("""COMPUTED_VALUE"""),"No Data")</f>
        <v>No Data</v>
      </c>
      <c r="Q27" s="13" t="str">
        <f>IFERROR(__xludf.DUMMYFUNCTION("""COMPUTED_VALUE"""),"No Data")</f>
        <v>No Data</v>
      </c>
    </row>
    <row r="28">
      <c r="A28" s="17" t="str">
        <f>IFERROR(__xludf.DUMMYFUNCTION("""COMPUTED_VALUE"""),"Denholtz")</f>
        <v>Denholtz</v>
      </c>
      <c r="B28" s="17">
        <f>IFERROR(__xludf.DUMMYFUNCTION("""COMPUTED_VALUE"""),1953.0)</f>
        <v>1953</v>
      </c>
      <c r="C28" s="29">
        <f>IFERROR(__xludf.DUMMYFUNCTION("""COMPUTED_VALUE"""),2.0E9)</f>
        <v>2000000000</v>
      </c>
      <c r="D28" s="17" t="str">
        <f>IFERROR(__xludf.DUMMYFUNCTION("""COMPUTED_VALUE"""),"Denholtz is a 70-plus-year, vertically integrated firm spanning multifamily, industrial, flex and office, with more than $2 billion in asset value and over 7 million square feet, increasingly oriented toward the Southeast and its Denholtz Opportunity Fund"&amp;" II. The firm's industrial and flex emphasis aligns with the most durable demand themes in commercial real estate, and its 'rescue capital' opportunity-fund strategy positions it to exploit dislocation. Dual headquarters in New Jersey and Orlando reflect "&amp;"a deliberate pivot toward higher-growth Southern markets atop a deep, multi-cycle operating history.")</f>
        <v>Denholtz is a 70-plus-year, vertically integrated firm spanning multifamily, industrial, flex and office, with more than $2 billion in asset value and over 7 million square feet, increasingly oriented toward the Southeast and its Denholtz Opportunity Fund II. The firm's industrial and flex emphasis aligns with the most durable demand themes in commercial real estate, and its 'rescue capital' opportunity-fund strategy positions it to exploit dislocation. Dual headquarters in New Jersey and Orlando reflect a deliberate pivot toward higher-growth Southern markets atop a deep, multi-cycle operating history.</v>
      </c>
      <c r="E28" s="17" t="str">
        <f>IFERROR(__xludf.DUMMYFUNCTION("""COMPUTED_VALUE"""),"Brings a 70-plus-year vertically integrated history across multifamily, industrial, flex and office.")</f>
        <v>Brings a 70-plus-year vertically integrated history across multifamily, industrial, flex and office.</v>
      </c>
      <c r="F28" s="17" t="str">
        <f>IFERROR(__xludf.DUMMYFUNCTION("""COMPUTED_VALUE"""),"Emphasizes industrial/flex assets, aligning with durable demand themes.")</f>
        <v>Emphasizes industrial/flex assets, aligning with durable demand themes.</v>
      </c>
      <c r="G28" s="17" t="str">
        <f>IFERROR(__xludf.DUMMYFUNCTION("""COMPUTED_VALUE"""),"Runs an Opportunity Fund 'rescue capital' strategy positioned for dislocation.")</f>
        <v>Runs an Opportunity Fund 'rescue capital' strategy positioned for dislocation.</v>
      </c>
      <c r="H28" s="17" t="str">
        <f>IFERROR(__xludf.DUMMYFUNCTION("""COMPUTED_VALUE"""),"Pivoting toward higher-growth Southeast markets via a dual NJ/Orlando footprint.")</f>
        <v>Pivoting toward higher-growth Southeast markets via a dual NJ/Orlando footprint.</v>
      </c>
      <c r="I28" s="17" t="str">
        <f>IFERROR(__xludf.DUMMYFUNCTION("""COMPUTED_VALUE"""),"Manages over $2 billion in value across 7M+ square feet.")</f>
        <v>Manages over $2 billion in value across 7M+ square feet.</v>
      </c>
      <c r="J28" s="16" t="str">
        <f>IFERROR(__xludf.DUMMYFUNCTION("""COMPUTED_VALUE"""),"denholtz.com")</f>
        <v>denholtz.com</v>
      </c>
      <c r="K28" s="17" t="str">
        <f>IFERROR(__xludf.DUMMYFUNCTION("""COMPUTED_VALUE"""),"Red Bank, NJ")</f>
        <v>Red Bank, NJ</v>
      </c>
      <c r="L28" s="16" t="str">
        <f>IFERROR(__xludf.DUMMYFUNCTION("""COMPUTED_VALUE"""),"https://img.logo.dev/denholtz.com?token=pk_FIVsDKgZTvCedVXXtt2rEg&amp;size=200&amp;retina=true")</f>
        <v>https://img.logo.dev/denholtz.com?token=pk_FIVsDKgZTvCedVXXtt2rEg&amp;size=200&amp;retina=true</v>
      </c>
      <c r="M28" s="17">
        <f>IFERROR(__xludf.DUMMYFUNCTION("""COMPUTED_VALUE"""),14.0)</f>
        <v>14</v>
      </c>
      <c r="N28" s="13">
        <f>IFERROR(__xludf.DUMMYFUNCTION("""COMPUTED_VALUE"""),0.3804785714285714)</f>
        <v>0.3804785714</v>
      </c>
      <c r="O28" s="27">
        <f>IFERROR(__xludf.DUMMYFUNCTION("""COMPUTED_VALUE"""),2.5536363636363633)</f>
        <v>2.553636364</v>
      </c>
      <c r="P28" s="28">
        <f>IFERROR(__xludf.DUMMYFUNCTION("""COMPUTED_VALUE"""),4.572857142857144)</f>
        <v>4.572857143</v>
      </c>
      <c r="Q28" s="13">
        <f>IFERROR(__xludf.DUMMYFUNCTION("""COMPUTED_VALUE"""),1.0)</f>
        <v>1</v>
      </c>
    </row>
    <row r="29">
      <c r="A29" s="17" t="str">
        <f>IFERROR(__xludf.DUMMYFUNCTION("""COMPUTED_VALUE"""),"ERP")</f>
        <v>ERP</v>
      </c>
      <c r="B29" s="17">
        <f>IFERROR(__xludf.DUMMYFUNCTION("""COMPUTED_VALUE"""),2007.0)</f>
        <v>2007</v>
      </c>
      <c r="C29" s="29" t="str">
        <f>IFERROR(__xludf.DUMMYFUNCTION("""COMPUTED_VALUE"""),"Not Disclosed")</f>
        <v>Not Disclosed</v>
      </c>
      <c r="D29" s="17" t="str">
        <f>IFERROR(__xludf.DUMMYFUNCTION("""COMPUTED_VALUE"""),"ERP (Energy Related Properties) is a DST sponsor focused on energy-related real estate rather than the multifamily and net-lease assets that dominate the 1031 market. It structures its holdings as Delaware Statutory Trusts (e.g., ERP 1031 portfolios) dist"&amp;"ributed through its managing broker-dealer, American Alternative Capital, LLC. Public disclosure on founding year, AUM, and full-cycle track record is limited, so detailed terms and risk factors are set out in each program's Private Placement Memorandum.")</f>
        <v>ERP (Energy Related Properties) is a DST sponsor focused on energy-related real estate rather than the multifamily and net-lease assets that dominate the 1031 market. It structures its holdings as Delaware Statutory Trusts (e.g., ERP 1031 portfolios) distributed through its managing broker-dealer, American Alternative Capital, LLC. Public disclosure on founding year, AUM, and full-cycle track record is limited, so detailed terms and risk factors are set out in each program's Private Placement Memorandum.</v>
      </c>
      <c r="E29" s="17" t="str">
        <f>IFERROR(__xludf.DUMMYFUNCTION("""COMPUTED_VALUE"""),"Specializes in energy-related real estate, a differentiated niche distinct from the multifamily, retail and industrial assets that dominate the DST market.")</f>
        <v>Specializes in energy-related real estate, a differentiated niche distinct from the multifamily, retail and industrial assets that dominate the DST market.</v>
      </c>
      <c r="F29" s="17" t="str">
        <f>IFERROR(__xludf.DUMMYFUNCTION("""COMPUTED_VALUE"""),"Structures offerings as Delaware Statutory Trusts distributed through its managing broker-dealer, American Alternative Capital, LLC.")</f>
        <v>Structures offerings as Delaware Statutory Trusts distributed through its managing broker-dealer, American Alternative Capital, LLC.</v>
      </c>
      <c r="G29" s="17" t="str">
        <f>IFERROR(__xludf.DUMMYFUNCTION("""COMPUTED_VALUE"""),"The energy-related asset focus gives exchangers exposure outside conventional commercial real estate, with a correspondingly distinct risk and return profile.")</f>
        <v>The energy-related asset focus gives exchangers exposure outside conventional commercial real estate, with a correspondingly distinct risk and return profile.</v>
      </c>
      <c r="H29" s="17" t="str">
        <f>IFERROR(__xludf.DUMMYFUNCTION("""COMPUTED_VALUE"""),"Founding year, AUM, and full-cycle track record are not publicly disclosed.")</f>
        <v>Founding year, AUM, and full-cycle track record are not publicly disclosed.</v>
      </c>
      <c r="I29" s="17" t="str">
        <f>IFERROR(__xludf.DUMMYFUNCTION("""COMPUTED_VALUE"""),"Sector-specific and concentration risk make PPM-level diligence essential before any allocation.")</f>
        <v>Sector-specific and concentration risk make PPM-level diligence essential before any allocation.</v>
      </c>
      <c r="J29" s="16" t="str">
        <f>IFERROR(__xludf.DUMMYFUNCTION("""COMPUTED_VALUE"""),"https://www.erpfunds.com/")</f>
        <v>https://www.erpfunds.com/</v>
      </c>
      <c r="K29" s="17" t="str">
        <f>IFERROR(__xludf.DUMMYFUNCTION("""COMPUTED_VALUE"""),"Midland, Texas")</f>
        <v>Midland, Texas</v>
      </c>
      <c r="L29" s="16" t="str">
        <f>IFERROR(__xludf.DUMMYFUNCTION("""COMPUTED_VALUE"""),"https://img.logo.dev/erpfunds.com?token=pk_FIVsDKgZTvCedVXXtt2rEg&amp;size=200&amp;retina=true")</f>
        <v>https://img.logo.dev/erpfunds.com?token=pk_FIVsDKgZTvCedVXXtt2rEg&amp;size=200&amp;retina=true</v>
      </c>
      <c r="M29" s="17">
        <f>IFERROR(__xludf.DUMMYFUNCTION("""COMPUTED_VALUE"""),0.0)</f>
        <v>0</v>
      </c>
      <c r="N29" s="13" t="str">
        <f>IFERROR(__xludf.DUMMYFUNCTION("""COMPUTED_VALUE"""),"No Data")</f>
        <v>No Data</v>
      </c>
      <c r="O29" s="27" t="str">
        <f>IFERROR(__xludf.DUMMYFUNCTION("""COMPUTED_VALUE"""),"No Data")</f>
        <v>No Data</v>
      </c>
      <c r="P29" s="28" t="str">
        <f>IFERROR(__xludf.DUMMYFUNCTION("""COMPUTED_VALUE"""),"No Data")</f>
        <v>No Data</v>
      </c>
      <c r="Q29" s="13" t="str">
        <f>IFERROR(__xludf.DUMMYFUNCTION("""COMPUTED_VALUE"""),"No Data")</f>
        <v>No Data</v>
      </c>
    </row>
    <row r="30">
      <c r="A30" s="17" t="str">
        <f>IFERROR(__xludf.DUMMYFUNCTION("""COMPUTED_VALUE"""),"ExchangeRight")</f>
        <v>ExchangeRight</v>
      </c>
      <c r="B30" s="17">
        <f>IFERROR(__xludf.DUMMYFUNCTION("""COMPUTED_VALUE"""),2012.0)</f>
        <v>2012</v>
      </c>
      <c r="C30" s="29">
        <f>IFERROR(__xludf.DUMMYFUNCTION("""COMPUTED_VALUE"""),7.0E9)</f>
        <v>7000000000</v>
      </c>
      <c r="D30" s="17" t="str">
        <f>IFERROR(__xludf.DUMMYFUNCTION("""COMPUTED_VALUE"""),"ExchangeRight has scaled into one of the defining net-lease DST franchises, ending 2025 as the fifth-largest sponsor in the 1031 DST market with roughly $7.0 billion in AUM across more than 1,400 properties and 27 million square feet in 48 states. Founded"&amp;" in 2012 and vertically integrated out of Pasadena, the firm anchors its portfolios in investment-grade-tenanted necessity retail and healthcare—pharmacies, grocery, dollar stores—whose recession-resistant cash flows underpin its consistency. The track re"&amp;"cord is the headline: 34 full-cycle offerings averaging an 8.60% annual return with no loss of investor capital, all 126 offerings meeting or exceeding distribution projections, and an Essential Income REIT that supplies a 721 UPREIT exit. That combinatio"&amp;"n of scale, tenant credit discipline and full-cycle performance makes it a benchmark for the category.")</f>
        <v>ExchangeRight has scaled into one of the defining net-lease DST franchises, ending 2025 as the fifth-largest sponsor in the 1031 DST market with roughly $7.0 billion in AUM across more than 1,400 properties and 27 million square feet in 48 states. Founded in 2012 and vertically integrated out of Pasadena, the firm anchors its portfolios in investment-grade-tenanted necessity retail and healthcare—pharmacies, grocery, dollar stores—whose recession-resistant cash flows underpin its consistency. The track record is the headline: 34 full-cycle offerings averaging an 8.60% annual return with no loss of investor capital, all 126 offerings meeting or exceeding distribution projections, and an Essential Income REIT that supplies a 721 UPREIT exit. That combination of scale, tenant credit discipline and full-cycle performance makes it a benchmark for the category.</v>
      </c>
      <c r="E30" s="17" t="str">
        <f>IFERROR(__xludf.DUMMYFUNCTION("""COMPUTED_VALUE"""),"Ended 2025 as the 5th-largest sponsor in the 1031 DST market: ~$7.0B AUM, 1,400+ properties, 27M sq ft, 48 states.")</f>
        <v>Ended 2025 as the 5th-largest sponsor in the 1031 DST market: ~$7.0B AUM, 1,400+ properties, 27M sq ft, 48 states.</v>
      </c>
      <c r="F30" s="17" t="str">
        <f>IFERROR(__xludf.DUMMYFUNCTION("""COMPUTED_VALUE"""),"Anchors portfolios in investment-grade-tenanted necessity retail and healthcare with recession-resistant cash flows.")</f>
        <v>Anchors portfolios in investment-grade-tenanted necessity retail and healthcare with recession-resistant cash flows.</v>
      </c>
      <c r="G30" s="17" t="str">
        <f>IFERROR(__xludf.DUMMYFUNCTION("""COMPUTED_VALUE"""),"Has taken 34 offerings full-cycle averaging an 8.60% annual return with zero loss of investor capital.")</f>
        <v>Has taken 34 offerings full-cycle averaging an 8.60% annual return with zero loss of investor capital.</v>
      </c>
      <c r="H30" s="17" t="str">
        <f>IFERROR(__xludf.DUMMYFUNCTION("""COMPUTED_VALUE"""),"Operates the Essential Income REIT, supplying a 721 UPREIT exit and aggregation strategy.")</f>
        <v>Operates the Essential Income REIT, supplying a 721 UPREIT exit and aggregation strategy.</v>
      </c>
      <c r="I30" s="17" t="str">
        <f>IFERROR(__xludf.DUMMYFUNCTION("""COMPUTED_VALUE"""),"All 126 offerings have met or exceeded distribution projections with no disruptions.")</f>
        <v>All 126 offerings have met or exceeded distribution projections with no disruptions.</v>
      </c>
      <c r="J30" s="16" t="str">
        <f>IFERROR(__xludf.DUMMYFUNCTION("""COMPUTED_VALUE"""),"exchangeright.com")</f>
        <v>exchangeright.com</v>
      </c>
      <c r="K30" s="17" t="str">
        <f>IFERROR(__xludf.DUMMYFUNCTION("""COMPUTED_VALUE"""),"Pasadena, CA")</f>
        <v>Pasadena, CA</v>
      </c>
      <c r="L30" s="16" t="str">
        <f>IFERROR(__xludf.DUMMYFUNCTION("""COMPUTED_VALUE"""),"https://img.logo.dev/exchangeright.com?token=pk_FIVsDKgZTvCedVXXtt2rEg&amp;size=200&amp;retina=true")</f>
        <v>https://img.logo.dev/exchangeright.com?token=pk_FIVsDKgZTvCedVXXtt2rEg&amp;size=200&amp;retina=true</v>
      </c>
      <c r="M30" s="17">
        <f>IFERROR(__xludf.DUMMYFUNCTION("""COMPUTED_VALUE"""),28.0)</f>
        <v>28</v>
      </c>
      <c r="N30" s="13">
        <f>IFERROR(__xludf.DUMMYFUNCTION("""COMPUTED_VALUE"""),0.07774285714285713)</f>
        <v>0.07774285714</v>
      </c>
      <c r="O30" s="27">
        <f>IFERROR(__xludf.DUMMYFUNCTION("""COMPUTED_VALUE"""),1.4082142857142859)</f>
        <v>1.408214286</v>
      </c>
      <c r="P30" s="28">
        <f>IFERROR(__xludf.DUMMYFUNCTION("""COMPUTED_VALUE"""),5.414642857142858)</f>
        <v>5.414642857</v>
      </c>
      <c r="Q30" s="13">
        <f>IFERROR(__xludf.DUMMYFUNCTION("""COMPUTED_VALUE"""),1.0)</f>
        <v>1</v>
      </c>
    </row>
    <row r="31">
      <c r="A31" s="17" t="str">
        <f>IFERROR(__xludf.DUMMYFUNCTION("""COMPUTED_VALUE"""),"Fortress Investment Group")</f>
        <v>Fortress Investment Group</v>
      </c>
      <c r="B31" s="17">
        <f>IFERROR(__xludf.DUMMYFUNCTION("""COMPUTED_VALUE"""),1998.0)</f>
        <v>1998</v>
      </c>
      <c r="C31" s="29">
        <f>IFERROR(__xludf.DUMMYFUNCTION("""COMPUTED_VALUE"""),4.9E10)</f>
        <v>49000000000</v>
      </c>
      <c r="D31" s="17" t="str">
        <f>IFERROR(__xludf.DUMMYFUNCTION("""COMPUTED_VALUE"""),"Fortress Investment Group is a roughly $49 billion diversified alternatives manager spanning credit, real estate and private equity, with a heritage rooted in distressed and credit investing. Its real estate exposure runs through funds and net-lease vehic"&amp;"les rather than a marquee retail DST franchise, and its Mubadala ownership provides a deep, patient capital base. For exchange investors, the relevance is institutional underwriting and balance-sheet strength, set against the reality that property sponsor"&amp;"ship is one line in a credit-centric business.")</f>
        <v>Fortress Investment Group is a roughly $49 billion diversified alternatives manager spanning credit, real estate and private equity, with a heritage rooted in distressed and credit investing. Its real estate exposure runs through funds and net-lease vehicles rather than a marquee retail DST franchise, and its Mubadala ownership provides a deep, patient capital base. For exchange investors, the relevance is institutional underwriting and balance-sheet strength, set against the reality that property sponsorship is one line in a credit-centric business.</v>
      </c>
      <c r="E31" s="17" t="str">
        <f>IFERROR(__xludf.DUMMYFUNCTION("""COMPUTED_VALUE"""),"Manages ~$49 billion with a credit/distressed heritage informing opportunistic real estate sourcing.")</f>
        <v>Manages ~$49 billion with a credit/distressed heritage informing opportunistic real estate sourcing.</v>
      </c>
      <c r="F31" s="17" t="str">
        <f>IFERROR(__xludf.DUMMYFUNCTION("""COMPUTED_VALUE"""),"Reaches real estate through funds and net-lease vehicles rather than a marquee retail DST franchise.")</f>
        <v>Reaches real estate through funds and net-lease vehicles rather than a marquee retail DST franchise.</v>
      </c>
      <c r="G31" s="17" t="str">
        <f>IFERROR(__xludf.DUMMYFUNCTION("""COMPUTED_VALUE"""),"Backed by Mubadala ownership, a deep sovereign-linked capital base.")</f>
        <v>Backed by Mubadala ownership, a deep sovereign-linked capital base.</v>
      </c>
      <c r="H31" s="17" t="str">
        <f>IFERROR(__xludf.DUMMYFUNCTION("""COMPUTED_VALUE"""),"Operates permanent-capital vehicles that smooth through cycles.")</f>
        <v>Operates permanent-capital vehicles that smooth through cycles.</v>
      </c>
      <c r="I31" s="17" t="str">
        <f>IFERROR(__xludf.DUMMYFUNCTION("""COMPUTED_VALUE"""),"Brings institutional underwriting and balance-sheet strength to property activity.")</f>
        <v>Brings institutional underwriting and balance-sheet strength to property activity.</v>
      </c>
      <c r="J31" s="16" t="str">
        <f>IFERROR(__xludf.DUMMYFUNCTION("""COMPUTED_VALUE"""),"fortress.com")</f>
        <v>fortress.com</v>
      </c>
      <c r="K31" s="17" t="str">
        <f>IFERROR(__xludf.DUMMYFUNCTION("""COMPUTED_VALUE"""),"New York, NY")</f>
        <v>New York, NY</v>
      </c>
      <c r="L31" s="16" t="str">
        <f>IFERROR(__xludf.DUMMYFUNCTION("""COMPUTED_VALUE"""),"https://img.logo.dev/fortress.com?token=pk_FIVsDKgZTvCedVXXtt2rEg&amp;size=200&amp;retina=true")</f>
        <v>https://img.logo.dev/fortress.com?token=pk_FIVsDKgZTvCedVXXtt2rEg&amp;size=200&amp;retina=true</v>
      </c>
      <c r="M31" s="17">
        <f>IFERROR(__xludf.DUMMYFUNCTION("""COMPUTED_VALUE"""),0.0)</f>
        <v>0</v>
      </c>
      <c r="N31" s="13" t="str">
        <f>IFERROR(__xludf.DUMMYFUNCTION("""COMPUTED_VALUE"""),"No Data")</f>
        <v>No Data</v>
      </c>
      <c r="O31" s="27" t="str">
        <f>IFERROR(__xludf.DUMMYFUNCTION("""COMPUTED_VALUE"""),"No Data")</f>
        <v>No Data</v>
      </c>
      <c r="P31" s="28" t="str">
        <f>IFERROR(__xludf.DUMMYFUNCTION("""COMPUTED_VALUE"""),"No Data")</f>
        <v>No Data</v>
      </c>
      <c r="Q31" s="13" t="str">
        <f>IFERROR(__xludf.DUMMYFUNCTION("""COMPUTED_VALUE"""),"No Data")</f>
        <v>No Data</v>
      </c>
    </row>
    <row r="32">
      <c r="A32" s="17" t="str">
        <f>IFERROR(__xludf.DUMMYFUNCTION("""COMPUTED_VALUE"""),"Four Springs Capital")</f>
        <v>Four Springs Capital</v>
      </c>
      <c r="B32" s="17">
        <f>IFERROR(__xludf.DUMMYFUNCTION("""COMPUTED_VALUE"""),2012.0)</f>
        <v>2012</v>
      </c>
      <c r="C32" s="29">
        <f>IFERROR(__xludf.DUMMYFUNCTION("""COMPUTED_VALUE"""),1.3E9)</f>
        <v>1300000000</v>
      </c>
      <c r="D32" s="17" t="str">
        <f>IFERROR(__xludf.DUMMYFUNCTION("""COMPUTED_VALUE"""),"Four Springs Capital reaches the 1031 market through Four Springs TEN31 Xchange, sponsoring net-lease DSTs concentrated in single-tenant industrial and medical properties under long-term leases to credit tenants such as Ford, Eaton and Carhartt. A deliber"&amp;"ate focus on the $5 million-to-$200 million deal range keeps it below the institutional bid and above the retail scrum, a niche it has worked across more than 1,000 completed exchanges and over $1 billion in equity raised. As a subsidiary of Four Springs "&amp;"Capital Trust, it offers an UPREIT roll-up into the REIT, combining credit-tenant durability with a defined exit.")</f>
        <v>Four Springs Capital reaches the 1031 market through Four Springs TEN31 Xchange, sponsoring net-lease DSTs concentrated in single-tenant industrial and medical properties under long-term leases to credit tenants such as Ford, Eaton and Carhartt. A deliberate focus on the $5 million-to-$200 million deal range keeps it below the institutional bid and above the retail scrum, a niche it has worked across more than 1,000 completed exchanges and over $1 billion in equity raised. As a subsidiary of Four Springs Capital Trust, it offers an UPREIT roll-up into the REIT, combining credit-tenant durability with a defined exit.</v>
      </c>
      <c r="E32" s="17" t="str">
        <f>IFERROR(__xludf.DUMMYFUNCTION("""COMPUTED_VALUE"""),"Reaches exchangers via Four Springs TEN31 Xchange, net-lease DSTs in single-tenant industrial/medical assets (Ford, Eaton, Carhartt).")</f>
        <v>Reaches exchangers via Four Springs TEN31 Xchange, net-lease DSTs in single-tenant industrial/medical assets (Ford, Eaton, Carhartt).</v>
      </c>
      <c r="F32" s="17" t="str">
        <f>IFERROR(__xludf.DUMMYFUNCTION("""COMPUTED_VALUE"""),"Deliberately targets the $5M-$200M deal range, below the institutional bid and above the retail scrum.")</f>
        <v>Deliberately targets the $5M-$200M deal range, below the institutional bid and above the retail scrum.</v>
      </c>
      <c r="G32" s="17" t="str">
        <f>IFERROR(__xludf.DUMMYFUNCTION("""COMPUTED_VALUE"""),"Has completed more than 1,000 exchanges, deep 1031 throughput.")</f>
        <v>Has completed more than 1,000 exchanges, deep 1031 throughput.</v>
      </c>
      <c r="H32" s="17" t="str">
        <f>IFERROR(__xludf.DUMMYFUNCTION("""COMPUTED_VALUE"""),"Offers an UPREIT roll-up into the affiliated Four Springs Capital Trust REIT.")</f>
        <v>Offers an UPREIT roll-up into the affiliated Four Springs Capital Trust REIT.</v>
      </c>
      <c r="I32" s="17" t="str">
        <f>IFERROR(__xludf.DUMMYFUNCTION("""COMPUTED_VALUE"""),"Has acquired $1.3B+ in single-tenant net lease and raised $1B+ in equity.")</f>
        <v>Has acquired $1.3B+ in single-tenant net lease and raised $1B+ in equity.</v>
      </c>
      <c r="J32" s="16" t="str">
        <f>IFERROR(__xludf.DUMMYFUNCTION("""COMPUTED_VALUE"""),"ten31xchange.com")</f>
        <v>ten31xchange.com</v>
      </c>
      <c r="K32" s="17" t="str">
        <f>IFERROR(__xludf.DUMMYFUNCTION("""COMPUTED_VALUE"""),"Wall, NJ")</f>
        <v>Wall, NJ</v>
      </c>
      <c r="L32" s="16" t="str">
        <f>IFERROR(__xludf.DUMMYFUNCTION("""COMPUTED_VALUE"""),"https://img.logo.dev/ten31xchange.com?token=pk_FIVsDKgZTvCedVXXtt2rEg&amp;size=200&amp;retina=true")</f>
        <v>https://img.logo.dev/ten31xchange.com?token=pk_FIVsDKgZTvCedVXXtt2rEg&amp;size=200&amp;retina=true</v>
      </c>
      <c r="M32" s="17">
        <f>IFERROR(__xludf.DUMMYFUNCTION("""COMPUTED_VALUE"""),24.0)</f>
        <v>24</v>
      </c>
      <c r="N32" s="13">
        <f>IFERROR(__xludf.DUMMYFUNCTION("""COMPUTED_VALUE"""),0.07049583333333331)</f>
        <v>0.07049583333</v>
      </c>
      <c r="O32" s="27">
        <f>IFERROR(__xludf.DUMMYFUNCTION("""COMPUTED_VALUE"""),1.4712500000000002)</f>
        <v>1.47125</v>
      </c>
      <c r="P32" s="28">
        <f>IFERROR(__xludf.DUMMYFUNCTION("""COMPUTED_VALUE"""),3.335833333333333)</f>
        <v>3.335833333</v>
      </c>
      <c r="Q32" s="13">
        <f>IFERROR(__xludf.DUMMYFUNCTION("""COMPUTED_VALUE"""),1.0)</f>
        <v>1</v>
      </c>
    </row>
    <row r="33">
      <c r="A33" s="17" t="str">
        <f>IFERROR(__xludf.DUMMYFUNCTION("""COMPUTED_VALUE"""),"FS Investments")</f>
        <v>FS Investments</v>
      </c>
      <c r="B33" s="17">
        <f>IFERROR(__xludf.DUMMYFUNCTION("""COMPUTED_VALUE"""),2007.0)</f>
        <v>2007</v>
      </c>
      <c r="C33" s="29">
        <f>IFERROR(__xludf.DUMMYFUNCTION("""COMPUTED_VALUE"""),8.5E10)</f>
        <v>85000000000</v>
      </c>
      <c r="D33" s="17" t="str">
        <f>IFERROR(__xludf.DUMMYFUNCTION("""COMPUTED_VALUE"""),"FS Investments is a roughly $85 billion, credit-led alternatives manager—built on a BDC heritage and broadened by its merger with Portfolio Advisors—whose real estate activity sits alongside interval funds and private-credit strategies distributed through"&amp;" the RIA channel. Real estate is a complementary rather than defining business, so for 1031 purposes the firm reads as an institutional manager with a real estate credit capability rather than a dedicated DST house.")</f>
        <v>FS Investments is a roughly $85 billion, credit-led alternatives manager—built on a BDC heritage and broadened by its merger with Portfolio Advisors—whose real estate activity sits alongside interval funds and private-credit strategies distributed through the RIA channel. Real estate is a complementary rather than defining business, so for 1031 purposes the firm reads as an institutional manager with a real estate credit capability rather than a dedicated DST house.</v>
      </c>
      <c r="E33" s="17" t="str">
        <f>IFERROR(__xludf.DUMMYFUNCTION("""COMPUTED_VALUE"""),"Manages ~$85 billion built on a BDC/private-credit heritage, broadened by its Portfolio Advisors merger.")</f>
        <v>Manages ~$85 billion built on a BDC/private-credit heritage, broadened by its Portfolio Advisors merger.</v>
      </c>
      <c r="F33" s="17" t="str">
        <f>IFERROR(__xludf.DUMMYFUNCTION("""COMPUTED_VALUE"""),"Offers real estate exposure alongside interval funds and credit strategies.")</f>
        <v>Offers real estate exposure alongside interval funds and credit strategies.</v>
      </c>
      <c r="G33" s="17" t="str">
        <f>IFERROR(__xludf.DUMMYFUNCTION("""COMPUTED_VALUE"""),"Distributes through the RIA channel, an institutional retail orientation.")</f>
        <v>Distributes through the RIA channel, an institutional retail orientation.</v>
      </c>
      <c r="H33" s="17" t="str">
        <f>IFERROR(__xludf.DUMMYFUNCTION("""COMPUTED_VALUE"""),"Brings real estate credit capability rather than equity-only sponsorship.")</f>
        <v>Brings real estate credit capability rather than equity-only sponsorship.</v>
      </c>
      <c r="I33" s="17" t="str">
        <f>IFERROR(__xludf.DUMMYFUNCTION("""COMPUTED_VALUE"""),"Real estate is a complementary line within a credit-centric platform.")</f>
        <v>Real estate is a complementary line within a credit-centric platform.</v>
      </c>
      <c r="J33" s="16" t="str">
        <f>IFERROR(__xludf.DUMMYFUNCTION("""COMPUTED_VALUE"""),"fsinvestments.com")</f>
        <v>fsinvestments.com</v>
      </c>
      <c r="K33" s="17" t="str">
        <f>IFERROR(__xludf.DUMMYFUNCTION("""COMPUTED_VALUE"""),"Philadelphia, PA")</f>
        <v>Philadelphia, PA</v>
      </c>
      <c r="L33" s="16" t="str">
        <f>IFERROR(__xludf.DUMMYFUNCTION("""COMPUTED_VALUE"""),"https://img.logo.dev/fsinvestments.com?token=pk_FIVsDKgZTvCedVXXtt2rEg&amp;size=200&amp;retina=true")</f>
        <v>https://img.logo.dev/fsinvestments.com?token=pk_FIVsDKgZTvCedVXXtt2rEg&amp;size=200&amp;retina=true</v>
      </c>
      <c r="M33" s="17">
        <f>IFERROR(__xludf.DUMMYFUNCTION("""COMPUTED_VALUE"""),0.0)</f>
        <v>0</v>
      </c>
      <c r="N33" s="13" t="str">
        <f>IFERROR(__xludf.DUMMYFUNCTION("""COMPUTED_VALUE"""),"No Data")</f>
        <v>No Data</v>
      </c>
      <c r="O33" s="27" t="str">
        <f>IFERROR(__xludf.DUMMYFUNCTION("""COMPUTED_VALUE"""),"No Data")</f>
        <v>No Data</v>
      </c>
      <c r="P33" s="28" t="str">
        <f>IFERROR(__xludf.DUMMYFUNCTION("""COMPUTED_VALUE"""),"No Data")</f>
        <v>No Data</v>
      </c>
      <c r="Q33" s="13" t="str">
        <f>IFERROR(__xludf.DUMMYFUNCTION("""COMPUTED_VALUE"""),"No Data")</f>
        <v>No Data</v>
      </c>
    </row>
    <row r="34">
      <c r="A34" s="17" t="str">
        <f>IFERROR(__xludf.DUMMYFUNCTION("""COMPUTED_VALUE"""),"GK Real Estate")</f>
        <v>GK Real Estate</v>
      </c>
      <c r="B34" s="17">
        <f>IFERROR(__xludf.DUMMYFUNCTION("""COMPUTED_VALUE"""),1985.0)</f>
        <v>1985</v>
      </c>
      <c r="C34" s="29">
        <f>IFERROR(__xludf.DUMMYFUNCTION("""COMPUTED_VALUE"""),3.0E8)</f>
        <v>300000000</v>
      </c>
      <c r="D34" s="17" t="str">
        <f>IFERROR(__xludf.DUMMYFUNCTION("""COMPUTED_VALUE"""),"GK Real Estate is a Chicago-area mixed-use and multifamily developer and sponsor, active since 1985, that trades on local development expertise concentrated in its home market. It presents as a regional operator rather than a national DST platform; curren"&amp;"t AUM is not publicly disclosed.")</f>
        <v>GK Real Estate is a Chicago-area mixed-use and multifamily developer and sponsor, active since 1985, that trades on local development expertise concentrated in its home market. It presents as a regional operator rather than a national DST platform; current AUM is not publicly disclosed.</v>
      </c>
      <c r="E34" s="17" t="str">
        <f>IFERROR(__xludf.DUMMYFUNCTION("""COMPUTED_VALUE"""),"Focuses on mixed-use and multifamily development, controlling assets ground-up in its core market.")</f>
        <v>Focuses on mixed-use and multifamily development, controlling assets ground-up in its core market.</v>
      </c>
      <c r="F34" s="17" t="str">
        <f>IFERROR(__xludf.DUMMYFUNCTION("""COMPUTED_VALUE"""),"Concentrated in the Chicago metro with deep local entitlement relationships.")</f>
        <v>Concentrated in the Chicago metro with deep local entitlement relationships.</v>
      </c>
      <c r="G34" s="17" t="str">
        <f>IFERROR(__xludf.DUMMYFUNCTION("""COMPUTED_VALUE"""),"Operates as a regional developer-sponsor rather than a national DST platform.")</f>
        <v>Operates as a regional developer-sponsor rather than a national DST platform.</v>
      </c>
      <c r="H34" s="17" t="str">
        <f>IFERROR(__xludf.DUMMYFUNCTION("""COMPUTED_VALUE"""),"Multi-decade development history provides cycle-tested execution.")</f>
        <v>Multi-decade development history provides cycle-tested execution.</v>
      </c>
      <c r="I34" s="17" t="str">
        <f>IFERROR(__xludf.DUMMYFUNCTION("""COMPUTED_VALUE"""),"Current AUM is not publicly disclosed.")</f>
        <v>Current AUM is not publicly disclosed.</v>
      </c>
      <c r="J34" s="16" t="str">
        <f>IFERROR(__xludf.DUMMYFUNCTION("""COMPUTED_VALUE"""),"gkdevelopment.com")</f>
        <v>gkdevelopment.com</v>
      </c>
      <c r="K34" s="17" t="str">
        <f>IFERROR(__xludf.DUMMYFUNCTION("""COMPUTED_VALUE"""),"Barrington, IL")</f>
        <v>Barrington, IL</v>
      </c>
      <c r="L34" s="16" t="str">
        <f>IFERROR(__xludf.DUMMYFUNCTION("""COMPUTED_VALUE"""),"https://img.logo.dev/gkdevelopment.com?token=pk_FIVsDKgZTvCedVXXtt2rEg&amp;size=200&amp;retina=true")</f>
        <v>https://img.logo.dev/gkdevelopment.com?token=pk_FIVsDKgZTvCedVXXtt2rEg&amp;size=200&amp;retina=true</v>
      </c>
      <c r="M34" s="17">
        <f>IFERROR(__xludf.DUMMYFUNCTION("""COMPUTED_VALUE"""),0.0)</f>
        <v>0</v>
      </c>
      <c r="N34" s="13" t="str">
        <f>IFERROR(__xludf.DUMMYFUNCTION("""COMPUTED_VALUE"""),"No Data")</f>
        <v>No Data</v>
      </c>
      <c r="O34" s="27" t="str">
        <f>IFERROR(__xludf.DUMMYFUNCTION("""COMPUTED_VALUE"""),"No Data")</f>
        <v>No Data</v>
      </c>
      <c r="P34" s="28" t="str">
        <f>IFERROR(__xludf.DUMMYFUNCTION("""COMPUTED_VALUE"""),"No Data")</f>
        <v>No Data</v>
      </c>
      <c r="Q34" s="13" t="str">
        <f>IFERROR(__xludf.DUMMYFUNCTION("""COMPUTED_VALUE"""),"No Data")</f>
        <v>No Data</v>
      </c>
    </row>
    <row r="35">
      <c r="A35" s="17" t="str">
        <f>IFERROR(__xludf.DUMMYFUNCTION("""COMPUTED_VALUE"""),"Go Store It Partners")</f>
        <v>Go Store It Partners</v>
      </c>
      <c r="B35" s="17">
        <f>IFERROR(__xludf.DUMMYFUNCTION("""COMPUTED_VALUE"""),2013.0)</f>
        <v>2013</v>
      </c>
      <c r="C35" s="29">
        <f>IFERROR(__xludf.DUMMYFUNCTION("""COMPUTED_VALUE"""),4.0E9)</f>
        <v>4000000000</v>
      </c>
      <c r="D35" s="17" t="str">
        <f>IFERROR(__xludf.DUMMYFUNCTION("""COMPUTED_VALUE"""),"Go Store It Partners is the self-storage brand and operating platform affiliated with Madison Capital Group, packaging self-storage assets into DST offerings. Self-storage is its single, defensible specialization—an asset class with low operating intensit"&amp;"y and resilient demand—and the Madison affiliation supplies vertically integrated operations and a roughly $4 billion platform behind it. The concentration is the point: investors get a focused storage thesis rather than diversification.")</f>
        <v>Go Store It Partners is the self-storage brand and operating platform affiliated with Madison Capital Group, packaging self-storage assets into DST offerings. Self-storage is its single, defensible specialization—an asset class with low operating intensity and resilient demand—and the Madison affiliation supplies vertically integrated operations and a roughly $4 billion platform behind it. The concentration is the point: investors get a focused storage thesis rather than diversification.</v>
      </c>
      <c r="E35" s="17" t="str">
        <f>IFERROR(__xludf.DUMMYFUNCTION("""COMPUTED_VALUE"""),"Specializes exclusively in self-storage, a low-operating-intensity, demand-resilient asset class.")</f>
        <v>Specializes exclusively in self-storage, a low-operating-intensity, demand-resilient asset class.</v>
      </c>
      <c r="F35" s="17" t="str">
        <f>IFERROR(__xludf.DUMMYFUNCTION("""COMPUTED_VALUE"""),"Operates as the storage platform of Madison Capital Group, drawing on a ~$4 billion affiliated base.")</f>
        <v>Operates as the storage platform of Madison Capital Group, drawing on a ~$4 billion affiliated base.</v>
      </c>
      <c r="G35" s="17" t="str">
        <f>IFERROR(__xludf.DUMMYFUNCTION("""COMPUTED_VALUE"""),"Runs a national vertically integrated storage operating platform rather than outsourcing.")</f>
        <v>Runs a national vertically integrated storage operating platform rather than outsourcing.</v>
      </c>
      <c r="H35" s="17" t="str">
        <f>IFERROR(__xludf.DUMMYFUNCTION("""COMPUTED_VALUE"""),"Packages stabilized storage into DSTs for focused-thesis 1031 investors.")</f>
        <v>Packages stabilized storage into DSTs for focused-thesis 1031 investors.</v>
      </c>
      <c r="I35" s="17" t="str">
        <f>IFERROR(__xludf.DUMMYFUNCTION("""COMPUTED_VALUE"""),"Concentration is the strategy, pure-play storage rather than diversification.")</f>
        <v>Concentration is the strategy, pure-play storage rather than diversification.</v>
      </c>
      <c r="J35" s="16" t="str">
        <f>IFERROR(__xludf.DUMMYFUNCTION("""COMPUTED_VALUE"""),"gostoreit.com")</f>
        <v>gostoreit.com</v>
      </c>
      <c r="K35" s="17" t="str">
        <f>IFERROR(__xludf.DUMMYFUNCTION("""COMPUTED_VALUE"""),"Charlotte, NC")</f>
        <v>Charlotte, NC</v>
      </c>
      <c r="L35" s="16" t="str">
        <f>IFERROR(__xludf.DUMMYFUNCTION("""COMPUTED_VALUE"""),"https://img.logo.dev/gostoreit.com?token=pk_FIVsDKgZTvCedVXXtt2rEg&amp;size=200&amp;retina=true")</f>
        <v>https://img.logo.dev/gostoreit.com?token=pk_FIVsDKgZTvCedVXXtt2rEg&amp;size=200&amp;retina=true</v>
      </c>
      <c r="M35" s="17">
        <f>IFERROR(__xludf.DUMMYFUNCTION("""COMPUTED_VALUE"""),0.0)</f>
        <v>0</v>
      </c>
      <c r="N35" s="13" t="str">
        <f>IFERROR(__xludf.DUMMYFUNCTION("""COMPUTED_VALUE"""),"No Data")</f>
        <v>No Data</v>
      </c>
      <c r="O35" s="27" t="str">
        <f>IFERROR(__xludf.DUMMYFUNCTION("""COMPUTED_VALUE"""),"No Data")</f>
        <v>No Data</v>
      </c>
      <c r="P35" s="28" t="str">
        <f>IFERROR(__xludf.DUMMYFUNCTION("""COMPUTED_VALUE"""),"No Data")</f>
        <v>No Data</v>
      </c>
      <c r="Q35" s="13" t="str">
        <f>IFERROR(__xludf.DUMMYFUNCTION("""COMPUTED_VALUE"""),"No Data")</f>
        <v>No Data</v>
      </c>
    </row>
    <row r="36">
      <c r="A36" s="17" t="str">
        <f>IFERROR(__xludf.DUMMYFUNCTION("""COMPUTED_VALUE"""),"Goldman Sachs")</f>
        <v>Goldman Sachs</v>
      </c>
      <c r="B36" s="17">
        <f>IFERROR(__xludf.DUMMYFUNCTION("""COMPUTED_VALUE"""),1869.0)</f>
        <v>1869</v>
      </c>
      <c r="C36" s="29">
        <f>IFERROR(__xludf.DUMMYFUNCTION("""COMPUTED_VALUE"""),3.1E12)</f>
        <v>3100000000000</v>
      </c>
      <c r="D36" s="17" t="str">
        <f>IFERROR(__xludf.DUMMYFUNCTION("""COMPUTED_VALUE"""),"Goldman Sachs reaches real estate investors through Goldman Sachs Asset Management's alternatives platform, part of a roughly $3.1 trillion asset-and-wealth-management franchise, with net-lease and real estate credit strategies among its offerings. Its re"&amp;"levance to the 1031 channel is institutional pedigree, global sourcing and distribution to institutions and ultra-high-net-worth clients; property DSTs are a minor expression of a sprawling global bank.")</f>
        <v>Goldman Sachs reaches real estate investors through Goldman Sachs Asset Management's alternatives platform, part of a roughly $3.1 trillion asset-and-wealth-management franchise, with net-lease and real estate credit strategies among its offerings. Its relevance to the 1031 channel is institutional pedigree, global sourcing and distribution to institutions and ultra-high-net-worth clients; property DSTs are a minor expression of a sprawling global bank.</v>
      </c>
      <c r="E36" s="17" t="str">
        <f>IFERROR(__xludf.DUMMYFUNCTION("""COMPUTED_VALUE"""),"Reaches real estate through Goldman Sachs Asset Management's alternatives platform (~$3.1T AWM).")</f>
        <v>Reaches real estate through Goldman Sachs Asset Management's alternatives platform (~$3.1T AWM).</v>
      </c>
      <c r="F36" s="17" t="str">
        <f>IFERROR(__xludf.DUMMYFUNCTION("""COMPUTED_VALUE"""),"Offers global real estate alternatives spanning equity and credit.")</f>
        <v>Offers global real estate alternatives spanning equity and credit.</v>
      </c>
      <c r="G36" s="17" t="str">
        <f>IFERROR(__xludf.DUMMYFUNCTION("""COMPUTED_VALUE"""),"Operates a real estate credit business with institutional origination capability.")</f>
        <v>Operates a real estate credit business with institutional origination capability.</v>
      </c>
      <c r="H36" s="17" t="str">
        <f>IFERROR(__xludf.DUMMYFUNCTION("""COMPUTED_VALUE"""),"Distributes to institutions and ultra-high-net-worth clients rather than the retail DST channel.")</f>
        <v>Distributes to institutions and ultra-high-net-worth clients rather than the retail DST channel.</v>
      </c>
      <c r="I36" s="17" t="str">
        <f>IFERROR(__xludf.DUMMYFUNCTION("""COMPUTED_VALUE"""),"Carries a merchant-banking heritage in principal real estate investing.")</f>
        <v>Carries a merchant-banking heritage in principal real estate investing.</v>
      </c>
      <c r="J36" s="16" t="str">
        <f>IFERROR(__xludf.DUMMYFUNCTION("""COMPUTED_VALUE"""),"goldmansachs.com")</f>
        <v>goldmansachs.com</v>
      </c>
      <c r="K36" s="17" t="str">
        <f>IFERROR(__xludf.DUMMYFUNCTION("""COMPUTED_VALUE"""),"New York, NY")</f>
        <v>New York, NY</v>
      </c>
      <c r="L36" s="16" t="str">
        <f>IFERROR(__xludf.DUMMYFUNCTION("""COMPUTED_VALUE"""),"https://img.logo.dev/goldmansachs.com?token=pk_FIVsDKgZTvCedVXXtt2rEg&amp;size=200&amp;retina=true")</f>
        <v>https://img.logo.dev/goldmansachs.com?token=pk_FIVsDKgZTvCedVXXtt2rEg&amp;size=200&amp;retina=true</v>
      </c>
      <c r="M36" s="17">
        <f>IFERROR(__xludf.DUMMYFUNCTION("""COMPUTED_VALUE"""),0.0)</f>
        <v>0</v>
      </c>
      <c r="N36" s="13" t="str">
        <f>IFERROR(__xludf.DUMMYFUNCTION("""COMPUTED_VALUE"""),"No Data")</f>
        <v>No Data</v>
      </c>
      <c r="O36" s="27" t="str">
        <f>IFERROR(__xludf.DUMMYFUNCTION("""COMPUTED_VALUE"""),"No Data")</f>
        <v>No Data</v>
      </c>
      <c r="P36" s="28" t="str">
        <f>IFERROR(__xludf.DUMMYFUNCTION("""COMPUTED_VALUE"""),"No Data")</f>
        <v>No Data</v>
      </c>
      <c r="Q36" s="13" t="str">
        <f>IFERROR(__xludf.DUMMYFUNCTION("""COMPUTED_VALUE"""),"No Data")</f>
        <v>No Data</v>
      </c>
    </row>
    <row r="37">
      <c r="A37" s="17" t="str">
        <f>IFERROR(__xludf.DUMMYFUNCTION("""COMPUTED_VALUE"""),"Greystar")</f>
        <v>Greystar</v>
      </c>
      <c r="B37" s="17">
        <f>IFERROR(__xludf.DUMMYFUNCTION("""COMPUTED_VALUE"""),1993.0)</f>
        <v>1993</v>
      </c>
      <c r="C37" s="29">
        <f>IFERROR(__xludf.DUMMYFUNCTION("""COMPUTED_VALUE"""),3.2E11)</f>
        <v>320000000000</v>
      </c>
      <c r="D37" s="17" t="str">
        <f>IFERROR(__xludf.DUMMYFUNCTION("""COMPUTED_VALUE"""),"Greystar is the world's largest apartment manager, owner and developer, with roughly $320 billion in real estate AUM and a fully vertically integrated develop-own-manage model spanning the globe. Its 2025 DST partnership with Trilogy brings that operating"&amp;" scale—and unrivaled multifamily data and execution—into the 1031 channel. For exchangers, the draw is best-in-class apartment operations at institutional scale; Greystar's edge is operational depth that no dedicated DST sponsor can approach.")</f>
        <v>Greystar is the world's largest apartment manager, owner and developer, with roughly $320 billion in real estate AUM and a fully vertically integrated develop-own-manage model spanning the globe. Its 2025 DST partnership with Trilogy brings that operating scale—and unrivaled multifamily data and execution—into the 1031 channel. For exchangers, the draw is best-in-class apartment operations at institutional scale; Greystar's edge is operational depth that no dedicated DST sponsor can approach.</v>
      </c>
      <c r="E37" s="17" t="str">
        <f>IFERROR(__xludf.DUMMYFUNCTION("""COMPUTED_VALUE"""),"Operates the world's largest apartment management/ownership/development platform.")</f>
        <v>Operates the world's largest apartment management/ownership/development platform.</v>
      </c>
      <c r="F37" s="17" t="str">
        <f>IFERROR(__xludf.DUMMYFUNCTION("""COMPUTED_VALUE"""),"Manages ~$320 billion in real estate, scale no dedicated DST sponsor approaches.")</f>
        <v>Manages ~$320 billion in real estate, scale no dedicated DST sponsor approaches.</v>
      </c>
      <c r="G37" s="17" t="str">
        <f>IFERROR(__xludf.DUMMYFUNCTION("""COMPUTED_VALUE"""),"Fully vertically integrated develop-own-manage globally, capturing economics at every stage.")</f>
        <v>Fully vertically integrated develop-own-manage globally, capturing economics at every stage.</v>
      </c>
      <c r="H37" s="17" t="str">
        <f>IFERROR(__xludf.DUMMYFUNCTION("""COMPUTED_VALUE"""),"Maintains a global multifamily footprint across the US, Europe and Latin America.")</f>
        <v>Maintains a global multifamily footprint across the US, Europe and Latin America.</v>
      </c>
      <c r="I37" s="17" t="str">
        <f>IFERROR(__xludf.DUMMYFUNCTION("""COMPUTED_VALUE"""),"Brought that scale into the 1031 channel via its 2025 DST partnership with Trilogy.")</f>
        <v>Brought that scale into the 1031 channel via its 2025 DST partnership with Trilogy.</v>
      </c>
      <c r="J37" s="16" t="str">
        <f>IFERROR(__xludf.DUMMYFUNCTION("""COMPUTED_VALUE"""),"greystar.com")</f>
        <v>greystar.com</v>
      </c>
      <c r="K37" s="17" t="str">
        <f>IFERROR(__xludf.DUMMYFUNCTION("""COMPUTED_VALUE"""),"Charleston, SC")</f>
        <v>Charleston, SC</v>
      </c>
      <c r="L37" s="16" t="str">
        <f>IFERROR(__xludf.DUMMYFUNCTION("""COMPUTED_VALUE"""),"https://img.logo.dev/greystar.com?token=pk_FIVsDKgZTvCedVXXtt2rEg&amp;size=200&amp;retina=true")</f>
        <v>https://img.logo.dev/greystar.com?token=pk_FIVsDKgZTvCedVXXtt2rEg&amp;size=200&amp;retina=true</v>
      </c>
      <c r="M37" s="17">
        <f>IFERROR(__xludf.DUMMYFUNCTION("""COMPUTED_VALUE"""),0.0)</f>
        <v>0</v>
      </c>
      <c r="N37" s="13" t="str">
        <f>IFERROR(__xludf.DUMMYFUNCTION("""COMPUTED_VALUE"""),"No Data")</f>
        <v>No Data</v>
      </c>
      <c r="O37" s="27" t="str">
        <f>IFERROR(__xludf.DUMMYFUNCTION("""COMPUTED_VALUE"""),"No Data")</f>
        <v>No Data</v>
      </c>
      <c r="P37" s="28" t="str">
        <f>IFERROR(__xludf.DUMMYFUNCTION("""COMPUTED_VALUE"""),"No Data")</f>
        <v>No Data</v>
      </c>
      <c r="Q37" s="13" t="str">
        <f>IFERROR(__xludf.DUMMYFUNCTION("""COMPUTED_VALUE"""),"No Data")</f>
        <v>No Data</v>
      </c>
    </row>
    <row r="38">
      <c r="A38" s="17" t="str">
        <f>IFERROR(__xludf.DUMMYFUNCTION("""COMPUTED_VALUE"""),"Griffin Capital")</f>
        <v>Griffin Capital</v>
      </c>
      <c r="B38" s="17">
        <f>IFERROR(__xludf.DUMMYFUNCTION("""COMPUTED_VALUE"""),1995.0)</f>
        <v>1995</v>
      </c>
      <c r="C38" s="29">
        <f>IFERROR(__xludf.DUMMYFUNCTION("""COMPUTED_VALUE"""),3.5E9)</f>
        <v>3500000000</v>
      </c>
      <c r="D38" s="17" t="str">
        <f>IFERROR(__xludf.DUMMYFUNCTION("""COMPUTED_VALUE"""),"Griffin Capital is an El Segundo alternative asset manager that has owned or sponsored roughly $23 billion of real estate over its history and now reaches exchangers through Griffin Institutional Property Exchange (GPX), focused on Class A multifamily and"&amp;" net-lease DSTs. A defining feature is alignment: its executives have co-invested more than $300 million alongside investors. With a heritage in non-traded REITs and interval funds and a portfolio spanning roughly 29 markets, Griffin pairs institutional u"&amp;"nderwriting with unusually strong sponsor skin-in-the-game.")</f>
        <v>Griffin Capital is an El Segundo alternative asset manager that has owned or sponsored roughly $23 billion of real estate over its history and now reaches exchangers through Griffin Institutional Property Exchange (GPX), focused on Class A multifamily and net-lease DSTs. A defining feature is alignment: its executives have co-invested more than $300 million alongside investors. With a heritage in non-traded REITs and interval funds and a portfolio spanning roughly 29 markets, Griffin pairs institutional underwriting with unusually strong sponsor skin-in-the-game.</v>
      </c>
      <c r="E38" s="17" t="str">
        <f>IFERROR(__xludf.DUMMYFUNCTION("""COMPUTED_VALUE"""),"Reaches exchangers via Griffin Institutional Property Exchange (GPX), Class A multifamily and net-lease DSTs.")</f>
        <v>Reaches exchangers via Griffin Institutional Property Exchange (GPX), Class A multifamily and net-lease DSTs.</v>
      </c>
      <c r="F38" s="17" t="str">
        <f>IFERROR(__xludf.DUMMYFUNCTION("""COMPUTED_VALUE"""),"Executives have co-invested $300M+ alongside investors, a strong alignment signal.")</f>
        <v>Executives have co-invested $300M+ alongside investors, a strong alignment signal.</v>
      </c>
      <c r="G38" s="17" t="str">
        <f>IFERROR(__xludf.DUMMYFUNCTION("""COMPUTED_VALUE"""),"Has owned/sponsored ~$23 billion of real estate historically; current portfolio ~$3.5 billion.")</f>
        <v>Has owned/sponsored ~$23 billion of real estate historically; current portfolio ~$3.5 billion.</v>
      </c>
      <c r="H38" s="17" t="str">
        <f>IFERROR(__xludf.DUMMYFUNCTION("""COMPUTED_VALUE"""),"Carries a non-traded REIT and interval-fund heritage.")</f>
        <v>Carries a non-traded REIT and interval-fund heritage.</v>
      </c>
      <c r="I38" s="17" t="str">
        <f>IFERROR(__xludf.DUMMYFUNCTION("""COMPUTED_VALUE"""),"Diversifies across roughly 29 markets.")</f>
        <v>Diversifies across roughly 29 markets.</v>
      </c>
      <c r="J38" s="16" t="str">
        <f>IFERROR(__xludf.DUMMYFUNCTION("""COMPUTED_VALUE"""),"griffincapital.com")</f>
        <v>griffincapital.com</v>
      </c>
      <c r="K38" s="17" t="str">
        <f>IFERROR(__xludf.DUMMYFUNCTION("""COMPUTED_VALUE"""),"El Segundo, CA")</f>
        <v>El Segundo, CA</v>
      </c>
      <c r="L38" s="16" t="str">
        <f>IFERROR(__xludf.DUMMYFUNCTION("""COMPUTED_VALUE"""),"https://img.logo.dev/griffincapital.com?token=pk_FIVsDKgZTvCedVXXtt2rEg&amp;size=200&amp;retina=true")</f>
        <v>https://img.logo.dev/griffincapital.com?token=pk_FIVsDKgZTvCedVXXtt2rEg&amp;size=200&amp;retina=true</v>
      </c>
      <c r="M38" s="17">
        <f>IFERROR(__xludf.DUMMYFUNCTION("""COMPUTED_VALUE"""),2.0)</f>
        <v>2</v>
      </c>
      <c r="N38" s="13">
        <f>IFERROR(__xludf.DUMMYFUNCTION("""COMPUTED_VALUE"""),0.1804)</f>
        <v>0.1804</v>
      </c>
      <c r="O38" s="27">
        <f>IFERROR(__xludf.DUMMYFUNCTION("""COMPUTED_VALUE"""),1.7149999999999999)</f>
        <v>1.715</v>
      </c>
      <c r="P38" s="28">
        <f>IFERROR(__xludf.DUMMYFUNCTION("""COMPUTED_VALUE"""),4.415)</f>
        <v>4.415</v>
      </c>
      <c r="Q38" s="13">
        <f>IFERROR(__xludf.DUMMYFUNCTION("""COMPUTED_VALUE"""),1.0)</f>
        <v>1</v>
      </c>
    </row>
    <row r="39">
      <c r="A39" s="17" t="str">
        <f>IFERROR(__xludf.DUMMYFUNCTION("""COMPUTED_VALUE"""),"Hamilton Point Investments")</f>
        <v>Hamilton Point Investments</v>
      </c>
      <c r="B39" s="17">
        <f>IFERROR(__xludf.DUMMYFUNCTION("""COMPUTED_VALUE"""),2009.0)</f>
        <v>2009</v>
      </c>
      <c r="C39" s="29">
        <f>IFERROR(__xludf.DUMMYFUNCTION("""COMPUTED_VALUE"""),3.8E9)</f>
        <v>3800000000</v>
      </c>
      <c r="D39" s="17" t="str">
        <f>IFERROR(__xludf.DUMMYFUNCTION("""COMPUTED_VALUE"""),"Hamilton Point Investments is an Old Lyme real estate sponsor formed in 2009. Its funds and affiliates have completed more than 150 investments, acquiring over 32,000 apartment units, hotel room keys, and manufactured-housing lots for approximately $3.5 b"&amp;"illion. As of June 15, 2026, HPI reports 83 properties sold, all profitably, and 69 properties currently owned. The attached track record reports eight completed funds with a 17.1% weighted-average net IRR, seven completed single-asset DSTs averaging 14.0"&amp;"% net IRR, and a 16.9% weighted-average net IRR across the completed funds and DSTs.")</f>
        <v>Hamilton Point Investments is an Old Lyme real estate sponsor formed in 2009. Its funds and affiliates have completed more than 150 investments, acquiring over 32,000 apartment units, hotel room keys, and manufactured-housing lots for approximately $3.5 billion. As of June 15, 2026, HPI reports 83 properties sold, all profitably, and 69 properties currently owned. The attached track record reports eight completed funds with a 17.1% weighted-average net IRR, seven completed single-asset DSTs averaging 14.0% net IRR, and a 16.9% weighted-average net IRR across the completed funds and DSTs.</v>
      </c>
      <c r="E39" s="17" t="str">
        <f>IFERROR(__xludf.DUMMYFUNCTION("""COMPUTED_VALUE"""),"Owns and operates assets through its affiliated in-house property-management platform.")</f>
        <v>Owns and operates assets through its affiliated in-house property-management platform.</v>
      </c>
      <c r="F39" s="17" t="str">
        <f>IFERROR(__xludf.DUMMYFUNCTION("""COMPUTED_VALUE"""),"Reports a 17.1% weighted-average net IRR across eight completed funds.")</f>
        <v>Reports a 17.1% weighted-average net IRR across eight completed funds.</v>
      </c>
      <c r="G39" s="17" t="str">
        <f>IFERROR(__xludf.DUMMYFUNCTION("""COMPUTED_VALUE"""),"Reports seven single-asset DSTs taken full-cycle at an average 14.0% net IRR.")</f>
        <v>Reports seven single-asset DSTs taken full-cycle at an average 14.0% net IRR.</v>
      </c>
      <c r="H39" s="17" t="str">
        <f>IFERROR(__xludf.DUMMYFUNCTION("""COMPUTED_VALUE"""),"Has completed 150+ investments encompassing over 32,000 apartment units, hotel keys, and manufactured-housing lots.")</f>
        <v>Has completed 150+ investments encompassing over 32,000 apartment units, hotel keys, and manufactured-housing lots.</v>
      </c>
      <c r="I39" s="17" t="str">
        <f>IFERROR(__xludf.DUMMYFUNCTION("""COMPUTED_VALUE"""),"Reports approximately $3.5 billion of acquisitions, 83 profitable property sales, and 69 properties currently owned.")</f>
        <v>Reports approximately $3.5 billion of acquisitions, 83 profitable property sales, and 69 properties currently owned.</v>
      </c>
      <c r="J39" s="16" t="str">
        <f>IFERROR(__xludf.DUMMYFUNCTION("""COMPUTED_VALUE"""),"hamiltonptinv.com")</f>
        <v>hamiltonptinv.com</v>
      </c>
      <c r="K39" s="17" t="str">
        <f>IFERROR(__xludf.DUMMYFUNCTION("""COMPUTED_VALUE"""),"Old Lyme, CT")</f>
        <v>Old Lyme, CT</v>
      </c>
      <c r="L39" s="16" t="str">
        <f>IFERROR(__xludf.DUMMYFUNCTION("""COMPUTED_VALUE"""),"https://img.logo.dev/hamiltonptinv.com?token=pk_FIVsDKgZTvCedVXXtt2rEg&amp;size=200&amp;retina=true")</f>
        <v>https://img.logo.dev/hamiltonptinv.com?token=pk_FIVsDKgZTvCedVXXtt2rEg&amp;size=200&amp;retina=true</v>
      </c>
      <c r="M39" s="17">
        <f>IFERROR(__xludf.DUMMYFUNCTION("""COMPUTED_VALUE"""),15.0)</f>
        <v>15</v>
      </c>
      <c r="N39" s="13">
        <f>IFERROR(__xludf.DUMMYFUNCTION("""COMPUTED_VALUE"""),0.15428666666666666)</f>
        <v>0.1542866667</v>
      </c>
      <c r="O39" s="27" t="str">
        <f>IFERROR(__xludf.DUMMYFUNCTION("""COMPUTED_VALUE"""),"No Data")</f>
        <v>No Data</v>
      </c>
      <c r="P39" s="28">
        <f>IFERROR(__xludf.DUMMYFUNCTION("""COMPUTED_VALUE"""),4.25)</f>
        <v>4.25</v>
      </c>
      <c r="Q39" s="13">
        <f>IFERROR(__xludf.DUMMYFUNCTION("""COMPUTED_VALUE"""),1.0)</f>
        <v>1</v>
      </c>
    </row>
    <row r="40">
      <c r="A40" s="17" t="str">
        <f>IFERROR(__xludf.DUMMYFUNCTION("""COMPUTED_VALUE"""),"Hines")</f>
        <v>Hines</v>
      </c>
      <c r="B40" s="17">
        <f>IFERROR(__xludf.DUMMYFUNCTION("""COMPUTED_VALUE"""),1957.0)</f>
        <v>1957</v>
      </c>
      <c r="C40" s="29">
        <f>IFERROR(__xludf.DUMMYFUNCTION("""COMPUTED_VALUE"""),9.3E10)</f>
        <v>93000000000</v>
      </c>
      <c r="D40" s="17" t="str">
        <f>IFERROR(__xludf.DUMMYFUNCTION("""COMPUTED_VALUE"""),"Hines is a global private real estate firm founded in 1957, managing roughly $93 billion across a develop-own-operate platform that few peers can match in geographic and asset-class reach. It reaches retail and exchange investors through non-traded vehicl"&amp;"es such as Hines Global Income Trust and its DST offerings. Privately held and family-controlled, Hines brings institutional development and operating depth to the 1031 channel, where its programs represent a small extension of a vast global business.")</f>
        <v>Hines is a global private real estate firm founded in 1957, managing roughly $93 billion across a develop-own-operate platform that few peers can match in geographic and asset-class reach. It reaches retail and exchange investors through non-traded vehicles such as Hines Global Income Trust and its DST offerings. Privately held and family-controlled, Hines brings institutional development and operating depth to the 1031 channel, where its programs represent a small extension of a vast global business.</v>
      </c>
      <c r="E40" s="17" t="str">
        <f>IFERROR(__xludf.DUMMYFUNCTION("""COMPUTED_VALUE"""),"Operates a global develop-own-operate platform across 30 countries.")</f>
        <v>Operates a global develop-own-operate platform across 30 countries.</v>
      </c>
      <c r="F40" s="17" t="str">
        <f>IFERROR(__xludf.DUMMYFUNCTION("""COMPUTED_VALUE"""),"Reaches retail/exchange investors through Hines Global Income Trust and DST offerings.")</f>
        <v>Reaches retail/exchange investors through Hines Global Income Trust and DST offerings.</v>
      </c>
      <c r="G40" s="17" t="str">
        <f>IFERROR(__xludf.DUMMYFUNCTION("""COMPUTED_VALUE"""),"Manages ~$93 billion with deep institutional development expertise.")</f>
        <v>Manages ~$93 billion with deep institutional development expertise.</v>
      </c>
      <c r="H40" s="17" t="str">
        <f>IFERROR(__xludf.DUMMYFUNCTION("""COMPUTED_VALUE"""),"Privately held and family-controlled, supporting long-term orientation.")</f>
        <v>Privately held and family-controlled, supporting long-term orientation.</v>
      </c>
      <c r="I40" s="17" t="str">
        <f>IFERROR(__xludf.DUMMYFUNCTION("""COMPUTED_VALUE"""),"DST/1031 activity is a small extension of a vast global business.")</f>
        <v>DST/1031 activity is a small extension of a vast global business.</v>
      </c>
      <c r="J40" s="16" t="str">
        <f>IFERROR(__xludf.DUMMYFUNCTION("""COMPUTED_VALUE"""),"hines.com")</f>
        <v>hines.com</v>
      </c>
      <c r="K40" s="17" t="str">
        <f>IFERROR(__xludf.DUMMYFUNCTION("""COMPUTED_VALUE"""),"Houston, TX")</f>
        <v>Houston, TX</v>
      </c>
      <c r="L40" s="16" t="str">
        <f>IFERROR(__xludf.DUMMYFUNCTION("""COMPUTED_VALUE"""),"https://img.logo.dev/hines.com?token=pk_FIVsDKgZTvCedVXXtt2rEg&amp;size=200&amp;retina=true")</f>
        <v>https://img.logo.dev/hines.com?token=pk_FIVsDKgZTvCedVXXtt2rEg&amp;size=200&amp;retina=true</v>
      </c>
      <c r="M40" s="17">
        <f>IFERROR(__xludf.DUMMYFUNCTION("""COMPUTED_VALUE"""),0.0)</f>
        <v>0</v>
      </c>
      <c r="N40" s="13" t="str">
        <f>IFERROR(__xludf.DUMMYFUNCTION("""COMPUTED_VALUE"""),"No Data")</f>
        <v>No Data</v>
      </c>
      <c r="O40" s="27" t="str">
        <f>IFERROR(__xludf.DUMMYFUNCTION("""COMPUTED_VALUE"""),"No Data")</f>
        <v>No Data</v>
      </c>
      <c r="P40" s="28" t="str">
        <f>IFERROR(__xludf.DUMMYFUNCTION("""COMPUTED_VALUE"""),"No Data")</f>
        <v>No Data</v>
      </c>
      <c r="Q40" s="13" t="str">
        <f>IFERROR(__xludf.DUMMYFUNCTION("""COMPUTED_VALUE"""),"No Data")</f>
        <v>No Data</v>
      </c>
    </row>
    <row r="41">
      <c r="A41" s="17" t="str">
        <f>IFERROR(__xludf.DUMMYFUNCTION("""COMPUTED_VALUE"""),"HPA Exchange")</f>
        <v>HPA Exchange</v>
      </c>
      <c r="B41" s="17">
        <f>IFERROR(__xludf.DUMMYFUNCTION("""COMPUTED_VALUE"""),2008.0)</f>
        <v>2008</v>
      </c>
      <c r="C41" s="29">
        <f>IFERROR(__xludf.DUMMYFUNCTION("""COMPUTED_VALUE"""),5.8E8)</f>
        <v>580000000</v>
      </c>
      <c r="D41" s="17" t="str">
        <f>IFERROR(__xludf.DUMMYFUNCTION("""COMPUTED_VALUE"""),"HPA Exchange is the DST platform affiliated with Housing Partnership Acquisitions, specializing in single-family rental (SFR) portfolios—an institutionalizing asset class that brings scaled residential operations to exchange investors. Its differentiation"&amp;" is the SFR focus and the operating platform behind it; current AUM is not publicly disclosed, and the firm's limited public footprint warrants direct diligence.")</f>
        <v>HPA Exchange is the DST platform affiliated with Housing Partnership Acquisitions, specializing in single-family rental (SFR) portfolios—an institutionalizing asset class that brings scaled residential operations to exchange investors. Its differentiation is the SFR focus and the operating platform behind it; current AUM is not publicly disclosed, and the firm's limited public footprint warrants direct diligence.</v>
      </c>
      <c r="E41" s="17" t="str">
        <f>IFERROR(__xludf.DUMMYFUNCTION("""COMPUTED_VALUE"""),"Specializes in single-family rental (SFR) portfolios, an institutionalizing residential asset class.")</f>
        <v>Specializes in single-family rental (SFR) portfolios, an institutionalizing residential asset class.</v>
      </c>
      <c r="F41" s="17" t="str">
        <f>IFERROR(__xludf.DUMMYFUNCTION("""COMPUTED_VALUE"""),"Operates a scaled SFR platform, differentiated from apartment or net-lease DSTs.")</f>
        <v>Operates a scaled SFR platform, differentiated from apartment or net-lease DSTs.</v>
      </c>
      <c r="G41" s="17" t="str">
        <f>IFERROR(__xludf.DUMMYFUNCTION("""COMPUTED_VALUE"""),"Affiliated with Housing Partnership Acquisitions for operating infrastructure.")</f>
        <v>Affiliated with Housing Partnership Acquisitions for operating infrastructure.</v>
      </c>
      <c r="H41" s="17" t="str">
        <f>IFERROR(__xludf.DUMMYFUNCTION("""COMPUTED_VALUE"""),"Offers exposure to dispersed single-family assets rather than a single building.")</f>
        <v>Offers exposure to dispersed single-family assets rather than a single building.</v>
      </c>
      <c r="I41" s="17" t="str">
        <f>IFERROR(__xludf.DUMMYFUNCTION("""COMPUTED_VALUE"""),"Current AUM is not publicly disclosed.")</f>
        <v>Current AUM is not publicly disclosed.</v>
      </c>
      <c r="J41" s="16" t="str">
        <f>IFERROR(__xludf.DUMMYFUNCTION("""COMPUTED_VALUE"""),"hpaxchange.com")</f>
        <v>hpaxchange.com</v>
      </c>
      <c r="K41" s="17" t="str">
        <f>IFERROR(__xludf.DUMMYFUNCTION("""COMPUTED_VALUE"""),"Dallas, TX")</f>
        <v>Dallas, TX</v>
      </c>
      <c r="L41" s="16" t="str">
        <f>IFERROR(__xludf.DUMMYFUNCTION("""COMPUTED_VALUE"""),"https://img.logo.dev/hpaxchange.com?token=pk_FIVsDKgZTvCedVXXtt2rEg&amp;size=200&amp;retina=true")</f>
        <v>https://img.logo.dev/hpaxchange.com?token=pk_FIVsDKgZTvCedVXXtt2rEg&amp;size=200&amp;retina=true</v>
      </c>
      <c r="M41" s="17">
        <f>IFERROR(__xludf.DUMMYFUNCTION("""COMPUTED_VALUE"""),0.0)</f>
        <v>0</v>
      </c>
      <c r="N41" s="13" t="str">
        <f>IFERROR(__xludf.DUMMYFUNCTION("""COMPUTED_VALUE"""),"No Data")</f>
        <v>No Data</v>
      </c>
      <c r="O41" s="27" t="str">
        <f>IFERROR(__xludf.DUMMYFUNCTION("""COMPUTED_VALUE"""),"No Data")</f>
        <v>No Data</v>
      </c>
      <c r="P41" s="28" t="str">
        <f>IFERROR(__xludf.DUMMYFUNCTION("""COMPUTED_VALUE"""),"No Data")</f>
        <v>No Data</v>
      </c>
      <c r="Q41" s="13" t="str">
        <f>IFERROR(__xludf.DUMMYFUNCTION("""COMPUTED_VALUE"""),"No Data")</f>
        <v>No Data</v>
      </c>
    </row>
    <row r="42">
      <c r="A42" s="17" t="str">
        <f>IFERROR(__xludf.DUMMYFUNCTION("""COMPUTED_VALUE"""),"Inland")</f>
        <v>Inland</v>
      </c>
      <c r="B42" s="17">
        <f>IFERROR(__xludf.DUMMYFUNCTION("""COMPUTED_VALUE"""),1968.0)</f>
        <v>1968</v>
      </c>
      <c r="C42" s="29">
        <f>IFERROR(__xludf.DUMMYFUNCTION("""COMPUTED_VALUE"""),1.23E10)</f>
        <v>12300000000</v>
      </c>
      <c r="D42" s="17" t="str">
        <f>IFERROR(__xludf.DUMMYFUNCTION("""COMPUTED_VALUE"""),"Inland Private Capital Corporation is the leading provider of securitized 1031 exchange opportunities in the United States—a designation supported by Mountain Dell Consulting's sponsor rankings—managing more than $12.3 billion across 317 offerings in 43 s"&amp;"tates as of mid-2024. A subsidiary of the 50-plus-year Inland Real Estate Group, IPC has sponsored 323 programs, acquired upward of $18 billion in assets, and returned more than $3.5 billion through full-cycle monetizations, with diversification spanning "&amp;"eight-plus property sectors and growing QOZ and single-family-rental platforms. That combination of market leadership, breadth and a deep disposition track record makes Inland the institutional anchor of the DST category.")</f>
        <v>Inland Private Capital Corporation is the leading provider of securitized 1031 exchange opportunities in the United States—a designation supported by Mountain Dell Consulting's sponsor rankings—managing more than $12.3 billion across 317 offerings in 43 states as of mid-2024. A subsidiary of the 50-plus-year Inland Real Estate Group, IPC has sponsored 323 programs, acquired upward of $18 billion in assets, and returned more than $3.5 billion through full-cycle monetizations, with diversification spanning eight-plus property sectors and growing QOZ and single-family-rental platforms. That combination of market leadership, breadth and a deep disposition track record makes Inland the institutional anchor of the DST category.</v>
      </c>
      <c r="E42" s="17" t="str">
        <f>IFERROR(__xludf.DUMMYFUNCTION("""COMPUTED_VALUE"""),"Recognized as the leading provider of securitized 1031 exchange opportunities in the U.S. (Mountain Dell rankings).")</f>
        <v>Recognized as the leading provider of securitized 1031 exchange opportunities in the U.S. (Mountain Dell rankings).</v>
      </c>
      <c r="F42" s="17" t="str">
        <f>IFERROR(__xludf.DUMMYFUNCTION("""COMPUTED_VALUE"""),"Has sponsored 323 programs and acquired $18B+ in assets historically.")</f>
        <v>Has sponsored 323 programs and acquired $18B+ in assets historically.</v>
      </c>
      <c r="G42" s="17" t="str">
        <f>IFERROR(__xludf.DUMMYFUNCTION("""COMPUTED_VALUE"""),"Returned $3.5B+ through full-cycle monetizations, a deep disposition record.")</f>
        <v>Returned $3.5B+ through full-cycle monetizations, a deep disposition record.</v>
      </c>
      <c r="H42" s="17" t="str">
        <f>IFERROR(__xludf.DUMMYFUNCTION("""COMPUTED_VALUE"""),"Diversifies across 8+ property sectors and 43 states, the broadest DST footprint.")</f>
        <v>Diversifies across 8+ property sectors and 43 states, the broadest DST footprint.</v>
      </c>
      <c r="I42" s="17" t="str">
        <f>IFERROR(__xludf.DUMMYFUNCTION("""COMPUTED_VALUE"""),"Operates growing QOZ and single-family-rental platforms ($700M+ SFR).")</f>
        <v>Operates growing QOZ and single-family-rental platforms ($700M+ SFR).</v>
      </c>
      <c r="J42" s="16" t="str">
        <f>IFERROR(__xludf.DUMMYFUNCTION("""COMPUTED_VALUE"""),"inlandprivatecapital.com")</f>
        <v>inlandprivatecapital.com</v>
      </c>
      <c r="K42" s="17" t="str">
        <f>IFERROR(__xludf.DUMMYFUNCTION("""COMPUTED_VALUE"""),"Oak Brook, IL")</f>
        <v>Oak Brook, IL</v>
      </c>
      <c r="L42" s="16" t="str">
        <f>IFERROR(__xludf.DUMMYFUNCTION("""COMPUTED_VALUE"""),"https://img.logo.dev/inlandprivatecapital.com?token=pk_FIVsDKgZTvCedVXXtt2rEg&amp;size=200&amp;retina=true")</f>
        <v>https://img.logo.dev/inlandprivatecapital.com?token=pk_FIVsDKgZTvCedVXXtt2rEg&amp;size=200&amp;retina=true</v>
      </c>
      <c r="M42" s="17">
        <f>IFERROR(__xludf.DUMMYFUNCTION("""COMPUTED_VALUE"""),72.0)</f>
        <v>72</v>
      </c>
      <c r="N42" s="13">
        <f>IFERROR(__xludf.DUMMYFUNCTION("""COMPUTED_VALUE"""),0.08099861111111112)</f>
        <v>0.08099861111</v>
      </c>
      <c r="O42" s="27">
        <f>IFERROR(__xludf.DUMMYFUNCTION("""COMPUTED_VALUE"""),1.5309722222222224)</f>
        <v>1.530972222</v>
      </c>
      <c r="P42" s="28">
        <f>IFERROR(__xludf.DUMMYFUNCTION("""COMPUTED_VALUE"""),6.91097222222222)</f>
        <v>6.910972222</v>
      </c>
      <c r="Q42" s="13">
        <f>IFERROR(__xludf.DUMMYFUNCTION("""COMPUTED_VALUE"""),0.9444444444444444)</f>
        <v>0.9444444444</v>
      </c>
    </row>
    <row r="43">
      <c r="A43" s="17" t="str">
        <f>IFERROR(__xludf.DUMMYFUNCTION("""COMPUTED_VALUE"""),"Invesco")</f>
        <v>Invesco</v>
      </c>
      <c r="B43" s="17">
        <f>IFERROR(__xludf.DUMMYFUNCTION("""COMPUTED_VALUE"""),1935.0)</f>
        <v>1935</v>
      </c>
      <c r="C43" s="29">
        <f>IFERROR(__xludf.DUMMYFUNCTION("""COMPUTED_VALUE"""),8.5E10)</f>
        <v>85000000000</v>
      </c>
      <c r="D43" s="17" t="str">
        <f>IFERROR(__xludf.DUMMYFUNCTION("""COMPUTED_VALUE"""),"Invesco reaches the 1031 market through Invesco Real Estate Exchange (INREX), the DST arm of a global asset manager whose real estate group oversees roughly $85 billion, and it complements that with the Invesco Commercial Real Estate Finance Trust. With a"&amp;" 40-year real estate track record and institutional sourcing across sectors including industrial and cold storage, Invesco brings disciplined, research-driven underwriting to exchangers—DSTs being one channel within a roughly $1.8 trillion global platform"&amp;".")</f>
        <v>Invesco reaches the 1031 market through Invesco Real Estate Exchange (INREX), the DST arm of a global asset manager whose real estate group oversees roughly $85 billion, and it complements that with the Invesco Commercial Real Estate Finance Trust. With a 40-year real estate track record and institutional sourcing across sectors including industrial and cold storage, Invesco brings disciplined, research-driven underwriting to exchangers—DSTs being one channel within a roughly $1.8 trillion global platform.</v>
      </c>
      <c r="E43" s="17" t="str">
        <f>IFERROR(__xludf.DUMMYFUNCTION("""COMPUTED_VALUE"""),"Reaches exchangers through Invesco Real Estate Exchange (INREX), the DST arm of a ~$85B real estate group.")</f>
        <v>Reaches exchangers through Invesco Real Estate Exchange (INREX), the DST arm of a ~$85B real estate group.</v>
      </c>
      <c r="F43" s="17" t="str">
        <f>IFERROR(__xludf.DUMMYFUNCTION("""COMPUTED_VALUE"""),"Sources institutional assets including industrial and cold storage.")</f>
        <v>Sources institutional assets including industrial and cold storage.</v>
      </c>
      <c r="G43" s="17" t="str">
        <f>IFERROR(__xludf.DUMMYFUNCTION("""COMPUTED_VALUE"""),"Complements DSTs with the Invesco Commercial Real Estate Finance Trust.")</f>
        <v>Complements DSTs with the Invesco Commercial Real Estate Finance Trust.</v>
      </c>
      <c r="H43" s="17" t="str">
        <f>IFERROR(__xludf.DUMMYFUNCTION("""COMPUTED_VALUE"""),"Brings a 40-year real estate track record and research-driven underwriting.")</f>
        <v>Brings a 40-year real estate track record and research-driven underwriting.</v>
      </c>
      <c r="I43" s="17" t="str">
        <f>IFERROR(__xludf.DUMMYFUNCTION("""COMPUTED_VALUE"""),"DSTs are one channel within a ~$1.8 trillion global platform.")</f>
        <v>DSTs are one channel within a ~$1.8 trillion global platform.</v>
      </c>
      <c r="J43" s="16" t="str">
        <f>IFERROR(__xludf.DUMMYFUNCTION("""COMPUTED_VALUE"""),"invesco.com")</f>
        <v>invesco.com</v>
      </c>
      <c r="K43" s="17" t="str">
        <f>IFERROR(__xludf.DUMMYFUNCTION("""COMPUTED_VALUE"""),"Atlanta, GA")</f>
        <v>Atlanta, GA</v>
      </c>
      <c r="L43" s="16" t="str">
        <f>IFERROR(__xludf.DUMMYFUNCTION("""COMPUTED_VALUE"""),"https://img.logo.dev/invesco.com?token=pk_FIVsDKgZTvCedVXXtt2rEg&amp;size=200&amp;retina=true")</f>
        <v>https://img.logo.dev/invesco.com?token=pk_FIVsDKgZTvCedVXXtt2rEg&amp;size=200&amp;retina=true</v>
      </c>
      <c r="M43" s="17">
        <f>IFERROR(__xludf.DUMMYFUNCTION("""COMPUTED_VALUE"""),0.0)</f>
        <v>0</v>
      </c>
      <c r="N43" s="13" t="str">
        <f>IFERROR(__xludf.DUMMYFUNCTION("""COMPUTED_VALUE"""),"No Data")</f>
        <v>No Data</v>
      </c>
      <c r="O43" s="27" t="str">
        <f>IFERROR(__xludf.DUMMYFUNCTION("""COMPUTED_VALUE"""),"No Data")</f>
        <v>No Data</v>
      </c>
      <c r="P43" s="28" t="str">
        <f>IFERROR(__xludf.DUMMYFUNCTION("""COMPUTED_VALUE"""),"No Data")</f>
        <v>No Data</v>
      </c>
      <c r="Q43" s="13" t="str">
        <f>IFERROR(__xludf.DUMMYFUNCTION("""COMPUTED_VALUE"""),"No Data")</f>
        <v>No Data</v>
      </c>
    </row>
    <row r="44">
      <c r="A44" s="17" t="str">
        <f>IFERROR(__xludf.DUMMYFUNCTION("""COMPUTED_VALUE"""),"J.P. Morgan")</f>
        <v>J.P. Morgan</v>
      </c>
      <c r="B44" s="17">
        <f>IFERROR(__xludf.DUMMYFUNCTION("""COMPUTED_VALUE"""),1871.0)</f>
        <v>1871</v>
      </c>
      <c r="C44" s="29">
        <f>IFERROR(__xludf.DUMMYFUNCTION("""COMPUTED_VALUE"""),3.7E12)</f>
        <v>3700000000000</v>
      </c>
      <c r="D44" s="17" t="str">
        <f>IFERROR(__xludf.DUMMYFUNCTION("""COMPUTED_VALUE"""),"J.P. Morgan reaches real estate investors through J.P. Morgan Asset Management, part of a roughly $3.7 trillion asset-and-wealth-management franchise, sponsoring non-traded REIT vehicles and offering global real estate and real estate-credit strategies. I"&amp;"ts relevance to the 1031 channel is institutional scale, sourcing and distribution to institutions and ultra-high-net-worth clients rather than a dedicated DST specialty.")</f>
        <v>J.P. Morgan reaches real estate investors through J.P. Morgan Asset Management, part of a roughly $3.7 trillion asset-and-wealth-management franchise, sponsoring non-traded REIT vehicles and offering global real estate and real estate-credit strategies. Its relevance to the 1031 channel is institutional scale, sourcing and distribution to institutions and ultra-high-net-worth clients rather than a dedicated DST specialty.</v>
      </c>
      <c r="E44" s="17" t="str">
        <f>IFERROR(__xludf.DUMMYFUNCTION("""COMPUTED_VALUE"""),"Reaches real estate through J.P. Morgan Asset Management (~$3.7T AWM).")</f>
        <v>Reaches real estate through J.P. Morgan Asset Management (~$3.7T AWM).</v>
      </c>
      <c r="F44" s="17" t="str">
        <f>IFERROR(__xludf.DUMMYFUNCTION("""COMPUTED_VALUE"""),"Sponsors non-traded REIT vehicles for retail and institutional investors.")</f>
        <v>Sponsors non-traded REIT vehicles for retail and institutional investors.</v>
      </c>
      <c r="G44" s="17" t="str">
        <f>IFERROR(__xludf.DUMMYFUNCTION("""COMPUTED_VALUE"""),"Offers global real estate alternatives spanning equity and credit.")</f>
        <v>Offers global real estate alternatives spanning equity and credit.</v>
      </c>
      <c r="H44" s="17" t="str">
        <f>IFERROR(__xludf.DUMMYFUNCTION("""COMPUTED_VALUE"""),"Distributes to institutions and ultra-high-net-worth clients at scale.")</f>
        <v>Distributes to institutions and ultra-high-net-worth clients at scale.</v>
      </c>
      <c r="I44" s="17" t="str">
        <f>IFERROR(__xludf.DUMMYFUNCTION("""COMPUTED_VALUE"""),"Carries deep real estate credit capability alongside equity.")</f>
        <v>Carries deep real estate credit capability alongside equity.</v>
      </c>
      <c r="J44" s="16" t="str">
        <f>IFERROR(__xludf.DUMMYFUNCTION("""COMPUTED_VALUE"""),"jpmorgan.com")</f>
        <v>jpmorgan.com</v>
      </c>
      <c r="K44" s="17" t="str">
        <f>IFERROR(__xludf.DUMMYFUNCTION("""COMPUTED_VALUE"""),"New York, NY")</f>
        <v>New York, NY</v>
      </c>
      <c r="L44" s="16" t="str">
        <f>IFERROR(__xludf.DUMMYFUNCTION("""COMPUTED_VALUE"""),"https://img.logo.dev/jpmorgan.com?token=pk_FIVsDKgZTvCedVXXtt2rEg&amp;size=200&amp;retina=true")</f>
        <v>https://img.logo.dev/jpmorgan.com?token=pk_FIVsDKgZTvCedVXXtt2rEg&amp;size=200&amp;retina=true</v>
      </c>
      <c r="M44" s="17">
        <f>IFERROR(__xludf.DUMMYFUNCTION("""COMPUTED_VALUE"""),0.0)</f>
        <v>0</v>
      </c>
      <c r="N44" s="13" t="str">
        <f>IFERROR(__xludf.DUMMYFUNCTION("""COMPUTED_VALUE"""),"No Data")</f>
        <v>No Data</v>
      </c>
      <c r="O44" s="27" t="str">
        <f>IFERROR(__xludf.DUMMYFUNCTION("""COMPUTED_VALUE"""),"No Data")</f>
        <v>No Data</v>
      </c>
      <c r="P44" s="28" t="str">
        <f>IFERROR(__xludf.DUMMYFUNCTION("""COMPUTED_VALUE"""),"No Data")</f>
        <v>No Data</v>
      </c>
      <c r="Q44" s="13" t="str">
        <f>IFERROR(__xludf.DUMMYFUNCTION("""COMPUTED_VALUE"""),"No Data")</f>
        <v>No Data</v>
      </c>
    </row>
    <row r="45">
      <c r="A45" s="17" t="str">
        <f>IFERROR(__xludf.DUMMYFUNCTION("""COMPUTED_VALUE"""),"JLL")</f>
        <v>JLL</v>
      </c>
      <c r="B45" s="17">
        <f>IFERROR(__xludf.DUMMYFUNCTION("""COMPUTED_VALUE"""),2012.0)</f>
        <v>2012</v>
      </c>
      <c r="C45" s="29">
        <f>IFERROR(__xludf.DUMMYFUNCTION("""COMPUTED_VALUE"""),6.5E9)</f>
        <v>6500000000</v>
      </c>
      <c r="D45" s="17" t="str">
        <f>IFERROR(__xludf.DUMMYFUNCTION("""COMPUTED_VALUE"""),"JLL Exchange (JLLX) is the DST and 1031 platform of JLL Income Property Trust, an institutionally managed daily-NAV non-traded REIT carrying roughly $6.5 billion in portfolio assets. Its structural differentiation is meaningful: a daily-NAV REIT backbone,"&amp;" a low-fee institutional posture, and a defined 14-transaction, roughly $960 million full-cycle UPREIT track record that lets exchangers roll DST interests into a diversified, professionally managed REIT. Backed by JLL's global sourcing, JLLX has raised m"&amp;"ore than $1.7 billion across 26 DST offerings, positioning it among the more institutional options in the category.")</f>
        <v>JLL Exchange (JLLX) is the DST and 1031 platform of JLL Income Property Trust, an institutionally managed daily-NAV non-traded REIT carrying roughly $6.5 billion in portfolio assets. Its structural differentiation is meaningful: a daily-NAV REIT backbone, a low-fee institutional posture, and a defined 14-transaction, roughly $960 million full-cycle UPREIT track record that lets exchangers roll DST interests into a diversified, professionally managed REIT. Backed by JLL's global sourcing, JLLX has raised more than $1.7 billion across 26 DST offerings, positioning it among the more institutional options in the category.</v>
      </c>
      <c r="E45" s="17" t="str">
        <f>IFERROR(__xludf.DUMMYFUNCTION("""COMPUTED_VALUE"""),"Operates JLLX, the DST arm of JLL Income Property Trust, on a daily-NAV non-traded REIT backbone.")</f>
        <v>Operates JLLX, the DST arm of JLL Income Property Trust, on a daily-NAV non-traded REIT backbone.</v>
      </c>
      <c r="F45" s="17" t="str">
        <f>IFERROR(__xludf.DUMMYFUNCTION("""COMPUTED_VALUE"""),"Has raised $1.7B+ across 26 DST offerings.")</f>
        <v>Has raised $1.7B+ across 26 DST offerings.</v>
      </c>
      <c r="G45" s="17" t="str">
        <f>IFERROR(__xludf.DUMMYFUNCTION("""COMPUTED_VALUE"""),"Completed 14 full-cycle UPREIT transactions totaling ~$960 million, a proven exit.")</f>
        <v>Completed 14 full-cycle UPREIT transactions totaling ~$960 million, a proven exit.</v>
      </c>
      <c r="H45" s="17" t="str">
        <f>IFERROR(__xludf.DUMMYFUNCTION("""COMPUTED_VALUE"""),"Maintains a low-fee, institutional posture relative to typical retail DSTs.")</f>
        <v>Maintains a low-fee, institutional posture relative to typical retail DSTs.</v>
      </c>
      <c r="I45" s="17" t="str">
        <f>IFERROR(__xludf.DUMMYFUNCTION("""COMPUTED_VALUE"""),"Backed by JLL's global sourcing and a ~$6.5 billion portfolio.")</f>
        <v>Backed by JLL's global sourcing and a ~$6.5 billion portfolio.</v>
      </c>
      <c r="J45" s="16" t="str">
        <f>IFERROR(__xludf.DUMMYFUNCTION("""COMPUTED_VALUE"""),"jllipt.com")</f>
        <v>jllipt.com</v>
      </c>
      <c r="K45" s="17" t="str">
        <f>IFERROR(__xludf.DUMMYFUNCTION("""COMPUTED_VALUE"""),"Chicago, IL")</f>
        <v>Chicago, IL</v>
      </c>
      <c r="L45" s="16" t="str">
        <f>IFERROR(__xludf.DUMMYFUNCTION("""COMPUTED_VALUE"""),"https://img.logo.dev/jllipt.com?token=pk_FIVsDKgZTvCedVXXtt2rEg&amp;size=200&amp;retina=true")</f>
        <v>https://img.logo.dev/jllipt.com?token=pk_FIVsDKgZTvCedVXXtt2rEg&amp;size=200&amp;retina=true</v>
      </c>
      <c r="M45" s="17">
        <f>IFERROR(__xludf.DUMMYFUNCTION("""COMPUTED_VALUE"""),0.0)</f>
        <v>0</v>
      </c>
      <c r="N45" s="13" t="str">
        <f>IFERROR(__xludf.DUMMYFUNCTION("""COMPUTED_VALUE"""),"No Data")</f>
        <v>No Data</v>
      </c>
      <c r="O45" s="27" t="str">
        <f>IFERROR(__xludf.DUMMYFUNCTION("""COMPUTED_VALUE"""),"No Data")</f>
        <v>No Data</v>
      </c>
      <c r="P45" s="28" t="str">
        <f>IFERROR(__xludf.DUMMYFUNCTION("""COMPUTED_VALUE"""),"No Data")</f>
        <v>No Data</v>
      </c>
      <c r="Q45" s="13" t="str">
        <f>IFERROR(__xludf.DUMMYFUNCTION("""COMPUTED_VALUE"""),"No Data")</f>
        <v>No Data</v>
      </c>
    </row>
    <row r="46">
      <c r="A46" s="17" t="str">
        <f>IFERROR(__xludf.DUMMYFUNCTION("""COMPUTED_VALUE"""),"Kay Properties")</f>
        <v>Kay Properties</v>
      </c>
      <c r="B46" s="17">
        <f>IFERROR(__xludf.DUMMYFUNCTION("""COMPUTED_VALUE"""),2010.0)</f>
        <v>2010</v>
      </c>
      <c r="C46" s="29">
        <f>IFERROR(__xludf.DUMMYFUNCTION("""COMPUTED_VALUE"""),3.0E10)</f>
        <v>30000000000</v>
      </c>
      <c r="D46" s="17" t="str">
        <f>IFERROR(__xludf.DUMMYFUNCTION("""COMPUTED_VALUE"""),"Kay Properties &amp; Investments is the largest independent DST marketplace, founded in 2010 by Dwight Kay, aggregating offerings from 25-plus sponsors alongside custom 'Kay-only' debt-free DSTs and an unusual secondary market for DST interests. The platform'"&amp;"s scale shows in its record 2021 placement of roughly $610 million in equity—up nearly 50% year over year—and in a cumulative volume that it frames as participation in more than $30 billion of DST 1031 investments. Its differentiation is curation, custom "&amp;"structuring and investor education rather than balance-sheet sponsorship; the firm sits between investors and sponsors as the category's leading distribution and advisory hub.")</f>
        <v>Kay Properties &amp; Investments is the largest independent DST marketplace, founded in 2010 by Dwight Kay, aggregating offerings from 25-plus sponsors alongside custom 'Kay-only' debt-free DSTs and an unusual secondary market for DST interests. The platform's scale shows in its record 2021 placement of roughly $610 million in equity—up nearly 50% year over year—and in a cumulative volume that it frames as participation in more than $30 billion of DST 1031 investments. Its differentiation is curation, custom structuring and investor education rather than balance-sheet sponsorship; the firm sits between investors and sponsors as the category's leading distribution and advisory hub.</v>
      </c>
      <c r="E46" s="17" t="str">
        <f>IFERROR(__xludf.DUMMYFUNCTION("""COMPUTED_VALUE"""),"Operates the largest independent DST marketplace, aggregating 25+ sponsors, distribution scale single sponsors lack.")</f>
        <v>Operates the largest independent DST marketplace, aggregating 25+ sponsors, distribution scale single sponsors lack.</v>
      </c>
      <c r="F46" s="17" t="str">
        <f>IFERROR(__xludf.DUMMYFUNCTION("""COMPUTED_VALUE"""),"Structures custom, debt-free 'Kay-only' DSTs unavailable elsewhere.")</f>
        <v>Structures custom, debt-free 'Kay-only' DSTs unavailable elsewhere.</v>
      </c>
      <c r="G46" s="17" t="str">
        <f>IFERROR(__xludf.DUMMYFUNCTION("""COMPUTED_VALUE"""),"Placed a record ~$610 million in equity in 2021, up nearly 50% year over year.")</f>
        <v>Placed a record ~$610 million in equity in 2021, up nearly 50% year over year.</v>
      </c>
      <c r="H46" s="17" t="str">
        <f>IFERROR(__xludf.DUMMYFUNCTION("""COMPUTED_VALUE"""),"Runs a secondary market for DST interests, a rare liquidity feature.")</f>
        <v>Runs a secondary market for DST interests, a rare liquidity feature.</v>
      </c>
      <c r="I46" s="17" t="str">
        <f>IFERROR(__xludf.DUMMYFUNCTION("""COMPUTED_VALUE"""),"Has participated in $30B+ of DST 1031 investments cumulatively with a robust education platform.")</f>
        <v>Has participated in $30B+ of DST 1031 investments cumulatively with a robust education platform.</v>
      </c>
      <c r="J46" s="16" t="str">
        <f>IFERROR(__xludf.DUMMYFUNCTION("""COMPUTED_VALUE"""),"kpi1031.com")</f>
        <v>kpi1031.com</v>
      </c>
      <c r="K46" s="17" t="str">
        <f>IFERROR(__xludf.DUMMYFUNCTION("""COMPUTED_VALUE"""),"Torrance, CA")</f>
        <v>Torrance, CA</v>
      </c>
      <c r="L46" s="16" t="str">
        <f>IFERROR(__xludf.DUMMYFUNCTION("""COMPUTED_VALUE"""),"https://img.logo.dev/kpi1031.com?token=pk_FIVsDKgZTvCedVXXtt2rEg&amp;size=200&amp;retina=true")</f>
        <v>https://img.logo.dev/kpi1031.com?token=pk_FIVsDKgZTvCedVXXtt2rEg&amp;size=200&amp;retina=true</v>
      </c>
      <c r="M46" s="17">
        <f>IFERROR(__xludf.DUMMYFUNCTION("""COMPUTED_VALUE"""),0.0)</f>
        <v>0</v>
      </c>
      <c r="N46" s="13" t="str">
        <f>IFERROR(__xludf.DUMMYFUNCTION("""COMPUTED_VALUE"""),"No Data")</f>
        <v>No Data</v>
      </c>
      <c r="O46" s="27" t="str">
        <f>IFERROR(__xludf.DUMMYFUNCTION("""COMPUTED_VALUE"""),"No Data")</f>
        <v>No Data</v>
      </c>
      <c r="P46" s="28" t="str">
        <f>IFERROR(__xludf.DUMMYFUNCTION("""COMPUTED_VALUE"""),"No Data")</f>
        <v>No Data</v>
      </c>
      <c r="Q46" s="13" t="str">
        <f>IFERROR(__xludf.DUMMYFUNCTION("""COMPUTED_VALUE"""),"No Data")</f>
        <v>No Data</v>
      </c>
    </row>
    <row r="47">
      <c r="A47" s="17" t="str">
        <f>IFERROR(__xludf.DUMMYFUNCTION("""COMPUTED_VALUE"""),"Keystone National Properties")</f>
        <v>Keystone National Properties</v>
      </c>
      <c r="B47" s="17">
        <f>IFERROR(__xludf.DUMMYFUNCTION("""COMPUTED_VALUE"""),2016.0)</f>
        <v>2016</v>
      </c>
      <c r="C47" s="29">
        <f>IFERROR(__xludf.DUMMYFUNCTION("""COMPUTED_VALUE"""),1.3E8)</f>
        <v>130000000</v>
      </c>
      <c r="D47" s="17" t="str">
        <f>IFERROR(__xludf.DUMMYFUNCTION("""COMPUTED_VALUE"""),"Keystone National Properties is a New York DST sponsor founded in 2016 by Michael Packman, managing roughly $130 million and distinguished by an explicit impact orientation—'doing well by doing good'—layered onto net-lease and Opportunity Zone offerings. "&amp;"Its DSTs lean on credit-tenant net lease such as FedEx Ground, and it complements them with QOZ programs. As a newer, smaller sponsor, it offers a differentiated thesis but a shorter track record, warranting diligence commensurate with its scale.")</f>
        <v>Keystone National Properties is a New York DST sponsor founded in 2016 by Michael Packman, managing roughly $130 million and distinguished by an explicit impact orientation—'doing well by doing good'—layered onto net-lease and Opportunity Zone offerings. Its DSTs lean on credit-tenant net lease such as FedEx Ground, and it complements them with QOZ programs. As a newer, smaller sponsor, it offers a differentiated thesis but a shorter track record, warranting diligence commensurate with its scale.</v>
      </c>
      <c r="E47" s="17" t="str">
        <f>IFERROR(__xludf.DUMMYFUNCTION("""COMPUTED_VALUE"""),"Built on an explicit impact thesis ('doing well by doing good') differentiating its offerings.")</f>
        <v>Built on an explicit impact thesis ('doing well by doing good') differentiating its offerings.</v>
      </c>
      <c r="F47" s="17" t="str">
        <f>IFERROR(__xludf.DUMMYFUNCTION("""COMPUTED_VALUE"""),"Structures net-lease credit-tenant DSTs around tenants such as FedEx Ground.")</f>
        <v>Structures net-lease credit-tenant DSTs around tenants such as FedEx Ground.</v>
      </c>
      <c r="G47" s="17" t="str">
        <f>IFERROR(__xludf.DUMMYFUNCTION("""COMPUTED_VALUE"""),"Complements DSTs with Qualified Opportunity Zone programs.")</f>
        <v>Complements DSTs with Qualified Opportunity Zone programs.</v>
      </c>
      <c r="H47" s="17" t="str">
        <f>IFERROR(__xludf.DUMMYFUNCTION("""COMPUTED_VALUE"""),"Founder Michael Packman provides focused leadership at ~$130 million scale.")</f>
        <v>Founder Michael Packman provides focused leadership at ~$130 million scale.</v>
      </c>
      <c r="I47" s="17" t="str">
        <f>IFERROR(__xludf.DUMMYFUNCTION("""COMPUTED_VALUE"""),"Newer and smaller, warranting diligence commensurate with size and track record.")</f>
        <v>Newer and smaller, warranting diligence commensurate with size and track record.</v>
      </c>
      <c r="J47" s="16" t="str">
        <f>IFERROR(__xludf.DUMMYFUNCTION("""COMPUTED_VALUE"""),"knpre.com")</f>
        <v>knpre.com</v>
      </c>
      <c r="K47" s="17" t="str">
        <f>IFERROR(__xludf.DUMMYFUNCTION("""COMPUTED_VALUE"""),"New York, NY")</f>
        <v>New York, NY</v>
      </c>
      <c r="L47" s="16" t="str">
        <f>IFERROR(__xludf.DUMMYFUNCTION("""COMPUTED_VALUE"""),"https://img.logo.dev/knpre.com?token=pk_FIVsDKgZTvCedVXXtt2rEg&amp;size=200&amp;retina=true")</f>
        <v>https://img.logo.dev/knpre.com?token=pk_FIVsDKgZTvCedVXXtt2rEg&amp;size=200&amp;retina=true</v>
      </c>
      <c r="M47" s="17">
        <f>IFERROR(__xludf.DUMMYFUNCTION("""COMPUTED_VALUE"""),0.0)</f>
        <v>0</v>
      </c>
      <c r="N47" s="13" t="str">
        <f>IFERROR(__xludf.DUMMYFUNCTION("""COMPUTED_VALUE"""),"No Data")</f>
        <v>No Data</v>
      </c>
      <c r="O47" s="27" t="str">
        <f>IFERROR(__xludf.DUMMYFUNCTION("""COMPUTED_VALUE"""),"No Data")</f>
        <v>No Data</v>
      </c>
      <c r="P47" s="28" t="str">
        <f>IFERROR(__xludf.DUMMYFUNCTION("""COMPUTED_VALUE"""),"No Data")</f>
        <v>No Data</v>
      </c>
      <c r="Q47" s="13" t="str">
        <f>IFERROR(__xludf.DUMMYFUNCTION("""COMPUTED_VALUE"""),"No Data")</f>
        <v>No Data</v>
      </c>
    </row>
    <row r="48">
      <c r="A48" s="17" t="str">
        <f>IFERROR(__xludf.DUMMYFUNCTION("""COMPUTED_VALUE"""),"Kingsbarn Realty Capital")</f>
        <v>Kingsbarn Realty Capital</v>
      </c>
      <c r="B48" s="17">
        <f>IFERROR(__xludf.DUMMYFUNCTION("""COMPUTED_VALUE"""),2011.0)</f>
        <v>2011</v>
      </c>
      <c r="C48" s="29">
        <f>IFERROR(__xludf.DUMMYFUNCTION("""COMPUTED_VALUE"""),2.7E9)</f>
        <v>2700000000</v>
      </c>
      <c r="D48" s="17" t="str">
        <f>IFERROR(__xludf.DUMMYFUNCTION("""COMPUTED_VALUE"""),"Kingsbarn Realty Capital is a Las Vegas diversified platform managing more than $2.7 billion across DSTs, private equity and funds, with over $5 billion acquired since its 2011 founding and an in-house development arm running a $2 billion-plus pipeline. I"&amp;"ts signature is the proprietary Managed-Direct Ownership program and a DST franchise of 80-plus offerings totaling roughly $2 billion in equity, executed through its KB Exchange Trust arm. The combination of vertical development capability and a sizable D"&amp;"ST book positions Kingsbarn as a credible mid-to-large sponsor with control over its own product.")</f>
        <v>Kingsbarn Realty Capital is a Las Vegas diversified platform managing more than $2.7 billion across DSTs, private equity and funds, with over $5 billion acquired since its 2011 founding and an in-house development arm running a $2 billion-plus pipeline. Its signature is the proprietary Managed-Direct Ownership program and a DST franchise of 80-plus offerings totaling roughly $2 billion in equity, executed through its KB Exchange Trust arm. The combination of vertical development capability and a sizable DST book positions Kingsbarn as a credible mid-to-large sponsor with control over its own product.</v>
      </c>
      <c r="E48" s="17" t="str">
        <f>IFERROR(__xludf.DUMMYFUNCTION("""COMPUTED_VALUE"""),"Operates the proprietary Managed-Direct Ownership program, a differentiated alternative to fractional DST interests.")</f>
        <v>Operates the proprietary Managed-Direct Ownership program, a differentiated alternative to fractional DST interests.</v>
      </c>
      <c r="F48" s="17" t="str">
        <f>IFERROR(__xludf.DUMMYFUNCTION("""COMPUTED_VALUE"""),"Has sponsored 80+ DST offerings totaling ~$2 billion in equity.")</f>
        <v>Has sponsored 80+ DST offerings totaling ~$2 billion in equity.</v>
      </c>
      <c r="G48" s="17" t="str">
        <f>IFERROR(__xludf.DUMMYFUNCTION("""COMPUTED_VALUE"""),"Runs an in-house development arm with a $2B+ pipeline, sourcing its own product.")</f>
        <v>Runs an in-house development arm with a $2B+ pipeline, sourcing its own product.</v>
      </c>
      <c r="H48" s="17" t="str">
        <f>IFERROR(__xludf.DUMMYFUNCTION("""COMPUTED_VALUE"""),"Manages $2.7B+ across 325+ properties, $5B+ acquired lifetime.")</f>
        <v>Manages $2.7B+ across 325+ properties, $5B+ acquired lifetime.</v>
      </c>
      <c r="I48" s="17" t="str">
        <f>IFERROR(__xludf.DUMMYFUNCTION("""COMPUTED_VALUE"""),"Channels DST sponsorship through its KB Exchange Trust arm.")</f>
        <v>Channels DST sponsorship through its KB Exchange Trust arm.</v>
      </c>
      <c r="J48" s="16" t="str">
        <f>IFERROR(__xludf.DUMMYFUNCTION("""COMPUTED_VALUE"""),"kingsbarn.com")</f>
        <v>kingsbarn.com</v>
      </c>
      <c r="K48" s="17" t="str">
        <f>IFERROR(__xludf.DUMMYFUNCTION("""COMPUTED_VALUE"""),"Las Vegas, NV")</f>
        <v>Las Vegas, NV</v>
      </c>
      <c r="L48" s="16" t="str">
        <f>IFERROR(__xludf.DUMMYFUNCTION("""COMPUTED_VALUE"""),"https://img.logo.dev/kingsbarn.com?token=pk_FIVsDKgZTvCedVXXtt2rEg&amp;size=200&amp;retina=true")</f>
        <v>https://img.logo.dev/kingsbarn.com?token=pk_FIVsDKgZTvCedVXXtt2rEg&amp;size=200&amp;retina=true</v>
      </c>
      <c r="M48" s="17">
        <f>IFERROR(__xludf.DUMMYFUNCTION("""COMPUTED_VALUE"""),0.0)</f>
        <v>0</v>
      </c>
      <c r="N48" s="13" t="str">
        <f>IFERROR(__xludf.DUMMYFUNCTION("""COMPUTED_VALUE"""),"No Data")</f>
        <v>No Data</v>
      </c>
      <c r="O48" s="27" t="str">
        <f>IFERROR(__xludf.DUMMYFUNCTION("""COMPUTED_VALUE"""),"No Data")</f>
        <v>No Data</v>
      </c>
      <c r="P48" s="28" t="str">
        <f>IFERROR(__xludf.DUMMYFUNCTION("""COMPUTED_VALUE"""),"No Data")</f>
        <v>No Data</v>
      </c>
      <c r="Q48" s="13" t="str">
        <f>IFERROR(__xludf.DUMMYFUNCTION("""COMPUTED_VALUE"""),"No Data")</f>
        <v>No Data</v>
      </c>
    </row>
    <row r="49">
      <c r="A49" s="17" t="str">
        <f>IFERROR(__xludf.DUMMYFUNCTION("""COMPUTED_VALUE"""),"KKR")</f>
        <v>KKR</v>
      </c>
      <c r="B49" s="17">
        <f>IFERROR(__xludf.DUMMYFUNCTION("""COMPUTED_VALUE"""),1976.0)</f>
        <v>1976</v>
      </c>
      <c r="C49" s="29">
        <f>IFERROR(__xludf.DUMMYFUNCTION("""COMPUTED_VALUE"""),6.86E11)</f>
        <v>686000000000</v>
      </c>
      <c r="D49" s="17" t="str">
        <f>IFERROR(__xludf.DUMMYFUNCTION("""COMPUTED_VALUE"""),"KKR is a global alternatives leader managing $686 billion as of mid-2025—up 14% year over year, with fee-paying AUM of $556 billion and perpetual capital approaching $289 billion, or roughly 42% of the firm. It reaches real estate investors through funds "&amp;"and the KKR Real Estate Select Trust (KREST), a non-traded REIT, spanning both equity and credit, and it benefits from the balance-sheet heft of its Global Atlantic insurance arm. For exchangers, the appeal is institutional scale and a fast-growing perpet"&amp;"ual-capital base; real estate DSTs are a small expression of the broader platform.")</f>
        <v>KKR is a global alternatives leader managing $686 billion as of mid-2025—up 14% year over year, with fee-paying AUM of $556 billion and perpetual capital approaching $289 billion, or roughly 42% of the firm. It reaches real estate investors through funds and the KKR Real Estate Select Trust (KREST), a non-traded REIT, spanning both equity and credit, and it benefits from the balance-sheet heft of its Global Atlantic insurance arm. For exchangers, the appeal is institutional scale and a fast-growing perpetual-capital base; real estate DSTs are a small expression of the broader platform.</v>
      </c>
      <c r="E49" s="17" t="str">
        <f>IFERROR(__xludf.DUMMYFUNCTION("""COMPUTED_VALUE"""),"Manages $686 billion, up 14% year over year, with fee-paying AUM of $556 billion.")</f>
        <v>Manages $686 billion, up 14% year over year, with fee-paying AUM of $556 billion.</v>
      </c>
      <c r="F49" s="17" t="str">
        <f>IFERROR(__xludf.DUMMYFUNCTION("""COMPUTED_VALUE"""),"Reaches real estate investors through the KKR Real Estate Select Trust (KREST).")</f>
        <v>Reaches real estate investors through the KKR Real Estate Select Trust (KREST).</v>
      </c>
      <c r="G49" s="17" t="str">
        <f>IFERROR(__xludf.DUMMYFUNCTION("""COMPUTED_VALUE"""),"Operates across both real estate equity and credit.")</f>
        <v>Operates across both real estate equity and credit.</v>
      </c>
      <c r="H49" s="17" t="str">
        <f>IFERROR(__xludf.DUMMYFUNCTION("""COMPUTED_VALUE"""),"Backed by the Global Atlantic insurance balance sheet, supplying permanent capital.")</f>
        <v>Backed by the Global Atlantic insurance balance sheet, supplying permanent capital.</v>
      </c>
      <c r="I49" s="17" t="str">
        <f>IFERROR(__xludf.DUMMYFUNCTION("""COMPUTED_VALUE"""),"Perpetual capital approaching $289 billion (~42% of the firm) is its fastest-growing base.")</f>
        <v>Perpetual capital approaching $289 billion (~42% of the firm) is its fastest-growing base.</v>
      </c>
      <c r="J49" s="16" t="str">
        <f>IFERROR(__xludf.DUMMYFUNCTION("""COMPUTED_VALUE"""),"kkr.com")</f>
        <v>kkr.com</v>
      </c>
      <c r="K49" s="17" t="str">
        <f>IFERROR(__xludf.DUMMYFUNCTION("""COMPUTED_VALUE"""),"New York, NY")</f>
        <v>New York, NY</v>
      </c>
      <c r="L49" s="16" t="str">
        <f>IFERROR(__xludf.DUMMYFUNCTION("""COMPUTED_VALUE"""),"https://img.logo.dev/kkr.com?token=pk_FIVsDKgZTvCedVXXtt2rEg&amp;size=200&amp;retina=true")</f>
        <v>https://img.logo.dev/kkr.com?token=pk_FIVsDKgZTvCedVXXtt2rEg&amp;size=200&amp;retina=true</v>
      </c>
      <c r="M49" s="17">
        <f>IFERROR(__xludf.DUMMYFUNCTION("""COMPUTED_VALUE"""),0.0)</f>
        <v>0</v>
      </c>
      <c r="N49" s="13" t="str">
        <f>IFERROR(__xludf.DUMMYFUNCTION("""COMPUTED_VALUE"""),"No Data")</f>
        <v>No Data</v>
      </c>
      <c r="O49" s="27" t="str">
        <f>IFERROR(__xludf.DUMMYFUNCTION("""COMPUTED_VALUE"""),"No Data")</f>
        <v>No Data</v>
      </c>
      <c r="P49" s="28" t="str">
        <f>IFERROR(__xludf.DUMMYFUNCTION("""COMPUTED_VALUE"""),"No Data")</f>
        <v>No Data</v>
      </c>
      <c r="Q49" s="13" t="str">
        <f>IFERROR(__xludf.DUMMYFUNCTION("""COMPUTED_VALUE"""),"No Data")</f>
        <v>No Data</v>
      </c>
    </row>
    <row r="50">
      <c r="A50" s="17" t="str">
        <f>IFERROR(__xludf.DUMMYFUNCTION("""COMPUTED_VALUE"""),"LaSalle Investment Management")</f>
        <v>LaSalle Investment Management</v>
      </c>
      <c r="B50" s="17">
        <f>IFERROR(__xludf.DUMMYFUNCTION("""COMPUTED_VALUE"""),1980.0)</f>
        <v>1980</v>
      </c>
      <c r="C50" s="29">
        <f>IFERROR(__xludf.DUMMYFUNCTION("""COMPUTED_VALUE"""),8.9E10)</f>
        <v>89000000000</v>
      </c>
      <c r="D50" s="17" t="str">
        <f>IFERROR(__xludf.DUMMYFUNCTION("""COMPUTED_VALUE"""),"LaSalle Investment Management is a roughly $89 billion global real estate investment manager and a JLL affiliate, operating institutional open- and closed-end funds, separate accounts and a real estate securities business. Its relevance to the 1031 channe"&amp;"l is institutional pedigree and global sourcing rather than a retail DST specialty; investors encounter it primarily as an institutional manager.")</f>
        <v>LaSalle Investment Management is a roughly $89 billion global real estate investment manager and a JLL affiliate, operating institutional open- and closed-end funds, separate accounts and a real estate securities business. Its relevance to the 1031 channel is institutional pedigree and global sourcing rather than a retail DST specialty; investors encounter it primarily as an institutional manager.</v>
      </c>
      <c r="E50" s="17" t="str">
        <f>IFERROR(__xludf.DUMMYFUNCTION("""COMPUTED_VALUE"""),"Operates a ~$89 billion global real estate platform spanning funds, separate accounts and securities.")</f>
        <v>Operates a ~$89 billion global real estate platform spanning funds, separate accounts and securities.</v>
      </c>
      <c r="F50" s="17" t="str">
        <f>IFERROR(__xludf.DUMMYFUNCTION("""COMPUTED_VALUE"""),"Affiliated with JLL, providing global sourcing and research.")</f>
        <v>Affiliated with JLL, providing global sourcing and research.</v>
      </c>
      <c r="G50" s="17" t="str">
        <f>IFERROR(__xludf.DUMMYFUNCTION("""COMPUTED_VALUE"""),"Runs both open- and closed-end institutional fund structures.")</f>
        <v>Runs both open- and closed-end institutional fund structures.</v>
      </c>
      <c r="H50" s="17" t="str">
        <f>IFERROR(__xludf.DUMMYFUNCTION("""COMPUTED_VALUE"""),"Maintains a dedicated real estate securities business.")</f>
        <v>Maintains a dedicated real estate securities business.</v>
      </c>
      <c r="I50" s="17" t="str">
        <f>IFERROR(__xludf.DUMMYFUNCTION("""COMPUTED_VALUE"""),"Institutional pedigree rather than a retail DST specialty.")</f>
        <v>Institutional pedigree rather than a retail DST specialty.</v>
      </c>
      <c r="J50" s="16" t="str">
        <f>IFERROR(__xludf.DUMMYFUNCTION("""COMPUTED_VALUE"""),"lasalle.com")</f>
        <v>lasalle.com</v>
      </c>
      <c r="K50" s="17" t="str">
        <f>IFERROR(__xludf.DUMMYFUNCTION("""COMPUTED_VALUE"""),"Chicago, IL")</f>
        <v>Chicago, IL</v>
      </c>
      <c r="L50" s="16" t="str">
        <f>IFERROR(__xludf.DUMMYFUNCTION("""COMPUTED_VALUE"""),"https://img.logo.dev/lasalle.com?token=pk_FIVsDKgZTvCedVXXtt2rEg&amp;size=200&amp;retina=true")</f>
        <v>https://img.logo.dev/lasalle.com?token=pk_FIVsDKgZTvCedVXXtt2rEg&amp;size=200&amp;retina=true</v>
      </c>
      <c r="M50" s="17">
        <f>IFERROR(__xludf.DUMMYFUNCTION("""COMPUTED_VALUE"""),0.0)</f>
        <v>0</v>
      </c>
      <c r="N50" s="13" t="str">
        <f>IFERROR(__xludf.DUMMYFUNCTION("""COMPUTED_VALUE"""),"No Data")</f>
        <v>No Data</v>
      </c>
      <c r="O50" s="27" t="str">
        <f>IFERROR(__xludf.DUMMYFUNCTION("""COMPUTED_VALUE"""),"No Data")</f>
        <v>No Data</v>
      </c>
      <c r="P50" s="28" t="str">
        <f>IFERROR(__xludf.DUMMYFUNCTION("""COMPUTED_VALUE"""),"No Data")</f>
        <v>No Data</v>
      </c>
      <c r="Q50" s="13" t="str">
        <f>IFERROR(__xludf.DUMMYFUNCTION("""COMPUTED_VALUE"""),"No Data")</f>
        <v>No Data</v>
      </c>
    </row>
    <row r="51">
      <c r="A51" s="17" t="str">
        <f>IFERROR(__xludf.DUMMYFUNCTION("""COMPUTED_VALUE"""),"Livingston Street Capital")</f>
        <v>Livingston Street Capital</v>
      </c>
      <c r="B51" s="17">
        <f>IFERROR(__xludf.DUMMYFUNCTION("""COMPUTED_VALUE"""),2016.0)</f>
        <v>2016</v>
      </c>
      <c r="C51" s="29">
        <f>IFERROR(__xludf.DUMMYFUNCTION("""COMPUTED_VALUE"""),4.0E8)</f>
        <v>400000000</v>
      </c>
      <c r="D51" s="17" t="str">
        <f>IFERROR(__xludf.DUMMYFUNCTION("""COMPUTED_VALUE"""),"Livingston Street Capital is a New York thematic sponsor, founded in 2016, built around a focused demographic bet on Active Adult (55+) and Independent Living housing, which it operates through its vertically integrated Allure Lifestyle Communities platfo"&amp;"rm. With more than 2,300 active-adult and independent-living units plus over a million square feet of commercial assets, and a leadership team citing $20 billion-plus in career transactions, the firm pairs a clear secular thesis with operating control. Cu"&amp;"rrent AUM is not publicly disclosed, but the specialized, operator-led model is its defining feature.")</f>
        <v>Livingston Street Capital is a New York thematic sponsor, founded in 2016, built around a focused demographic bet on Active Adult (55+) and Independent Living housing, which it operates through its vertically integrated Allure Lifestyle Communities platform. With more than 2,300 active-adult and independent-living units plus over a million square feet of commercial assets, and a leadership team citing $20 billion-plus in career transactions, the firm pairs a clear secular thesis with operating control. Current AUM is not publicly disclosed, but the specialized, operator-led model is its defining feature.</v>
      </c>
      <c r="E51" s="17" t="str">
        <f>IFERROR(__xludf.DUMMYFUNCTION("""COMPUTED_VALUE"""),"Built around a focused bet on Active Adult (55+) and Independent Living housing.")</f>
        <v>Built around a focused bet on Active Adult (55+) and Independent Living housing.</v>
      </c>
      <c r="F51" s="17" t="str">
        <f>IFERROR(__xludf.DUMMYFUNCTION("""COMPUTED_VALUE"""),"Operates that thesis through its vertically integrated Allure Lifestyle Communities operator.")</f>
        <v>Operates that thesis through its vertically integrated Allure Lifestyle Communities operator.</v>
      </c>
      <c r="G51" s="17" t="str">
        <f>IFERROR(__xludf.DUMMYFUNCTION("""COMPUTED_VALUE"""),"Manages 2,300+ active-adult/independent-living units plus 1M+ sq ft commercial.")</f>
        <v>Manages 2,300+ active-adult/independent-living units plus 1M+ sq ft commercial.</v>
      </c>
      <c r="H51" s="17" t="str">
        <f>IFERROR(__xludf.DUMMYFUNCTION("""COMPUTED_VALUE"""),"Leadership cites $20B+ in career transactions.")</f>
        <v>Leadership cites $20B+ in career transactions.</v>
      </c>
      <c r="I51" s="17" t="str">
        <f>IFERROR(__xludf.DUMMYFUNCTION("""COMPUTED_VALUE"""),"Current AUM is not publicly disclosed; the specialized, operator-led active-adult model is its defining feature.")</f>
        <v>Current AUM is not publicly disclosed; the specialized, operator-led active-adult model is its defining feature.</v>
      </c>
      <c r="J51" s="16" t="str">
        <f>IFERROR(__xludf.DUMMYFUNCTION("""COMPUTED_VALUE"""),"livingstonstreetcapital.com")</f>
        <v>livingstonstreetcapital.com</v>
      </c>
      <c r="K51" s="17" t="str">
        <f>IFERROR(__xludf.DUMMYFUNCTION("""COMPUTED_VALUE"""),"New York, NY")</f>
        <v>New York, NY</v>
      </c>
      <c r="L51" s="16" t="str">
        <f>IFERROR(__xludf.DUMMYFUNCTION("""COMPUTED_VALUE"""),"https://img.logo.dev/livingstonstreetcapital.com?token=pk_FIVsDKgZTvCedVXXtt2rEg&amp;size=200&amp;retina=true")</f>
        <v>https://img.logo.dev/livingstonstreetcapital.com?token=pk_FIVsDKgZTvCedVXXtt2rEg&amp;size=200&amp;retina=true</v>
      </c>
      <c r="M51" s="17">
        <f>IFERROR(__xludf.DUMMYFUNCTION("""COMPUTED_VALUE"""),4.0)</f>
        <v>4</v>
      </c>
      <c r="N51" s="13">
        <f>IFERROR(__xludf.DUMMYFUNCTION("""COMPUTED_VALUE"""),0.085175)</f>
        <v>0.085175</v>
      </c>
      <c r="O51" s="27">
        <f>IFERROR(__xludf.DUMMYFUNCTION("""COMPUTED_VALUE"""),1.3825)</f>
        <v>1.3825</v>
      </c>
      <c r="P51" s="28">
        <f>IFERROR(__xludf.DUMMYFUNCTION("""COMPUTED_VALUE"""),4.21)</f>
        <v>4.21</v>
      </c>
      <c r="Q51" s="13">
        <f>IFERROR(__xludf.DUMMYFUNCTION("""COMPUTED_VALUE"""),1.0)</f>
        <v>1</v>
      </c>
    </row>
    <row r="52">
      <c r="A52" s="17" t="str">
        <f>IFERROR(__xludf.DUMMYFUNCTION("""COMPUTED_VALUE"""),"Madison Capital")</f>
        <v>Madison Capital</v>
      </c>
      <c r="B52" s="17">
        <f>IFERROR(__xludf.DUMMYFUNCTION("""COMPUTED_VALUE"""),2009.0)</f>
        <v>2009</v>
      </c>
      <c r="C52" s="29">
        <f>IFERROR(__xludf.DUMMYFUNCTION("""COMPUTED_VALUE"""),4.0E9)</f>
        <v>4000000000</v>
      </c>
      <c r="D52" s="17" t="str">
        <f>IFERROR(__xludf.DUMMYFUNCTION("""COMPUTED_VALUE"""),"Madison Capital Group is a Charlotte vertically integrated sponsor managing roughly $4 billion, distinctive for its multi-vertical reach across self-storage (via Go Store It), multifamily (Madison Communities), and the genuinely niche boat-and-RV-storage "&amp;"and marina sectors, with net lease alongside; Madison Capital Markets runs its DST and 1031 distribution. The boat/RV and marina focus is an unusual, defensible specialization, and captive distribution plus more than $6 billion in lifetime transactions un"&amp;"derpin a diversified, operator-led platform. The breadth is the differentiation.")</f>
        <v>Madison Capital Group is a Charlotte vertically integrated sponsor managing roughly $4 billion, distinctive for its multi-vertical reach across self-storage (via Go Store It), multifamily (Madison Communities), and the genuinely niche boat-and-RV-storage and marina sectors, with net lease alongside; Madison Capital Markets runs its DST and 1031 distribution. The boat/RV and marina focus is an unusual, defensible specialization, and captive distribution plus more than $6 billion in lifetime transactions underpin a diversified, operator-led platform. The breadth is the differentiation.</v>
      </c>
      <c r="E52" s="17" t="str">
        <f>IFERROR(__xludf.DUMMYFUNCTION("""COMPUTED_VALUE"""),"Distinctive multi-vertical reach: self-storage (Go Store It), multifamily (Madison Communities), boat/RV storage and marinas.")</f>
        <v>Distinctive multi-vertical reach: self-storage (Go Store It), multifamily (Madison Communities), boat/RV storage and marinas.</v>
      </c>
      <c r="F52" s="17" t="str">
        <f>IFERROR(__xludf.DUMMYFUNCTION("""COMPUTED_VALUE"""),"The boat/RV storage and marina focus is an unusual, defensible specialization.")</f>
        <v>The boat/RV storage and marina focus is an unusual, defensible specialization.</v>
      </c>
      <c r="G52" s="17" t="str">
        <f>IFERROR(__xludf.DUMMYFUNCTION("""COMPUTED_VALUE"""),"Runs Madison Capital Markets as captive DST/1031 distribution.")</f>
        <v>Runs Madison Capital Markets as captive DST/1031 distribution.</v>
      </c>
      <c r="H52" s="17" t="str">
        <f>IFERROR(__xludf.DUMMYFUNCTION("""COMPUTED_VALUE"""),"Has completed $6B+ in lifetime transactions.")</f>
        <v>Has completed $6B+ in lifetime transactions.</v>
      </c>
      <c r="I52" s="17" t="str">
        <f>IFERROR(__xludf.DUMMYFUNCTION("""COMPUTED_VALUE"""),"Manages ~$4 billion across an operator-led, diversified platform.")</f>
        <v>Manages ~$4 billion across an operator-led, diversified platform.</v>
      </c>
      <c r="J52" s="16" t="str">
        <f>IFERROR(__xludf.DUMMYFUNCTION("""COMPUTED_VALUE"""),"madisoncapgroup.com")</f>
        <v>madisoncapgroup.com</v>
      </c>
      <c r="K52" s="17" t="str">
        <f>IFERROR(__xludf.DUMMYFUNCTION("""COMPUTED_VALUE"""),"Charlotte, NC")</f>
        <v>Charlotte, NC</v>
      </c>
      <c r="L52" s="16" t="str">
        <f>IFERROR(__xludf.DUMMYFUNCTION("""COMPUTED_VALUE"""),"https://img.logo.dev/madisoncapgroup.com?token=pk_FIVsDKgZTvCedVXXtt2rEg&amp;size=200&amp;retina=true")</f>
        <v>https://img.logo.dev/madisoncapgroup.com?token=pk_FIVsDKgZTvCedVXXtt2rEg&amp;size=200&amp;retina=true</v>
      </c>
      <c r="M52" s="17">
        <f>IFERROR(__xludf.DUMMYFUNCTION("""COMPUTED_VALUE"""),0.0)</f>
        <v>0</v>
      </c>
      <c r="N52" s="13" t="str">
        <f>IFERROR(__xludf.DUMMYFUNCTION("""COMPUTED_VALUE"""),"No Data")</f>
        <v>No Data</v>
      </c>
      <c r="O52" s="27" t="str">
        <f>IFERROR(__xludf.DUMMYFUNCTION("""COMPUTED_VALUE"""),"No Data")</f>
        <v>No Data</v>
      </c>
      <c r="P52" s="28" t="str">
        <f>IFERROR(__xludf.DUMMYFUNCTION("""COMPUTED_VALUE"""),"No Data")</f>
        <v>No Data</v>
      </c>
      <c r="Q52" s="13" t="str">
        <f>IFERROR(__xludf.DUMMYFUNCTION("""COMPUTED_VALUE"""),"No Data")</f>
        <v>No Data</v>
      </c>
    </row>
    <row r="53">
      <c r="A53" s="17" t="str">
        <f>IFERROR(__xludf.DUMMYFUNCTION("""COMPUTED_VALUE"""),"Madison Realty Companies")</f>
        <v>Madison Realty Companies</v>
      </c>
      <c r="B53" s="17">
        <f>IFERROR(__xludf.DUMMYFUNCTION("""COMPUTED_VALUE"""),1980.0)</f>
        <v>1980</v>
      </c>
      <c r="C53" s="29">
        <f>IFERROR(__xludf.DUMMYFUNCTION("""COMPUTED_VALUE"""),2.4E10)</f>
        <v>24000000000</v>
      </c>
      <c r="D53" s="17" t="str">
        <f>IFERROR(__xludf.DUMMYFUNCTION("""COMPUTED_VALUE"""),"Madison Realty Companies is a California-based multifamily and commercial owner-operator and DST sponsor with roots back to 1980—distinct from both Madison Capital Group and Madison Realty Capital, a distinction worth flagging given the name overlap. It p"&amp;"resents as a long-tenured regional operator concentrated in California; current AUM is not publicly disclosed.")</f>
        <v>Madison Realty Companies is a California-based multifamily and commercial owner-operator and DST sponsor with roots back to 1980—distinct from both Madison Capital Group and Madison Realty Capital, a distinction worth flagging given the name overlap. It presents as a long-tenured regional operator concentrated in California; current AUM is not publicly disclosed.</v>
      </c>
      <c r="E53" s="17" t="str">
        <f>IFERROR(__xludf.DUMMYFUNCTION("""COMPUTED_VALUE"""),"California multifamily/commercial owner-operator since 1980 (distinct from Madison Capital Group and Madison Realty Capital).")</f>
        <v>California multifamily/commercial owner-operator since 1980 (distinct from Madison Capital Group and Madison Realty Capital).</v>
      </c>
      <c r="F53" s="17" t="str">
        <f>IFERROR(__xludf.DUMMYFUNCTION("""COMPUTED_VALUE"""),"Long-tenured regional operator concentrated in California.")</f>
        <v>Long-tenured regional operator concentrated in California.</v>
      </c>
      <c r="G53" s="17" t="str">
        <f>IFERROR(__xludf.DUMMYFUNCTION("""COMPUTED_VALUE"""),"Owner-operator orientation across multifamily and commercial assets.")</f>
        <v>Owner-operator orientation across multifamily and commercial assets.</v>
      </c>
      <c r="H53" s="17" t="str">
        <f>IFERROR(__xludf.DUMMYFUNCTION("""COMPUTED_VALUE"""),"Multi-decade history provides cycle experience.")</f>
        <v>Multi-decade history provides cycle experience.</v>
      </c>
      <c r="I53" s="17" t="str">
        <f>IFERROR(__xludf.DUMMYFUNCTION("""COMPUTED_VALUE"""),"Current AUM is not publicly disclosed; the name overlap with Madison Capital Group and Madison Realty Capital warrants diligence to avoid confusion.")</f>
        <v>Current AUM is not publicly disclosed; the name overlap with Madison Capital Group and Madison Realty Capital warrants diligence to avoid confusion.</v>
      </c>
      <c r="J53" s="16" t="str">
        <f>IFERROR(__xludf.DUMMYFUNCTION("""COMPUTED_VALUE"""),"madisonrealty.com")</f>
        <v>madisonrealty.com</v>
      </c>
      <c r="K53" s="17" t="str">
        <f>IFERROR(__xludf.DUMMYFUNCTION("""COMPUTED_VALUE"""),"Anaheim, CA")</f>
        <v>Anaheim, CA</v>
      </c>
      <c r="L53" s="16" t="str">
        <f>IFERROR(__xludf.DUMMYFUNCTION("""COMPUTED_VALUE"""),"https://img.logo.dev/madisonrealty.com?token=pk_FIVsDKgZTvCedVXXtt2rEg&amp;size=200&amp;retina=true")</f>
        <v>https://img.logo.dev/madisonrealty.com?token=pk_FIVsDKgZTvCedVXXtt2rEg&amp;size=200&amp;retina=true</v>
      </c>
      <c r="M53" s="17">
        <f>IFERROR(__xludf.DUMMYFUNCTION("""COMPUTED_VALUE"""),0.0)</f>
        <v>0</v>
      </c>
      <c r="N53" s="13" t="str">
        <f>IFERROR(__xludf.DUMMYFUNCTION("""COMPUTED_VALUE"""),"No Data")</f>
        <v>No Data</v>
      </c>
      <c r="O53" s="27" t="str">
        <f>IFERROR(__xludf.DUMMYFUNCTION("""COMPUTED_VALUE"""),"No Data")</f>
        <v>No Data</v>
      </c>
      <c r="P53" s="28" t="str">
        <f>IFERROR(__xludf.DUMMYFUNCTION("""COMPUTED_VALUE"""),"No Data")</f>
        <v>No Data</v>
      </c>
      <c r="Q53" s="13" t="str">
        <f>IFERROR(__xludf.DUMMYFUNCTION("""COMPUTED_VALUE"""),"No Data")</f>
        <v>No Data</v>
      </c>
    </row>
    <row r="54">
      <c r="A54" s="17" t="str">
        <f>IFERROR(__xludf.DUMMYFUNCTION("""COMPUTED_VALUE"""),"Mirae Asset Management")</f>
        <v>Mirae Asset Management</v>
      </c>
      <c r="B54" s="17">
        <f>IFERROR(__xludf.DUMMYFUNCTION("""COMPUTED_VALUE"""),1997.0)</f>
        <v>1997</v>
      </c>
      <c r="C54" s="29">
        <f>IFERROR(__xludf.DUMMYFUNCTION("""COMPUTED_VALUE"""),6.0E11)</f>
        <v>600000000000</v>
      </c>
      <c r="D54" s="17" t="str">
        <f>IFERROR(__xludf.DUMMYFUNCTION("""COMPUTED_VALUE"""),"Mirae Asset Management is a Korea-based global asset manager overseeing roughly $600 billion, with U.S. real estate holdings and a substantial ETF franchise through Global X. Its appearance in the 1031/alts context reflects cross-border real estate exposu"&amp;"re rather than a dedicated U.S. DST business; investors should view it as an Asia-anchored global manager with property holdings rather than a domestic exchange sponsor.")</f>
        <v>Mirae Asset Management is a Korea-based global asset manager overseeing roughly $600 billion, with U.S. real estate holdings and a substantial ETF franchise through Global X. Its appearance in the 1031/alts context reflects cross-border real estate exposure rather than a dedicated U.S. DST business; investors should view it as an Asia-anchored global manager with property holdings rather than a domestic exchange sponsor.</v>
      </c>
      <c r="E54" s="17" t="str">
        <f>IFERROR(__xludf.DUMMYFUNCTION("""COMPUTED_VALUE"""),"Operates an Asia-anchored global platform managing ~$600 billion.")</f>
        <v>Operates an Asia-anchored global platform managing ~$600 billion.</v>
      </c>
      <c r="F54" s="17" t="str">
        <f>IFERROR(__xludf.DUMMYFUNCTION("""COMPUTED_VALUE"""),"Holds U.S. real estate within a broader global real assets book.")</f>
        <v>Holds U.S. real estate within a broader global real assets book.</v>
      </c>
      <c r="G54" s="17" t="str">
        <f>IFERROR(__xludf.DUMMYFUNCTION("""COMPUTED_VALUE"""),"Runs a substantial ETF franchise through Global X.")</f>
        <v>Runs a substantial ETF franchise through Global X.</v>
      </c>
      <c r="H54" s="17" t="str">
        <f>IFERROR(__xludf.DUMMYFUNCTION("""COMPUTED_VALUE"""),"Brings cross-border capital to U.S. property.")</f>
        <v>Brings cross-border capital to U.S. property.</v>
      </c>
      <c r="I54" s="17" t="str">
        <f>IFERROR(__xludf.DUMMYFUNCTION("""COMPUTED_VALUE"""),"Reads as a global manager with real estate holdings rather than a domestic DST sponsor.")</f>
        <v>Reads as a global manager with real estate holdings rather than a domestic DST sponsor.</v>
      </c>
      <c r="J54" s="16" t="str">
        <f>IFERROR(__xludf.DUMMYFUNCTION("""COMPUTED_VALUE"""),"miraeasset.com")</f>
        <v>miraeasset.com</v>
      </c>
      <c r="K54" s="17" t="str">
        <f>IFERROR(__xludf.DUMMYFUNCTION("""COMPUTED_VALUE"""),"Seoul, South Korea")</f>
        <v>Seoul, South Korea</v>
      </c>
      <c r="L54" s="16" t="str">
        <f>IFERROR(__xludf.DUMMYFUNCTION("""COMPUTED_VALUE"""),"https://img.logo.dev/miraeasset.com?token=pk_FIVsDKgZTvCedVXXtt2rEg&amp;size=200&amp;retina=true")</f>
        <v>https://img.logo.dev/miraeasset.com?token=pk_FIVsDKgZTvCedVXXtt2rEg&amp;size=200&amp;retina=true</v>
      </c>
      <c r="M54" s="17">
        <f>IFERROR(__xludf.DUMMYFUNCTION("""COMPUTED_VALUE"""),0.0)</f>
        <v>0</v>
      </c>
      <c r="N54" s="13" t="str">
        <f>IFERROR(__xludf.DUMMYFUNCTION("""COMPUTED_VALUE"""),"No Data")</f>
        <v>No Data</v>
      </c>
      <c r="O54" s="27" t="str">
        <f>IFERROR(__xludf.DUMMYFUNCTION("""COMPUTED_VALUE"""),"No Data")</f>
        <v>No Data</v>
      </c>
      <c r="P54" s="28" t="str">
        <f>IFERROR(__xludf.DUMMYFUNCTION("""COMPUTED_VALUE"""),"No Data")</f>
        <v>No Data</v>
      </c>
      <c r="Q54" s="13" t="str">
        <f>IFERROR(__xludf.DUMMYFUNCTION("""COMPUTED_VALUE"""),"No Data")</f>
        <v>No Data</v>
      </c>
    </row>
    <row r="55">
      <c r="A55" s="17" t="str">
        <f>IFERROR(__xludf.DUMMYFUNCTION("""COMPUTED_VALUE"""),"Moody National")</f>
        <v>Moody National</v>
      </c>
      <c r="B55" s="17">
        <f>IFERROR(__xludf.DUMMYFUNCTION("""COMPUTED_VALUE"""),1996.0)</f>
        <v>1996</v>
      </c>
      <c r="C55" s="29">
        <f>IFERROR(__xludf.DUMMYFUNCTION("""COMPUTED_VALUE"""),3.0E9)</f>
        <v>3000000000</v>
      </c>
      <c r="D55" s="17" t="str">
        <f>IFERROR(__xludf.DUMMYFUNCTION("""COMPUTED_VALUE"""),"Moody National is a Houston vertically integrated firm, founded in 1996, specializing in hospitality and multifamily DSTs through a full-service platform—roughly 500 professionals spanning acquisition, development, construction and management, with in-hou"&amp;"se title and insurance. With $3 billion in total capitalization as of early 2025 and more than 3,000 investors served, its hospitality specialization is comparatively rare among DST sponsors and is backed by genuine operating control. The hotel concentrat"&amp;"ion adds cyclicality, balanced by the multifamily book and integrated execution.")</f>
        <v>Moody National is a Houston vertically integrated firm, founded in 1996, specializing in hospitality and multifamily DSTs through a full-service platform—roughly 500 professionals spanning acquisition, development, construction and management, with in-house title and insurance. With $3 billion in total capitalization as of early 2025 and more than 3,000 investors served, its hospitality specialization is comparatively rare among DST sponsors and is backed by genuine operating control. The hotel concentration adds cyclicality, balanced by the multifamily book and integrated execution.</v>
      </c>
      <c r="E55" s="17" t="str">
        <f>IFERROR(__xludf.DUMMYFUNCTION("""COMPUTED_VALUE"""),"Specializes in hospitality DSTs, comparatively rare among DST sponsors, alongside multifamily.")</f>
        <v>Specializes in hospitality DSTs, comparatively rare among DST sponsors, alongside multifamily.</v>
      </c>
      <c r="F55" s="17" t="str">
        <f>IFERROR(__xludf.DUMMYFUNCTION("""COMPUTED_VALUE"""),"Vertically integrated with a ~500-person platform across acquisition, development, construction and management.")</f>
        <v>Vertically integrated with a ~500-person platform across acquisition, development, construction and management.</v>
      </c>
      <c r="G55" s="17" t="str">
        <f>IFERROR(__xludf.DUMMYFUNCTION("""COMPUTED_VALUE"""),"Operates in-house title and insurance, capturing ancillary economics.")</f>
        <v>Operates in-house title and insurance, capturing ancillary economics.</v>
      </c>
      <c r="H55" s="17" t="str">
        <f>IFERROR(__xludf.DUMMYFUNCTION("""COMPUTED_VALUE"""),"Has served 3,000+ investors over nearly three decades.")</f>
        <v>Has served 3,000+ investors over nearly three decades.</v>
      </c>
      <c r="I55" s="17" t="str">
        <f>IFERROR(__xludf.DUMMYFUNCTION("""COMPUTED_VALUE"""),"Manages $3 billion in total capitalization.")</f>
        <v>Manages $3 billion in total capitalization.</v>
      </c>
      <c r="J55" s="16" t="str">
        <f>IFERROR(__xludf.DUMMYFUNCTION("""COMPUTED_VALUE"""),"moodynational.com")</f>
        <v>moodynational.com</v>
      </c>
      <c r="K55" s="17" t="str">
        <f>IFERROR(__xludf.DUMMYFUNCTION("""COMPUTED_VALUE"""),"Houston, TX")</f>
        <v>Houston, TX</v>
      </c>
      <c r="L55" s="16" t="str">
        <f>IFERROR(__xludf.DUMMYFUNCTION("""COMPUTED_VALUE"""),"https://img.logo.dev/moodynational.com?token=pk_FIVsDKgZTvCedVXXtt2rEg&amp;size=200&amp;retina=true")</f>
        <v>https://img.logo.dev/moodynational.com?token=pk_FIVsDKgZTvCedVXXtt2rEg&amp;size=200&amp;retina=true</v>
      </c>
      <c r="M55" s="17">
        <f>IFERROR(__xludf.DUMMYFUNCTION("""COMPUTED_VALUE"""),2.0)</f>
        <v>2</v>
      </c>
      <c r="N55" s="13">
        <f>IFERROR(__xludf.DUMMYFUNCTION("""COMPUTED_VALUE"""),0.1456)</f>
        <v>0.1456</v>
      </c>
      <c r="O55" s="27">
        <f>IFERROR(__xludf.DUMMYFUNCTION("""COMPUTED_VALUE"""),2.0)</f>
        <v>2</v>
      </c>
      <c r="P55" s="28">
        <f>IFERROR(__xludf.DUMMYFUNCTION("""COMPUTED_VALUE"""),4.645)</f>
        <v>4.645</v>
      </c>
      <c r="Q55" s="13">
        <f>IFERROR(__xludf.DUMMYFUNCTION("""COMPUTED_VALUE"""),0.5)</f>
        <v>0.5</v>
      </c>
    </row>
    <row r="56">
      <c r="A56" s="17" t="str">
        <f>IFERROR(__xludf.DUMMYFUNCTION("""COMPUTED_VALUE"""),"NAS Investment Solutions")</f>
        <v>NAS Investment Solutions</v>
      </c>
      <c r="B56" s="17">
        <f>IFERROR(__xludf.DUMMYFUNCTION("""COMPUTED_VALUE"""),2008.0)</f>
        <v>2008</v>
      </c>
      <c r="C56" s="29">
        <f>IFERROR(__xludf.DUMMYFUNCTION("""COMPUTED_VALUE"""),3.36E9)</f>
        <v>3360000000</v>
      </c>
      <c r="D56" s="17" t="str">
        <f>IFERROR(__xludf.DUMMYFUNCTION("""COMPUTED_VALUE"""),"NAS Investment Solutions is a Los Angeles DST sponsor, founded in 2017, built on two alignment features: it co-invests in every property and manages each asset through its sister company, National Asset Services, which oversees roughly $3.36 billion acros"&amp;"s 187 properties in 31 states. That full-hold accountability model—the sponsor stays in the deal and runs the asset—has supported $663 million in cash distributions to some 2,627 investors. For exchangers, the appeal is alignment and in-house management a"&amp;"cross a multi-sector book.")</f>
        <v>NAS Investment Solutions is a Los Angeles DST sponsor, founded in 2017, built on two alignment features: it co-invests in every property and manages each asset through its sister company, National Asset Services, which oversees roughly $3.36 billion across 187 properties in 31 states. That full-hold accountability model—the sponsor stays in the deal and runs the asset—has supported $663 million in cash distributions to some 2,627 investors. For exchangers, the appeal is alignment and in-house management across a multi-sector book.</v>
      </c>
      <c r="E56" s="17" t="str">
        <f>IFERROR(__xludf.DUMMYFUNCTION("""COMPUTED_VALUE"""),"Co-invests in every property it sponsors, a hard alignment signal.")</f>
        <v>Co-invests in every property it sponsors, a hard alignment signal.</v>
      </c>
      <c r="F56" s="17" t="str">
        <f>IFERROR(__xludf.DUMMYFUNCTION("""COMPUTED_VALUE"""),"Manages each asset in-house through National Asset Services (~$3.36B across 187 properties, 31 states).")</f>
        <v>Manages each asset in-house through National Asset Services (~$3.36B across 187 properties, 31 states).</v>
      </c>
      <c r="G56" s="17" t="str">
        <f>IFERROR(__xludf.DUMMYFUNCTION("""COMPUTED_VALUE"""),"Has returned $663 million in cash distributions to ~2,627 investors.")</f>
        <v>Has returned $663 million in cash distributions to ~2,627 investors.</v>
      </c>
      <c r="H56" s="17" t="str">
        <f>IFERROR(__xludf.DUMMYFUNCTION("""COMPUTED_VALUE"""),"Operates a full-hold accountability model, staying in and running the asset.")</f>
        <v>Operates a full-hold accountability model, staying in and running the asset.</v>
      </c>
      <c r="I56" s="17" t="str">
        <f>IFERROR(__xludf.DUMMYFUNCTION("""COMPUTED_VALUE"""),"Diversifies across multiple property sectors.")</f>
        <v>Diversifies across multiple property sectors.</v>
      </c>
      <c r="J56" s="16" t="str">
        <f>IFERROR(__xludf.DUMMYFUNCTION("""COMPUTED_VALUE"""),"nasinvestmentsolutions.com")</f>
        <v>nasinvestmentsolutions.com</v>
      </c>
      <c r="K56" s="17" t="str">
        <f>IFERROR(__xludf.DUMMYFUNCTION("""COMPUTED_VALUE"""),"Los Angeles, CA")</f>
        <v>Los Angeles, CA</v>
      </c>
      <c r="L56" s="16" t="str">
        <f>IFERROR(__xludf.DUMMYFUNCTION("""COMPUTED_VALUE"""),"https://img.logo.dev/nasinvestmentsolutions.com?token=pk_FIVsDKgZTvCedVXXtt2rEg&amp;size=200&amp;retina=true")</f>
        <v>https://img.logo.dev/nasinvestmentsolutions.com?token=pk_FIVsDKgZTvCedVXXtt2rEg&amp;size=200&amp;retina=true</v>
      </c>
      <c r="M56" s="17">
        <f>IFERROR(__xludf.DUMMYFUNCTION("""COMPUTED_VALUE"""),0.0)</f>
        <v>0</v>
      </c>
      <c r="N56" s="13" t="str">
        <f>IFERROR(__xludf.DUMMYFUNCTION("""COMPUTED_VALUE"""),"No Data")</f>
        <v>No Data</v>
      </c>
      <c r="O56" s="27" t="str">
        <f>IFERROR(__xludf.DUMMYFUNCTION("""COMPUTED_VALUE"""),"No Data")</f>
        <v>No Data</v>
      </c>
      <c r="P56" s="28" t="str">
        <f>IFERROR(__xludf.DUMMYFUNCTION("""COMPUTED_VALUE"""),"No Data")</f>
        <v>No Data</v>
      </c>
      <c r="Q56" s="13" t="str">
        <f>IFERROR(__xludf.DUMMYFUNCTION("""COMPUTED_VALUE"""),"No Data")</f>
        <v>No Data</v>
      </c>
    </row>
    <row r="57">
      <c r="A57" s="17" t="str">
        <f>IFERROR(__xludf.DUMMYFUNCTION("""COMPUTED_VALUE"""),"Nelson Brothers")</f>
        <v>Nelson Brothers</v>
      </c>
      <c r="B57" s="17">
        <f>IFERROR(__xludf.DUMMYFUNCTION("""COMPUTED_VALUE"""),2007.0)</f>
        <v>2007</v>
      </c>
      <c r="C57" s="29">
        <f>IFERROR(__xludf.DUMMYFUNCTION("""COMPUTED_VALUE"""),4.0E8)</f>
        <v>400000000</v>
      </c>
      <c r="D57" s="17" t="str">
        <f>IFERROR(__xludf.DUMMYFUNCTION("""COMPUTED_VALUE"""),"Nelson Brothers Professional Real Estate is an Irvine sponsor, founded in 2007, specializing in student housing and assisted living, and is the predecessor entity from which Nelson Partners later split—a distinction worth preserving, as the two are now se"&amp;"parate competing firms run by different brothers. Its strengths are sector specialization in demographically supported niches; current AUM is not publicly disclosed, and the firm warrants diligence on a standalone basis distinct from Nelson Partners.")</f>
        <v>Nelson Brothers Professional Real Estate is an Irvine sponsor, founded in 2007, specializing in student housing and assisted living, and is the predecessor entity from which Nelson Partners later split—a distinction worth preserving, as the two are now separate competing firms run by different brothers. Its strengths are sector specialization in demographically supported niches; current AUM is not publicly disclosed, and the firm warrants diligence on a standalone basis distinct from Nelson Partners.</v>
      </c>
      <c r="E57" s="17" t="str">
        <f>IFERROR(__xludf.DUMMYFUNCTION("""COMPUTED_VALUE"""),"Specializes in student housing and assisted living, demographically supported niches.")</f>
        <v>Specializes in student housing and assisted living, demographically supported niches.</v>
      </c>
      <c r="F57" s="17" t="str">
        <f>IFERROR(__xludf.DUMMYFUNCTION("""COMPUTED_VALUE"""),"Distinct from Nelson Partners; the firms split, with Brian Nelson retaining Nelson Brothers.")</f>
        <v>Distinct from Nelson Partners; the firms split, with Brian Nelson retaining Nelson Brothers.</v>
      </c>
      <c r="G57" s="17" t="str">
        <f>IFERROR(__xludf.DUMMYFUNCTION("""COMPUTED_VALUE"""),"Brings sector specialization in purpose-built student and senior assets.")</f>
        <v>Brings sector specialization in purpose-built student and senior assets.</v>
      </c>
      <c r="H57" s="17" t="str">
        <f>IFERROR(__xludf.DUMMYFUNCTION("""COMPUTED_VALUE"""),"Current AUM is not publicly disclosed.")</f>
        <v>Current AUM is not publicly disclosed.</v>
      </c>
      <c r="I57" s="17" t="str">
        <f>IFERROR(__xludf.DUMMYFUNCTION("""COMPUTED_VALUE"""),"Assess on a standalone basis separate from Nelson Partners' litigation history.")</f>
        <v>Assess on a standalone basis separate from Nelson Partners' litigation history.</v>
      </c>
      <c r="J57" s="16" t="str">
        <f>IFERROR(__xludf.DUMMYFUNCTION("""COMPUTED_VALUE"""),"nelsonbrothers.com")</f>
        <v>nelsonbrothers.com</v>
      </c>
      <c r="K57" s="17" t="str">
        <f>IFERROR(__xludf.DUMMYFUNCTION("""COMPUTED_VALUE"""),"Irvine, CA")</f>
        <v>Irvine, CA</v>
      </c>
      <c r="L57" s="16" t="str">
        <f>IFERROR(__xludf.DUMMYFUNCTION("""COMPUTED_VALUE"""),"https://img.logo.dev/nelsonbrothers.com?token=pk_FIVsDKgZTvCedVXXtt2rEg&amp;size=200&amp;retina=true")</f>
        <v>https://img.logo.dev/nelsonbrothers.com?token=pk_FIVsDKgZTvCedVXXtt2rEg&amp;size=200&amp;retina=true</v>
      </c>
      <c r="M57" s="17">
        <f>IFERROR(__xludf.DUMMYFUNCTION("""COMPUTED_VALUE"""),0.0)</f>
        <v>0</v>
      </c>
      <c r="N57" s="13" t="str">
        <f>IFERROR(__xludf.DUMMYFUNCTION("""COMPUTED_VALUE"""),"No Data")</f>
        <v>No Data</v>
      </c>
      <c r="O57" s="27" t="str">
        <f>IFERROR(__xludf.DUMMYFUNCTION("""COMPUTED_VALUE"""),"No Data")</f>
        <v>No Data</v>
      </c>
      <c r="P57" s="28" t="str">
        <f>IFERROR(__xludf.DUMMYFUNCTION("""COMPUTED_VALUE"""),"No Data")</f>
        <v>No Data</v>
      </c>
      <c r="Q57" s="13" t="str">
        <f>IFERROR(__xludf.DUMMYFUNCTION("""COMPUTED_VALUE"""),"No Data")</f>
        <v>No Data</v>
      </c>
    </row>
    <row r="58">
      <c r="A58" s="17" t="str">
        <f>IFERROR(__xludf.DUMMYFUNCTION("""COMPUTED_VALUE"""),"Nelson Partners")</f>
        <v>Nelson Partners</v>
      </c>
      <c r="B58" s="17">
        <f>IFERROR(__xludf.DUMMYFUNCTION("""COMPUTED_VALUE"""),2018.0)</f>
        <v>2018</v>
      </c>
      <c r="C58" s="29">
        <f>IFERROR(__xludf.DUMMYFUNCTION("""COMPUTED_VALUE"""),4.0E8)</f>
        <v>400000000</v>
      </c>
      <c r="D58" s="17" t="str">
        <f>IFERROR(__xludf.DUMMYFUNCTION("""COMPUTED_VALUE"""),"Nelson Partners Student Housing is a San Clemente DST sponsor founded in 2018 by Patrick Nelson, focused on purpose-built, university-anchored student housing through a develop-acquire-manage model, with more than $400 million in assets at its founding an"&amp;"d 1,200-plus 1031 investors. Critically, the firm carries significant legal overhang: it has faced multiple investor and lender lawsuits, including the high-profile Skyloft Austin litigation and a related settlement. The student-housing thesis is sound, b"&amp;"ut the litigation history materially elevates sponsor risk and demands enhanced diligence.")</f>
        <v>Nelson Partners Student Housing is a San Clemente DST sponsor founded in 2018 by Patrick Nelson, focused on purpose-built, university-anchored student housing through a develop-acquire-manage model, with more than $400 million in assets at its founding and 1,200-plus 1031 investors. Critically, the firm carries significant legal overhang: it has faced multiple investor and lender lawsuits, including the high-profile Skyloft Austin litigation and a related settlement. The student-housing thesis is sound, but the litigation history materially elevates sponsor risk and demands enhanced diligence.</v>
      </c>
      <c r="E58" s="17" t="str">
        <f>IFERROR(__xludf.DUMMYFUNCTION("""COMPUTED_VALUE"""),"Focuses on purpose-built, university-anchored student housing via a develop-acquire-manage model.")</f>
        <v>Focuses on purpose-built, university-anchored student housing via a develop-acquire-manage model.</v>
      </c>
      <c r="F58" s="17" t="str">
        <f>IFERROR(__xludf.DUMMYFUNCTION("""COMPUTED_VALUE"""),"Founded by Patrick Nelson after splitting from Nelson Brothers, $400M+ assets at founding.")</f>
        <v>Founded by Patrick Nelson after splitting from Nelson Brothers, $400M+ assets at founding.</v>
      </c>
      <c r="G58" s="17" t="str">
        <f>IFERROR(__xludf.DUMMYFUNCTION("""COMPUTED_VALUE"""),"Built around a university-proximity demand thesis.")</f>
        <v>Built around a university-proximity demand thesis.</v>
      </c>
      <c r="H58" s="17" t="str">
        <f>IFERROR(__xludf.DUMMYFUNCTION("""COMPUTED_VALUE"""),"Has served 1,200+ 1031 investors.")</f>
        <v>Has served 1,200+ 1031 investors.</v>
      </c>
      <c r="I58" s="17" t="str">
        <f>IFERROR(__xludf.DUMMYFUNCTION("""COMPUTED_VALUE"""),"Note: significant legal overhang (Skyloft Austin litigation and settlement) materially elevates risk.")</f>
        <v>Note: significant legal overhang (Skyloft Austin litigation and settlement) materially elevates risk.</v>
      </c>
      <c r="J58" s="16" t="str">
        <f>IFERROR(__xludf.DUMMYFUNCTION("""COMPUTED_VALUE"""),"nelsonpartners.com")</f>
        <v>nelsonpartners.com</v>
      </c>
      <c r="K58" s="17" t="str">
        <f>IFERROR(__xludf.DUMMYFUNCTION("""COMPUTED_VALUE"""),"San Clemente, CA")</f>
        <v>San Clemente, CA</v>
      </c>
      <c r="L58" s="16" t="str">
        <f>IFERROR(__xludf.DUMMYFUNCTION("""COMPUTED_VALUE"""),"https://img.logo.dev/nelsonpartners.com?token=pk_FIVsDKgZTvCedVXXtt2rEg&amp;size=200&amp;retina=true")</f>
        <v>https://img.logo.dev/nelsonpartners.com?token=pk_FIVsDKgZTvCedVXXtt2rEg&amp;size=200&amp;retina=true</v>
      </c>
      <c r="M58" s="17">
        <f>IFERROR(__xludf.DUMMYFUNCTION("""COMPUTED_VALUE"""),0.0)</f>
        <v>0</v>
      </c>
      <c r="N58" s="13" t="str">
        <f>IFERROR(__xludf.DUMMYFUNCTION("""COMPUTED_VALUE"""),"No Data")</f>
        <v>No Data</v>
      </c>
      <c r="O58" s="27" t="str">
        <f>IFERROR(__xludf.DUMMYFUNCTION("""COMPUTED_VALUE"""),"No Data")</f>
        <v>No Data</v>
      </c>
      <c r="P58" s="28" t="str">
        <f>IFERROR(__xludf.DUMMYFUNCTION("""COMPUTED_VALUE"""),"No Data")</f>
        <v>No Data</v>
      </c>
      <c r="Q58" s="13" t="str">
        <f>IFERROR(__xludf.DUMMYFUNCTION("""COMPUTED_VALUE"""),"No Data")</f>
        <v>No Data</v>
      </c>
    </row>
    <row r="59">
      <c r="A59" s="17" t="str">
        <f>IFERROR(__xludf.DUMMYFUNCTION("""COMPUTED_VALUE"""),"Net Lease Capital Advisors")</f>
        <v>Net Lease Capital Advisors</v>
      </c>
      <c r="B59" s="17">
        <f>IFERROR(__xludf.DUMMYFUNCTION("""COMPUTED_VALUE"""),1996.0)</f>
        <v>1996</v>
      </c>
      <c r="C59" s="29">
        <f>IFERROR(__xludf.DUMMYFUNCTION("""COMPUTED_VALUE"""),9.2E9)</f>
        <v>9200000000</v>
      </c>
      <c r="D59" s="17" t="str">
        <f>IFERROR(__xludf.DUMMYFUNCTION("""COMPUTED_VALUE"""),"Net Lease Capital Advisors is a Nashua, New Hampshire net-lease advisory and sponsorship firm, founded in 1996, with a distinctive specialization in single-tenant assets leased to the U.S. Government (GSA) and investment-grade corporates, and particular e"&amp;"xpertise in zero-cash-flow structures for 1031 exchangers. The firm cites more than $15 billion in closed net-lease transactions since inception—a lifetime volume figure rather than current AUM—and pairs property sponsorship with capital-gains tax structu"&amp;"ring. Its government-credit niche is among the most defensive tenant profiles available to exchange investors.")</f>
        <v>Net Lease Capital Advisors is a Nashua, New Hampshire net-lease advisory and sponsorship firm, founded in 1996, with a distinctive specialization in single-tenant assets leased to the U.S. Government (GSA) and investment-grade corporates, and particular expertise in zero-cash-flow structures for 1031 exchangers. The firm cites more than $15 billion in closed net-lease transactions since inception—a lifetime volume figure rather than current AUM—and pairs property sponsorship with capital-gains tax structuring. Its government-credit niche is among the most defensive tenant profiles available to exchange investors.</v>
      </c>
      <c r="E59" s="17" t="str">
        <f>IFERROR(__xludf.DUMMYFUNCTION("""COMPUTED_VALUE"""),"Specializes in single-tenant assets leased to the U.S. Government (GSA), among the most defensive tenant profiles.")</f>
        <v>Specializes in single-tenant assets leased to the U.S. Government (GSA), among the most defensive tenant profiles.</v>
      </c>
      <c r="F59" s="17" t="str">
        <f>IFERROR(__xludf.DUMMYFUNCTION("""COMPUTED_VALUE"""),"Brings particular expertise in zero-cash-flow DST structures for highly leveraged exchangers.")</f>
        <v>Brings particular expertise in zero-cash-flow DST structures for highly leveraged exchangers.</v>
      </c>
      <c r="G59" s="17" t="str">
        <f>IFERROR(__xludf.DUMMYFUNCTION("""COMPUTED_VALUE"""),"Has closed $15B+ in net-lease transactions since inception.")</f>
        <v>Has closed $15B+ in net-lease transactions since inception.</v>
      </c>
      <c r="H59" s="17" t="str">
        <f>IFERROR(__xludf.DUMMYFUNCTION("""COMPUTED_VALUE"""),"Focuses on investment-grade corporate and government tenants.")</f>
        <v>Focuses on investment-grade corporate and government tenants.</v>
      </c>
      <c r="I59" s="17" t="str">
        <f>IFERROR(__xludf.DUMMYFUNCTION("""COMPUTED_VALUE"""),"Pairs property sponsorship with capital-gains tax structuring expertise.")</f>
        <v>Pairs property sponsorship with capital-gains tax structuring expertise.</v>
      </c>
      <c r="J59" s="16" t="str">
        <f>IFERROR(__xludf.DUMMYFUNCTION("""COMPUTED_VALUE"""),"netleasecapital.com")</f>
        <v>netleasecapital.com</v>
      </c>
      <c r="K59" s="17" t="str">
        <f>IFERROR(__xludf.DUMMYFUNCTION("""COMPUTED_VALUE"""),"Nashua, NH")</f>
        <v>Nashua, NH</v>
      </c>
      <c r="L59" s="16" t="str">
        <f>IFERROR(__xludf.DUMMYFUNCTION("""COMPUTED_VALUE"""),"https://img.logo.dev/netleasecapital.com?token=pk_FIVsDKgZTvCedVXXtt2rEg&amp;size=200&amp;retina=true")</f>
        <v>https://img.logo.dev/netleasecapital.com?token=pk_FIVsDKgZTvCedVXXtt2rEg&amp;size=200&amp;retina=true</v>
      </c>
      <c r="M59" s="17">
        <f>IFERROR(__xludf.DUMMYFUNCTION("""COMPUTED_VALUE"""),3.0)</f>
        <v>3</v>
      </c>
      <c r="N59" s="13">
        <f>IFERROR(__xludf.DUMMYFUNCTION("""COMPUTED_VALUE"""),0.08716666666666667)</f>
        <v>0.08716666667</v>
      </c>
      <c r="O59" s="27">
        <f>IFERROR(__xludf.DUMMYFUNCTION("""COMPUTED_VALUE"""),2.736666666666667)</f>
        <v>2.736666667</v>
      </c>
      <c r="P59" s="28">
        <f>IFERROR(__xludf.DUMMYFUNCTION("""COMPUTED_VALUE"""),10.823333333333332)</f>
        <v>10.82333333</v>
      </c>
      <c r="Q59" s="13">
        <f>IFERROR(__xludf.DUMMYFUNCTION("""COMPUTED_VALUE"""),1.0)</f>
        <v>1</v>
      </c>
    </row>
    <row r="60">
      <c r="A60" s="17" t="str">
        <f>IFERROR(__xludf.DUMMYFUNCTION("""COMPUTED_VALUE"""),"NexPoint")</f>
        <v>NexPoint</v>
      </c>
      <c r="B60" s="17">
        <f>IFERROR(__xludf.DUMMYFUNCTION("""COMPUTED_VALUE"""),2012.0)</f>
        <v>2012</v>
      </c>
      <c r="C60" s="29">
        <f>IFERROR(__xludf.DUMMYFUNCTION("""COMPUTED_VALUE"""),1.5E10)</f>
        <v>15000000000</v>
      </c>
      <c r="D60" s="17" t="str">
        <f>IFERROR(__xludf.DUMMYFUNCTION("""COMPUTED_VALUE"""),"NexPoint is a Dallas alternative manager—an affiliate of the former Highland Capital complex—overseeing roughly $15 billion across listed and non-listed REITs, DSTs, 1031 exchanges, interval funds and a BDC. Its breadth across real estate and credit, pair"&amp;"ed with significant own-capital co-investment, gives it institutional heft in the exchange channel, and its concentrated Dallas/Uptown asset base reflects conviction in its home market. For exchangers, the platform offers a diversified menu backed by a si"&amp;"zable alternatives manager.")</f>
        <v>NexPoint is a Dallas alternative manager—an affiliate of the former Highland Capital complex—overseeing roughly $15 billion across listed and non-listed REITs, DSTs, 1031 exchanges, interval funds and a BDC. Its breadth across real estate and credit, paired with significant own-capital co-investment, gives it institutional heft in the exchange channel, and its concentrated Dallas/Uptown asset base reflects conviction in its home market. For exchangers, the platform offers a diversified menu backed by a sizable alternatives manager.</v>
      </c>
      <c r="E60" s="17" t="str">
        <f>IFERROR(__xludf.DUMMYFUNCTION("""COMPUTED_VALUE"""),"Operates a ~$15 billion alternatives platform spanning listed/non-listed REITs, DSTs, interval funds and a BDC.")</f>
        <v>Operates a ~$15 billion alternatives platform spanning listed/non-listed REITs, DSTs, interval funds and a BDC.</v>
      </c>
      <c r="F60" s="17" t="str">
        <f>IFERROR(__xludf.DUMMYFUNCTION("""COMPUTED_VALUE"""),"Offers a broad 1031/DST and closed-end product suite under one roof.")</f>
        <v>Offers a broad 1031/DST and closed-end product suite under one roof.</v>
      </c>
      <c r="G60" s="17" t="str">
        <f>IFERROR(__xludf.DUMMYFUNCTION("""COMPUTED_VALUE"""),"Combines real estate and credit capabilities (affiliate of the former Highland Capital complex).")</f>
        <v>Combines real estate and credit capabilities (affiliate of the former Highland Capital complex).</v>
      </c>
      <c r="H60" s="17" t="str">
        <f>IFERROR(__xludf.DUMMYFUNCTION("""COMPUTED_VALUE"""),"Co-invests significant own capital alongside investors.")</f>
        <v>Co-invests significant own capital alongside investors.</v>
      </c>
      <c r="I60" s="17" t="str">
        <f>IFERROR(__xludf.DUMMYFUNCTION("""COMPUTED_VALUE"""),"Concentrates conviction positions in its Dallas/Uptown home market.")</f>
        <v>Concentrates conviction positions in its Dallas/Uptown home market.</v>
      </c>
      <c r="J60" s="16" t="str">
        <f>IFERROR(__xludf.DUMMYFUNCTION("""COMPUTED_VALUE"""),"nexpoint.com")</f>
        <v>nexpoint.com</v>
      </c>
      <c r="K60" s="17" t="str">
        <f>IFERROR(__xludf.DUMMYFUNCTION("""COMPUTED_VALUE"""),"Dallas, TX")</f>
        <v>Dallas, TX</v>
      </c>
      <c r="L60" s="16" t="str">
        <f>IFERROR(__xludf.DUMMYFUNCTION("""COMPUTED_VALUE"""),"https://img.logo.dev/nexpoint.com?token=pk_FIVsDKgZTvCedVXXtt2rEg&amp;size=200&amp;retina=true")</f>
        <v>https://img.logo.dev/nexpoint.com?token=pk_FIVsDKgZTvCedVXXtt2rEg&amp;size=200&amp;retina=true</v>
      </c>
      <c r="M60" s="17">
        <f>IFERROR(__xludf.DUMMYFUNCTION("""COMPUTED_VALUE"""),3.0)</f>
        <v>3</v>
      </c>
      <c r="N60" s="13">
        <f>IFERROR(__xludf.DUMMYFUNCTION("""COMPUTED_VALUE"""),0.16833333333333333)</f>
        <v>0.1683333333</v>
      </c>
      <c r="O60" s="27">
        <f>IFERROR(__xludf.DUMMYFUNCTION("""COMPUTED_VALUE"""),1.6466666666666667)</f>
        <v>1.646666667</v>
      </c>
      <c r="P60" s="28">
        <f>IFERROR(__xludf.DUMMYFUNCTION("""COMPUTED_VALUE"""),4.64)</f>
        <v>4.64</v>
      </c>
      <c r="Q60" s="13">
        <f>IFERROR(__xludf.DUMMYFUNCTION("""COMPUTED_VALUE"""),1.0)</f>
        <v>1</v>
      </c>
    </row>
    <row r="61">
      <c r="A61" s="17" t="str">
        <f>IFERROR(__xludf.DUMMYFUNCTION("""COMPUTED_VALUE"""),"Nuveen")</f>
        <v>Nuveen</v>
      </c>
      <c r="B61" s="17">
        <f>IFERROR(__xludf.DUMMYFUNCTION("""COMPUTED_VALUE"""),1898.0)</f>
        <v>1898</v>
      </c>
      <c r="C61" s="29">
        <f>IFERROR(__xludf.DUMMYFUNCTION("""COMPUTED_VALUE"""),1.37E11)</f>
        <v>137000000000</v>
      </c>
      <c r="D61" s="17" t="str">
        <f>IFERROR(__xludf.DUMMYFUNCTION("""COMPUTED_VALUE"""),"Nuveen is the investment manager of TIAA and a top-five global real estate manager, overseeing roughly $137 billion in real estate within a firm managing about $1.3 trillion, with a 90-plus-year property history and a strong net-lease franchise. It reache"&amp;"s the channel through net-lease and non-traded vehicles, leaning into the 'sheds and beds'—industrial and residential—themes that dominate institutional allocations. Backed by TIAA's balance sheet, Nuveen brings institutional scale and longevity, with 103"&amp;"1/DST activity a modest piece of the whole.")</f>
        <v>Nuveen is the investment manager of TIAA and a top-five global real estate manager, overseeing roughly $137 billion in real estate within a firm managing about $1.3 trillion, with a 90-plus-year property history and a strong net-lease franchise. It reaches the channel through net-lease and non-traded vehicles, leaning into the 'sheds and beds'—industrial and residential—themes that dominate institutional allocations. Backed by TIAA's balance sheet, Nuveen brings institutional scale and longevity, with 1031/DST activity a modest piece of the whole.</v>
      </c>
      <c r="E61" s="17" t="str">
        <f>IFERROR(__xludf.DUMMYFUNCTION("""COMPUTED_VALUE"""),"Ranks as a top-five global real estate manager with ~$137 billion in real estate AUM.")</f>
        <v>Ranks as a top-five global real estate manager with ~$137 billion in real estate AUM.</v>
      </c>
      <c r="F61" s="17" t="str">
        <f>IFERROR(__xludf.DUMMYFUNCTION("""COMPUTED_VALUE"""),"Backed by the TIAA balance sheet, supplying institutional permanence.")</f>
        <v>Backed by the TIAA balance sheet, supplying institutional permanence.</v>
      </c>
      <c r="G61" s="17" t="str">
        <f>IFERROR(__xludf.DUMMYFUNCTION("""COMPUTED_VALUE"""),"Brings a 90-plus-year property investing history.")</f>
        <v>Brings a 90-plus-year property investing history.</v>
      </c>
      <c r="H61" s="17" t="str">
        <f>IFERROR(__xludf.DUMMYFUNCTION("""COMPUTED_VALUE"""),"Operates a strong net-lease franchise.")</f>
        <v>Operates a strong net-lease franchise.</v>
      </c>
      <c r="I61" s="17" t="str">
        <f>IFERROR(__xludf.DUMMYFUNCTION("""COMPUTED_VALUE"""),"Leans into the 'sheds and beds' (industrial and residential) themes.")</f>
        <v>Leans into the 'sheds and beds' (industrial and residential) themes.</v>
      </c>
      <c r="J61" s="16" t="str">
        <f>IFERROR(__xludf.DUMMYFUNCTION("""COMPUTED_VALUE"""),"nuveen.com")</f>
        <v>nuveen.com</v>
      </c>
      <c r="K61" s="17" t="str">
        <f>IFERROR(__xludf.DUMMYFUNCTION("""COMPUTED_VALUE"""),"Chicago, IL")</f>
        <v>Chicago, IL</v>
      </c>
      <c r="L61" s="16" t="str">
        <f>IFERROR(__xludf.DUMMYFUNCTION("""COMPUTED_VALUE"""),"https://img.logo.dev/nuveen.com?token=pk_FIVsDKgZTvCedVXXtt2rEg&amp;size=200&amp;retina=true")</f>
        <v>https://img.logo.dev/nuveen.com?token=pk_FIVsDKgZTvCedVXXtt2rEg&amp;size=200&amp;retina=true</v>
      </c>
      <c r="M61" s="17">
        <f>IFERROR(__xludf.DUMMYFUNCTION("""COMPUTED_VALUE"""),0.0)</f>
        <v>0</v>
      </c>
      <c r="N61" s="13" t="str">
        <f>IFERROR(__xludf.DUMMYFUNCTION("""COMPUTED_VALUE"""),"No Data")</f>
        <v>No Data</v>
      </c>
      <c r="O61" s="27" t="str">
        <f>IFERROR(__xludf.DUMMYFUNCTION("""COMPUTED_VALUE"""),"No Data")</f>
        <v>No Data</v>
      </c>
      <c r="P61" s="28" t="str">
        <f>IFERROR(__xludf.DUMMYFUNCTION("""COMPUTED_VALUE"""),"No Data")</f>
        <v>No Data</v>
      </c>
      <c r="Q61" s="13" t="str">
        <f>IFERROR(__xludf.DUMMYFUNCTION("""COMPUTED_VALUE"""),"No Data")</f>
        <v>No Data</v>
      </c>
    </row>
    <row r="62">
      <c r="A62" s="17" t="str">
        <f>IFERROR(__xludf.DUMMYFUNCTION("""COMPUTED_VALUE"""),"Olympus Property")</f>
        <v>Olympus Property</v>
      </c>
      <c r="B62" s="17">
        <f>IFERROR(__xludf.DUMMYFUNCTION("""COMPUTED_VALUE"""),1992.0)</f>
        <v>1992</v>
      </c>
      <c r="C62" s="29">
        <f>IFERROR(__xludf.DUMMYFUNCTION("""COMPUTED_VALUE"""),9.2E9)</f>
        <v>9200000000</v>
      </c>
      <c r="D62" s="17" t="str">
        <f>IFERROR(__xludf.DUMMYFUNCTION("""COMPUTED_VALUE"""),"Olympus Property is a Fort Worth family-owned Class A multifamily owner-operator, founded in 1992, with a portfolio exceeding $9.2 billion and more than 35,000 units across 17 states, reaching exchangers through its affiliate WW Olympus Investment Company"&amp;". Its markets two alignment-and-discipline features heavily: co-investment in every property and long-term fixed-rate debt, alongside a claim of never having missed an investor distribution. The Class A apartment specialization and operating control defin"&amp;"e a focused, multifamily-pure franchise.")</f>
        <v>Olympus Property is a Fort Worth family-owned Class A multifamily owner-operator, founded in 1992, with a portfolio exceeding $9.2 billion and more than 35,000 units across 17 states, reaching exchangers through its affiliate WW Olympus Investment Company. Its markets two alignment-and-discipline features heavily: co-investment in every property and long-term fixed-rate debt, alongside a claim of never having missed an investor distribution. The Class A apartment specialization and operating control define a focused, multifamily-pure franchise.</v>
      </c>
      <c r="E62" s="17" t="str">
        <f>IFERROR(__xludf.DUMMYFUNCTION("""COMPUTED_VALUE"""),"Class A multifamily specialist with a portfolio exceeding $9.2 billion and 35,000+ units across 17 states.")</f>
        <v>Class A multifamily specialist with a portfolio exceeding $9.2 billion and 35,000+ units across 17 states.</v>
      </c>
      <c r="F62" s="17" t="str">
        <f>IFERROR(__xludf.DUMMYFUNCTION("""COMPUTED_VALUE"""),"Markets a record of never having missed an investor distribution.")</f>
        <v>Markets a record of never having missed an investor distribution.</v>
      </c>
      <c r="G62" s="17" t="str">
        <f>IFERROR(__xludf.DUMMYFUNCTION("""COMPUTED_VALUE"""),"Employs long-term fixed-rate debt, insulating cash flows from rate volatility.")</f>
        <v>Employs long-term fixed-rate debt, insulating cash flows from rate volatility.</v>
      </c>
      <c r="H62" s="17" t="str">
        <f>IFERROR(__xludf.DUMMYFUNCTION("""COMPUTED_VALUE"""),"Co-invests in every property, aligning sponsor and investor.")</f>
        <v>Co-invests in every property, aligning sponsor and investor.</v>
      </c>
      <c r="I62" s="17" t="str">
        <f>IFERROR(__xludf.DUMMYFUNCTION("""COMPUTED_VALUE"""),"Reaches exchangers through its affiliate WW Olympus Investment Company.")</f>
        <v>Reaches exchangers through its affiliate WW Olympus Investment Company.</v>
      </c>
      <c r="J62" s="16" t="str">
        <f>IFERROR(__xludf.DUMMYFUNCTION("""COMPUTED_VALUE"""),"olympusproperty.com")</f>
        <v>olympusproperty.com</v>
      </c>
      <c r="K62" s="17" t="str">
        <f>IFERROR(__xludf.DUMMYFUNCTION("""COMPUTED_VALUE"""),"Fort Worth, TX")</f>
        <v>Fort Worth, TX</v>
      </c>
      <c r="L62" s="16" t="str">
        <f>IFERROR(__xludf.DUMMYFUNCTION("""COMPUTED_VALUE"""),"https://img.logo.dev/olympusproperty.com?token=pk_FIVsDKgZTvCedVXXtt2rEg&amp;size=200&amp;retina=true")</f>
        <v>https://img.logo.dev/olympusproperty.com?token=pk_FIVsDKgZTvCedVXXtt2rEg&amp;size=200&amp;retina=true</v>
      </c>
      <c r="M62" s="17">
        <f>IFERROR(__xludf.DUMMYFUNCTION("""COMPUTED_VALUE"""),54.0)</f>
        <v>54</v>
      </c>
      <c r="N62" s="13">
        <f>IFERROR(__xludf.DUMMYFUNCTION("""COMPUTED_VALUE"""),0.2574740740740741)</f>
        <v>0.2574740741</v>
      </c>
      <c r="O62" s="27" t="str">
        <f>IFERROR(__xludf.DUMMYFUNCTION("""COMPUTED_VALUE"""),"No Data")</f>
        <v>No Data</v>
      </c>
      <c r="P62" s="28">
        <f>IFERROR(__xludf.DUMMYFUNCTION("""COMPUTED_VALUE"""),5.658518518518519)</f>
        <v>5.658518519</v>
      </c>
      <c r="Q62" s="13">
        <f>IFERROR(__xludf.DUMMYFUNCTION("""COMPUTED_VALUE"""),1.0)</f>
        <v>1</v>
      </c>
    </row>
    <row r="63">
      <c r="A63" s="17" t="str">
        <f>IFERROR(__xludf.DUMMYFUNCTION("""COMPUTED_VALUE"""),"Origin Investments")</f>
        <v>Origin Investments</v>
      </c>
      <c r="B63" s="17">
        <f>IFERROR(__xludf.DUMMYFUNCTION("""COMPUTED_VALUE"""),2007.0)</f>
        <v>2007</v>
      </c>
      <c r="C63" s="29">
        <f>IFERROR(__xludf.DUMMYFUNCTION("""COMPUTED_VALUE"""),3.0E9)</f>
        <v>3000000000</v>
      </c>
      <c r="D63" s="17" t="str">
        <f>IFERROR(__xludf.DUMMYFUNCTION("""COMPUTED_VALUE"""),"Origin Investments is a Chicago multifamily-focused private real estate manager, founded in 2007, distinguished by a technology-driven underwriting edge—its proprietary Multilytics rent-forecasting models—applied to Sun Belt apartments, QOZ funds and an i"&amp;"ncome-plus strategy. A tech-forward, direct-to-investor model and significant co-founder co-investment reinforce alignment, and the roughly $3 billion-plus platform reflects steady institutionalization. Its data-driven approach to multifamily forecasting "&amp;"is a genuine differentiator in a category where underwriting is often qualitative.")</f>
        <v>Origin Investments is a Chicago multifamily-focused private real estate manager, founded in 2007, distinguished by a technology-driven underwriting edge—its proprietary Multilytics rent-forecasting models—applied to Sun Belt apartments, QOZ funds and an income-plus strategy. A tech-forward, direct-to-investor model and significant co-founder co-investment reinforce alignment, and the roughly $3 billion-plus platform reflects steady institutionalization. Its data-driven approach to multifamily forecasting is a genuine differentiator in a category where underwriting is often qualitative.</v>
      </c>
      <c r="E63" s="17" t="str">
        <f>IFERROR(__xludf.DUMMYFUNCTION("""COMPUTED_VALUE"""),"Differentiates on proprietary Multilytics rent-forecasting technology, a quantitative edge in a qualitative industry.")</f>
        <v>Differentiates on proprietary Multilytics rent-forecasting technology, a quantitative edge in a qualitative industry.</v>
      </c>
      <c r="F63" s="17" t="str">
        <f>IFERROR(__xludf.DUMMYFUNCTION("""COMPUTED_VALUE"""),"Focuses on Sun Belt multifamily on migration and job-growth tailwinds.")</f>
        <v>Focuses on Sun Belt multifamily on migration and job-growth tailwinds.</v>
      </c>
      <c r="G63" s="17" t="str">
        <f>IFERROR(__xludf.DUMMYFUNCTION("""COMPUTED_VALUE"""),"Runs a Qualified Opportunity Zone fund series alongside its income strategy.")</f>
        <v>Runs a Qualified Opportunity Zone fund series alongside its income strategy.</v>
      </c>
      <c r="H63" s="17" t="str">
        <f>IFERROR(__xludf.DUMMYFUNCTION("""COMPUTED_VALUE"""),"Co-founders co-invest significantly, reinforcing alignment.")</f>
        <v>Co-founders co-invest significantly, reinforcing alignment.</v>
      </c>
      <c r="I63" s="17" t="str">
        <f>IFERROR(__xludf.DUMMYFUNCTION("""COMPUTED_VALUE"""),"Operates a tech-forward, direct-to-investor model managing ~$3 billion-plus.")</f>
        <v>Operates a tech-forward, direct-to-investor model managing ~$3 billion-plus.</v>
      </c>
      <c r="J63" s="16" t="str">
        <f>IFERROR(__xludf.DUMMYFUNCTION("""COMPUTED_VALUE"""),"origininvestments.com")</f>
        <v>origininvestments.com</v>
      </c>
      <c r="K63" s="17" t="str">
        <f>IFERROR(__xludf.DUMMYFUNCTION("""COMPUTED_VALUE"""),"Chicago, IL")</f>
        <v>Chicago, IL</v>
      </c>
      <c r="L63" s="16" t="str">
        <f>IFERROR(__xludf.DUMMYFUNCTION("""COMPUTED_VALUE"""),"https://img.logo.dev/origininvestments.com?token=pk_FIVsDKgZTvCedVXXtt2rEg&amp;size=200&amp;retina=true")</f>
        <v>https://img.logo.dev/origininvestments.com?token=pk_FIVsDKgZTvCedVXXtt2rEg&amp;size=200&amp;retina=true</v>
      </c>
      <c r="M63" s="17">
        <f>IFERROR(__xludf.DUMMYFUNCTION("""COMPUTED_VALUE"""),0.0)</f>
        <v>0</v>
      </c>
      <c r="N63" s="13" t="str">
        <f>IFERROR(__xludf.DUMMYFUNCTION("""COMPUTED_VALUE"""),"No Data")</f>
        <v>No Data</v>
      </c>
      <c r="O63" s="27" t="str">
        <f>IFERROR(__xludf.DUMMYFUNCTION("""COMPUTED_VALUE"""),"No Data")</f>
        <v>No Data</v>
      </c>
      <c r="P63" s="28" t="str">
        <f>IFERROR(__xludf.DUMMYFUNCTION("""COMPUTED_VALUE"""),"No Data")</f>
        <v>No Data</v>
      </c>
      <c r="Q63" s="13" t="str">
        <f>IFERROR(__xludf.DUMMYFUNCTION("""COMPUTED_VALUE"""),"No Data")</f>
        <v>No Data</v>
      </c>
    </row>
    <row r="64">
      <c r="A64" s="17" t="str">
        <f>IFERROR(__xludf.DUMMYFUNCTION("""COMPUTED_VALUE"""),"Pacific Oak Capital")</f>
        <v>Pacific Oak Capital</v>
      </c>
      <c r="B64" s="17">
        <f>IFERROR(__xludf.DUMMYFUNCTION("""COMPUTED_VALUE"""),2018.0)</f>
        <v>2018</v>
      </c>
      <c r="C64" s="29">
        <f>IFERROR(__xludf.DUMMYFUNCTION("""COMPUTED_VALUE"""),3.5E9)</f>
        <v>3500000000</v>
      </c>
      <c r="D64" s="17" t="str">
        <f>IFERROR(__xludf.DUMMYFUNCTION("""COMPUTED_VALUE"""),"Pacific Oak Capital is a Los Angeles sponsor and advisor, founded in 2018 by veterans of the KBS complex, that advises the Pacific Oak Strategic Opportunity REIT and asset-manages the Singapore-listed Keppel Pacific Oak US REIT, with a platform in the $3."&amp;"1-3.5 billion range. Its opportunistic and value-add orientation, paired with a leadership team citing $175 billion-plus in cumulative experience, gives it institutional sourcing across cross-border vehicles. The KBS heritage is central to its identity an"&amp;"d track record.")</f>
        <v>Pacific Oak Capital is a Los Angeles sponsor and advisor, founded in 2018 by veterans of the KBS complex, that advises the Pacific Oak Strategic Opportunity REIT and asset-manages the Singapore-listed Keppel Pacific Oak US REIT, with a platform in the $3.1-3.5 billion range. Its opportunistic and value-add orientation, paired with a leadership team citing $175 billion-plus in cumulative experience, gives it institutional sourcing across cross-border vehicles. The KBS heritage is central to its identity and track record.</v>
      </c>
      <c r="E64" s="17" t="str">
        <f>IFERROR(__xludf.DUMMYFUNCTION("""COMPUTED_VALUE"""),"Advises the Pacific Oak Strategic Opportunity REIT, an opportunistic non-traded vehicle.")</f>
        <v>Advises the Pacific Oak Strategic Opportunity REIT, an opportunistic non-traded vehicle.</v>
      </c>
      <c r="F64" s="17" t="str">
        <f>IFERROR(__xludf.DUMMYFUNCTION("""COMPUTED_VALUE"""),"Asset-manages the Singapore-listed Keppel Pacific Oak US REIT, a cross-border mandate.")</f>
        <v>Asset-manages the Singapore-listed Keppel Pacific Oak US REIT, a cross-border mandate.</v>
      </c>
      <c r="G64" s="17" t="str">
        <f>IFERROR(__xludf.DUMMYFUNCTION("""COMPUTED_VALUE"""),"Leadership cites $175B+ cumulative experience from the KBS complex.")</f>
        <v>Leadership cites $175B+ cumulative experience from the KBS complex.</v>
      </c>
      <c r="H64" s="17" t="str">
        <f>IFERROR(__xludf.DUMMYFUNCTION("""COMPUTED_VALUE"""),"Pursues opportunistic/value-add strategies across a ~$3.1-3.5 billion platform.")</f>
        <v>Pursues opportunistic/value-add strategies across a ~$3.1-3.5 billion platform.</v>
      </c>
      <c r="I64" s="17" t="str">
        <f>IFERROR(__xludf.DUMMYFUNCTION("""COMPUTED_VALUE"""),"KBS-team heritage anchors its track record and identity.")</f>
        <v>KBS-team heritage anchors its track record and identity.</v>
      </c>
      <c r="J64" s="16" t="str">
        <f>IFERROR(__xludf.DUMMYFUNCTION("""COMPUTED_VALUE"""),"pacificoakcapitaladvisors.com")</f>
        <v>pacificoakcapitaladvisors.com</v>
      </c>
      <c r="K64" s="17" t="str">
        <f>IFERROR(__xludf.DUMMYFUNCTION("""COMPUTED_VALUE"""),"Los Angeles, CA")</f>
        <v>Los Angeles, CA</v>
      </c>
      <c r="L64" s="16" t="str">
        <f>IFERROR(__xludf.DUMMYFUNCTION("""COMPUTED_VALUE"""),"https://img.logo.dev/pacificoakcapitaladvisors.com?token=pk_FIVsDKgZTvCedVXXtt2rEg&amp;size=200&amp;retina=true")</f>
        <v>https://img.logo.dev/pacificoakcapitaladvisors.com?token=pk_FIVsDKgZTvCedVXXtt2rEg&amp;size=200&amp;retina=true</v>
      </c>
      <c r="M64" s="17">
        <f>IFERROR(__xludf.DUMMYFUNCTION("""COMPUTED_VALUE"""),0.0)</f>
        <v>0</v>
      </c>
      <c r="N64" s="13" t="str">
        <f>IFERROR(__xludf.DUMMYFUNCTION("""COMPUTED_VALUE"""),"No Data")</f>
        <v>No Data</v>
      </c>
      <c r="O64" s="27" t="str">
        <f>IFERROR(__xludf.DUMMYFUNCTION("""COMPUTED_VALUE"""),"No Data")</f>
        <v>No Data</v>
      </c>
      <c r="P64" s="28" t="str">
        <f>IFERROR(__xludf.DUMMYFUNCTION("""COMPUTED_VALUE"""),"No Data")</f>
        <v>No Data</v>
      </c>
      <c r="Q64" s="13" t="str">
        <f>IFERROR(__xludf.DUMMYFUNCTION("""COMPUTED_VALUE"""),"No Data")</f>
        <v>No Data</v>
      </c>
    </row>
    <row r="65">
      <c r="A65" s="17" t="str">
        <f>IFERROR(__xludf.DUMMYFUNCTION("""COMPUTED_VALUE"""),"Passco")</f>
        <v>Passco</v>
      </c>
      <c r="B65" s="17">
        <f>IFERROR(__xludf.DUMMYFUNCTION("""COMPUTED_VALUE"""),1998.0)</f>
        <v>1998</v>
      </c>
      <c r="C65" s="29">
        <f>IFERROR(__xludf.DUMMYFUNCTION("""COMPUTED_VALUE"""),4.1E9)</f>
        <v>4100000000</v>
      </c>
      <c r="D65" s="17" t="str">
        <f>IFERROR(__xludf.DUMMYFUNCTION("""COMPUTED_VALUE"""),"Passco Companies is an Irvine multifamily and commercial sponsor, founded in 1998, whose founder Bill Passo helped pioneer the modern tenant-in-common 1031 structure that preceded the DST—giving the firm genuine standing in the history of securitized exch"&amp;"anges. With $4.1 billion in AUM as of late 2025 and more than $8 billion in lifetime acquisitions across multiple cycles, Passco concentrates on Class A multifamily in Southeastern and secondary/tertiary markets, owning or managing some 30,000 units. Its "&amp;"structural heritage and through-cycle acquisition record make it a seasoned, large-scale name in the category.")</f>
        <v>Passco Companies is an Irvine multifamily and commercial sponsor, founded in 1998, whose founder Bill Passo helped pioneer the modern tenant-in-common 1031 structure that preceded the DST—giving the firm genuine standing in the history of securitized exchanges. With $4.1 billion in AUM as of late 2025 and more than $8 billion in lifetime acquisitions across multiple cycles, Passco concentrates on Class A multifamily in Southeastern and secondary/tertiary markets, owning or managing some 30,000 units. Its structural heritage and through-cycle acquisition record make it a seasoned, large-scale name in the category.</v>
      </c>
      <c r="E65" s="17" t="str">
        <f>IFERROR(__xludf.DUMMYFUNCTION("""COMPUTED_VALUE"""),"Founder Bill Passo helped pioneer the modern TIC 1031 structure (Rev. Proc. 2002-22).")</f>
        <v>Founder Bill Passo helped pioneer the modern TIC 1031 structure (Rev. Proc. 2002-22).</v>
      </c>
      <c r="F65" s="17" t="str">
        <f>IFERROR(__xludf.DUMMYFUNCTION("""COMPUTED_VALUE"""),"Concentrates on Class A multifamily in Southeastern and secondary/tertiary markets.")</f>
        <v>Concentrates on Class A multifamily in Southeastern and secondary/tertiary markets.</v>
      </c>
      <c r="G65" s="17" t="str">
        <f>IFERROR(__xludf.DUMMYFUNCTION("""COMPUTED_VALUE"""),"Has completed $8B+ in acquisitions across multiple cycles.")</f>
        <v>Has completed $8B+ in acquisitions across multiple cycles.</v>
      </c>
      <c r="H65" s="17" t="str">
        <f>IFERROR(__xludf.DUMMYFUNCTION("""COMPUTED_VALUE"""),"Owns or manages roughly 30,000 units.")</f>
        <v>Owns or manages roughly 30,000 units.</v>
      </c>
      <c r="I65" s="17" t="str">
        <f>IFERROR(__xludf.DUMMYFUNCTION("""COMPUTED_VALUE"""),"Manages $4.1 billion, a seasoned large-scale presence.")</f>
        <v>Manages $4.1 billion, a seasoned large-scale presence.</v>
      </c>
      <c r="J65" s="16" t="str">
        <f>IFERROR(__xludf.DUMMYFUNCTION("""COMPUTED_VALUE"""),"passco.com")</f>
        <v>passco.com</v>
      </c>
      <c r="K65" s="17" t="str">
        <f>IFERROR(__xludf.DUMMYFUNCTION("""COMPUTED_VALUE"""),"Irvine, CA")</f>
        <v>Irvine, CA</v>
      </c>
      <c r="L65" s="16" t="str">
        <f>IFERROR(__xludf.DUMMYFUNCTION("""COMPUTED_VALUE"""),"https://img.logo.dev/passco.com?token=pk_FIVsDKgZTvCedVXXtt2rEg&amp;size=200&amp;retina=true")</f>
        <v>https://img.logo.dev/passco.com?token=pk_FIVsDKgZTvCedVXXtt2rEg&amp;size=200&amp;retina=true</v>
      </c>
      <c r="M65" s="17">
        <f>IFERROR(__xludf.DUMMYFUNCTION("""COMPUTED_VALUE"""),34.0)</f>
        <v>34</v>
      </c>
      <c r="N65" s="13">
        <f>IFERROR(__xludf.DUMMYFUNCTION("""COMPUTED_VALUE"""),0.12332647058823533)</f>
        <v>0.1233264706</v>
      </c>
      <c r="O65" s="27">
        <f>IFERROR(__xludf.DUMMYFUNCTION("""COMPUTED_VALUE"""),1.9152941176470586)</f>
        <v>1.915294118</v>
      </c>
      <c r="P65" s="28">
        <f>IFERROR(__xludf.DUMMYFUNCTION("""COMPUTED_VALUE"""),5.676470588235294)</f>
        <v>5.676470588</v>
      </c>
      <c r="Q65" s="13">
        <f>IFERROR(__xludf.DUMMYFUNCTION("""COMPUTED_VALUE"""),1.0)</f>
        <v>1</v>
      </c>
    </row>
    <row r="66">
      <c r="A66" s="17" t="str">
        <f>IFERROR(__xludf.DUMMYFUNCTION("""COMPUTED_VALUE"""),"Peachtree Group")</f>
        <v>Peachtree Group</v>
      </c>
      <c r="B66" s="17">
        <f>IFERROR(__xludf.DUMMYFUNCTION("""COMPUTED_VALUE"""),2007.0)</f>
        <v>2007</v>
      </c>
      <c r="C66" s="29">
        <f>IFERROR(__xludf.DUMMYFUNCTION("""COMPUTED_VALUE"""),2.5E9)</f>
        <v>2500000000</v>
      </c>
      <c r="D66" s="17" t="str">
        <f>IFERROR(__xludf.DUMMYFUNCTION("""COMPUTED_VALUE"""),"Peachtree Group is an Atlanta vertically integrated investment manager with more than $2.5 billion in equity under management and over $9 billion in asset value, anchored in deep hospitality expertise across 48-plus hotels and extended into CRE lending, C"&amp;"PACE financing and, since 2022, a debt-free DST platform. Ranked a top-15 DST sponsor in 2024 on the strength of seven all-cash DST acquisitions, and complemented by EB-5 and QOZ programs, Peachtree brings unusual capital-markets breadth—equity, credit an"&amp;"d tax-advantaged structures—to the exchange channel. The hospitality depth and lending arm differentiate it from pure-play property sponsors.")</f>
        <v>Peachtree Group is an Atlanta vertically integrated investment manager with more than $2.5 billion in equity under management and over $9 billion in asset value, anchored in deep hospitality expertise across 48-plus hotels and extended into CRE lending, CPACE financing and, since 2022, a debt-free DST platform. Ranked a top-15 DST sponsor in 2024 on the strength of seven all-cash DST acquisitions, and complemented by EB-5 and QOZ programs, Peachtree brings unusual capital-markets breadth—equity, credit and tax-advantaged structures—to the exchange channel. The hospitality depth and lending arm differentiate it from pure-play property sponsors.</v>
      </c>
      <c r="E66" s="17" t="str">
        <f>IFERROR(__xludf.DUMMYFUNCTION("""COMPUTED_VALUE"""),"Anchored in deep hospitality-investing expertise across 48+ hotels, an unusual DST specialization.")</f>
        <v>Anchored in deep hospitality-investing expertise across 48+ hotels, an unusual DST specialization.</v>
      </c>
      <c r="F66" s="17" t="str">
        <f>IFERROR(__xludf.DUMMYFUNCTION("""COMPUTED_VALUE"""),"Operates a CRE credit and CPACE arm exceeding $600 million.")</f>
        <v>Operates a CRE credit and CPACE arm exceeding $600 million.</v>
      </c>
      <c r="G66" s="17" t="str">
        <f>IFERROR(__xludf.DUMMYFUNCTION("""COMPUTED_VALUE"""),"Sponsors debt-free DSTs (seven all-cash acquisitions), eliminating lender risk.")</f>
        <v>Sponsors debt-free DSTs (seven all-cash acquisitions), eliminating lender risk.</v>
      </c>
      <c r="H66" s="17" t="str">
        <f>IFERROR(__xludf.DUMMYFUNCTION("""COMPUTED_VALUE"""),"Ranked a top-15 DST sponsor in 2024.")</f>
        <v>Ranked a top-15 DST sponsor in 2024.</v>
      </c>
      <c r="I66" s="17" t="str">
        <f>IFERROR(__xludf.DUMMYFUNCTION("""COMPUTED_VALUE"""),"Complements with EB-5 and QOZ programs; manages $2.5B+ in equity.")</f>
        <v>Complements with EB-5 and QOZ programs; manages $2.5B+ in equity.</v>
      </c>
      <c r="J66" s="16" t="str">
        <f>IFERROR(__xludf.DUMMYFUNCTION("""COMPUTED_VALUE"""),"peachtreegroup.com")</f>
        <v>peachtreegroup.com</v>
      </c>
      <c r="K66" s="17" t="str">
        <f>IFERROR(__xludf.DUMMYFUNCTION("""COMPUTED_VALUE"""),"Atlanta, GA")</f>
        <v>Atlanta, GA</v>
      </c>
      <c r="L66" s="16" t="str">
        <f>IFERROR(__xludf.DUMMYFUNCTION("""COMPUTED_VALUE"""),"https://img.logo.dev/peachtreegroup.com?token=pk_FIVsDKgZTvCedVXXtt2rEg&amp;size=200&amp;retina=true")</f>
        <v>https://img.logo.dev/peachtreegroup.com?token=pk_FIVsDKgZTvCedVXXtt2rEg&amp;size=200&amp;retina=true</v>
      </c>
      <c r="M66" s="17">
        <f>IFERROR(__xludf.DUMMYFUNCTION("""COMPUTED_VALUE"""),28.0)</f>
        <v>28</v>
      </c>
      <c r="N66" s="13">
        <f>IFERROR(__xludf.DUMMYFUNCTION("""COMPUTED_VALUE"""),0.3118214285714286)</f>
        <v>0.3118214286</v>
      </c>
      <c r="O66" s="27">
        <f>IFERROR(__xludf.DUMMYFUNCTION("""COMPUTED_VALUE"""),2.1525000000000003)</f>
        <v>2.1525</v>
      </c>
      <c r="P66" s="28">
        <f>IFERROR(__xludf.DUMMYFUNCTION("""COMPUTED_VALUE"""),5.115357142857142)</f>
        <v>5.115357143</v>
      </c>
      <c r="Q66" s="13">
        <f>IFERROR(__xludf.DUMMYFUNCTION("""COMPUTED_VALUE"""),1.0)</f>
        <v>1</v>
      </c>
    </row>
    <row r="67">
      <c r="A67" s="17" t="str">
        <f>IFERROR(__xludf.DUMMYFUNCTION("""COMPUTED_VALUE"""),"PGIM")</f>
        <v>PGIM</v>
      </c>
      <c r="B67" s="17">
        <f>IFERROR(__xludf.DUMMYFUNCTION("""COMPUTED_VALUE"""),1875.0)</f>
        <v>1875</v>
      </c>
      <c r="C67" s="29">
        <f>IFERROR(__xludf.DUMMYFUNCTION("""COMPUTED_VALUE"""),2.08E11)</f>
        <v>208000000000</v>
      </c>
      <c r="D67" s="17" t="str">
        <f>IFERROR(__xludf.DUMMYFUNCTION("""COMPUTED_VALUE"""),"PGIM is Prudential's global investment manager, whose PGIM Real Estate arm oversees roughly $208 billion globally across equity and debt strategies, including the PGIM Private Real Estate Fund, within a firm managing about $1.4 trillion. Backed by Prudent"&amp;"ial's balance-sheet heritage and active in capital-intensive themes such as data centers, PGIM brings institutional dual-platform (equity and debt) capability to real estate. Its relevance to the 1031 channel is institutional scale rather than a dedicated"&amp;" DST franchise.")</f>
        <v>PGIM is Prudential's global investment manager, whose PGIM Real Estate arm oversees roughly $208 billion globally across equity and debt strategies, including the PGIM Private Real Estate Fund, within a firm managing about $1.4 trillion. Backed by Prudential's balance-sheet heritage and active in capital-intensive themes such as data centers, PGIM brings institutional dual-platform (equity and debt) capability to real estate. Its relevance to the 1031 channel is institutional scale rather than a dedicated DST franchise.</v>
      </c>
      <c r="E67" s="17" t="str">
        <f>IFERROR(__xludf.DUMMYFUNCTION("""COMPUTED_VALUE"""),"Operates ~$208 billion in global real estate through PGIM Real Estate, spanning equity and debt.")</f>
        <v>Operates ~$208 billion in global real estate through PGIM Real Estate, spanning equity and debt.</v>
      </c>
      <c r="F67" s="17" t="str">
        <f>IFERROR(__xludf.DUMMYFUNCTION("""COMPUTED_VALUE"""),"Backed by the Prudential balance sheet.")</f>
        <v>Backed by the Prudential balance sheet.</v>
      </c>
      <c r="G67" s="17" t="str">
        <f>IFERROR(__xludf.DUMMYFUNCTION("""COMPUTED_VALUE"""),"Runs a dual equity-and-debt real estate franchise.")</f>
        <v>Runs a dual equity-and-debt real estate franchise.</v>
      </c>
      <c r="H67" s="17" t="str">
        <f>IFERROR(__xludf.DUMMYFUNCTION("""COMPUTED_VALUE"""),"Active in capital-intensive themes such as data centers (~$2B raised).")</f>
        <v>Active in capital-intensive themes such as data centers (~$2B raised).</v>
      </c>
      <c r="I67" s="17" t="str">
        <f>IFERROR(__xludf.DUMMYFUNCTION("""COMPUTED_VALUE"""),"Offers the PGIM Private Real Estate Fund; relevance to 1031 is institutional scale.")</f>
        <v>Offers the PGIM Private Real Estate Fund; relevance to 1031 is institutional scale.</v>
      </c>
      <c r="J67" s="16" t="str">
        <f>IFERROR(__xludf.DUMMYFUNCTION("""COMPUTED_VALUE"""),"pgim.com")</f>
        <v>pgim.com</v>
      </c>
      <c r="K67" s="17" t="str">
        <f>IFERROR(__xludf.DUMMYFUNCTION("""COMPUTED_VALUE"""),"Newark, NJ")</f>
        <v>Newark, NJ</v>
      </c>
      <c r="L67" s="16" t="str">
        <f>IFERROR(__xludf.DUMMYFUNCTION("""COMPUTED_VALUE"""),"https://img.logo.dev/pgim.com?token=pk_FIVsDKgZTvCedVXXtt2rEg&amp;size=200&amp;retina=true")</f>
        <v>https://img.logo.dev/pgim.com?token=pk_FIVsDKgZTvCedVXXtt2rEg&amp;size=200&amp;retina=true</v>
      </c>
      <c r="M67" s="17">
        <f>IFERROR(__xludf.DUMMYFUNCTION("""COMPUTED_VALUE"""),0.0)</f>
        <v>0</v>
      </c>
      <c r="N67" s="13" t="str">
        <f>IFERROR(__xludf.DUMMYFUNCTION("""COMPUTED_VALUE"""),"No Data")</f>
        <v>No Data</v>
      </c>
      <c r="O67" s="27" t="str">
        <f>IFERROR(__xludf.DUMMYFUNCTION("""COMPUTED_VALUE"""),"No Data")</f>
        <v>No Data</v>
      </c>
      <c r="P67" s="28" t="str">
        <f>IFERROR(__xludf.DUMMYFUNCTION("""COMPUTED_VALUE"""),"No Data")</f>
        <v>No Data</v>
      </c>
      <c r="Q67" s="13" t="str">
        <f>IFERROR(__xludf.DUMMYFUNCTION("""COMPUTED_VALUE"""),"No Data")</f>
        <v>No Data</v>
      </c>
    </row>
    <row r="68">
      <c r="A68" s="17" t="str">
        <f>IFERROR(__xludf.DUMMYFUNCTION("""COMPUTED_VALUE"""),"Platform Ventures")</f>
        <v>Platform Ventures</v>
      </c>
      <c r="B68" s="17">
        <f>IFERROR(__xludf.DUMMYFUNCTION("""COMPUTED_VALUE"""),2016.0)</f>
        <v>2016</v>
      </c>
      <c r="C68" s="29">
        <f>IFERROR(__xludf.DUMMYFUNCTION("""COMPUTED_VALUE"""),2.0E9)</f>
        <v>2000000000</v>
      </c>
      <c r="D68" s="17" t="str">
        <f>IFERROR(__xludf.DUMMYFUNCTION("""COMPUTED_VALUE"""),"Platform Ventures is a Kansas City diversified real estate and alternatives manager, founded in 2016, that blends traditional real estate with venture and technology exposure across a roughly $2 billion-plus platform serving both institutional and retail "&amp;"investors. The real estate-and-tech crossover is its differentiation; investors should weigh that breadth against the absence of a single, deep property specialization.")</f>
        <v>Platform Ventures is a Kansas City diversified real estate and alternatives manager, founded in 2016, that blends traditional real estate with venture and technology exposure across a roughly $2 billion-plus platform serving both institutional and retail investors. The real estate-and-tech crossover is its differentiation; investors should weigh that breadth against the absence of a single, deep property specialization.</v>
      </c>
      <c r="E68" s="17" t="str">
        <f>IFERROR(__xludf.DUMMYFUNCTION("""COMPUTED_VALUE"""),"Blends traditional real estate with venture and technology exposure, an uncommon crossover.")</f>
        <v>Blends traditional real estate with venture and technology exposure, an uncommon crossover.</v>
      </c>
      <c r="F68" s="17" t="str">
        <f>IFERROR(__xludf.DUMMYFUNCTION("""COMPUTED_VALUE"""),"Serves institutional and retail investors across a ~$2 billion-plus base.")</f>
        <v>Serves institutional and retail investors across a ~$2 billion-plus base.</v>
      </c>
      <c r="G68" s="17" t="str">
        <f>IFERROR(__xludf.DUMMYFUNCTION("""COMPUTED_VALUE"""),"Midwest-based with a diversified alternatives mandate.")</f>
        <v>Midwest-based with a diversified alternatives mandate.</v>
      </c>
      <c r="H68" s="17" t="str">
        <f>IFERROR(__xludf.DUMMYFUNCTION("""COMPUTED_VALUE"""),"Real estate-and-tech orientation differentiates it from single-thesis sponsors.")</f>
        <v>Real estate-and-tech orientation differentiates it from single-thesis sponsors.</v>
      </c>
      <c r="I68" s="17" t="str">
        <f>IFERROR(__xludf.DUMMYFUNCTION("""COMPUTED_VALUE"""),"Breadth weighed against the absence of a single deep property specialization.")</f>
        <v>Breadth weighed against the absence of a single deep property specialization.</v>
      </c>
      <c r="J68" s="16" t="str">
        <f>IFERROR(__xludf.DUMMYFUNCTION("""COMPUTED_VALUE"""),"platformventures.com")</f>
        <v>platformventures.com</v>
      </c>
      <c r="K68" s="17" t="str">
        <f>IFERROR(__xludf.DUMMYFUNCTION("""COMPUTED_VALUE"""),"Kansas City, MO")</f>
        <v>Kansas City, MO</v>
      </c>
      <c r="L68" s="16" t="str">
        <f>IFERROR(__xludf.DUMMYFUNCTION("""COMPUTED_VALUE"""),"https://img.logo.dev/platformventures.com?token=pk_FIVsDKgZTvCedVXXtt2rEg&amp;size=200&amp;retina=true")</f>
        <v>https://img.logo.dev/platformventures.com?token=pk_FIVsDKgZTvCedVXXtt2rEg&amp;size=200&amp;retina=true</v>
      </c>
      <c r="M68" s="17">
        <f>IFERROR(__xludf.DUMMYFUNCTION("""COMPUTED_VALUE"""),0.0)</f>
        <v>0</v>
      </c>
      <c r="N68" s="13" t="str">
        <f>IFERROR(__xludf.DUMMYFUNCTION("""COMPUTED_VALUE"""),"No Data")</f>
        <v>No Data</v>
      </c>
      <c r="O68" s="27" t="str">
        <f>IFERROR(__xludf.DUMMYFUNCTION("""COMPUTED_VALUE"""),"No Data")</f>
        <v>No Data</v>
      </c>
      <c r="P68" s="28" t="str">
        <f>IFERROR(__xludf.DUMMYFUNCTION("""COMPUTED_VALUE"""),"No Data")</f>
        <v>No Data</v>
      </c>
      <c r="Q68" s="13" t="str">
        <f>IFERROR(__xludf.DUMMYFUNCTION("""COMPUTED_VALUE"""),"No Data")</f>
        <v>No Data</v>
      </c>
    </row>
    <row r="69">
      <c r="A69" s="17" t="str">
        <f>IFERROR(__xludf.DUMMYFUNCTION("""COMPUTED_VALUE"""),"Resource Royalty")</f>
        <v>Resource Royalty</v>
      </c>
      <c r="B69" s="17">
        <f>IFERROR(__xludf.DUMMYFUNCTION("""COMPUTED_VALUE"""),2011.0)</f>
        <v>2011</v>
      </c>
      <c r="C69" s="29">
        <f>IFERROR(__xludf.DUMMYFUNCTION("""COMPUTED_VALUE"""),1.73E8)</f>
        <v>173000000</v>
      </c>
      <c r="D69" s="17" t="str">
        <f>IFERROR(__xludf.DUMMYFUNCTION("""COMPUTED_VALUE"""),"Resource Royalty is a Dallas sponsor of oil-and-gas mineral and royalty DSTs, founded in 2011, occupying one of the more esoteric corners of the 1031 universe by offering direct-title, exchange-eligible mineral rights. Having raised roughly $173 million a"&amp;"cross 24 offerings covering some 440,000 gross acres and 1,650 producing wells, primarily in the Permian and Anadarko basins, the firm leans on conservative price-deck modeling to underwrite commodity exposure. The asset class diversifies away from real p"&amp;"roperty cash flows but introduces energy-price and depletion risk that demands specialized diligence.")</f>
        <v>Resource Royalty is a Dallas sponsor of oil-and-gas mineral and royalty DSTs, founded in 2011, occupying one of the more esoteric corners of the 1031 universe by offering direct-title, exchange-eligible mineral rights. Having raised roughly $173 million across 24 offerings covering some 440,000 gross acres and 1,650 producing wells, primarily in the Permian and Anadarko basins, the firm leans on conservative price-deck modeling to underwrite commodity exposure. The asset class diversifies away from real property cash flows but introduces energy-price and depletion risk that demands specialized diligence.</v>
      </c>
      <c r="E69" s="17" t="str">
        <f>IFERROR(__xludf.DUMMYFUNCTION("""COMPUTED_VALUE"""),"Occupies the esoteric oil-and-gas mineral and royalty DST niche, offering direct-title 1031-eligible mineral rights.")</f>
        <v>Occupies the esoteric oil-and-gas mineral and royalty DST niche, offering direct-title 1031-eligible mineral rights.</v>
      </c>
      <c r="F69" s="17" t="str">
        <f>IFERROR(__xludf.DUMMYFUNCTION("""COMPUTED_VALUE"""),"Has raised ~$173 million across 24 offerings covering ~440,000 gross acres and 1,650 producing wells.")</f>
        <v>Has raised ~$173 million across 24 offerings covering ~440,000 gross acres and 1,650 producing wells.</v>
      </c>
      <c r="G69" s="17" t="str">
        <f>IFERROR(__xludf.DUMMYFUNCTION("""COMPUTED_VALUE"""),"Concentrates in the Permian and Anadarko basins.")</f>
        <v>Concentrates in the Permian and Anadarko basins.</v>
      </c>
      <c r="H69" s="17" t="str">
        <f>IFERROR(__xludf.DUMMYFUNCTION("""COMPUTED_VALUE"""),"Underwrites with conservative price-deck modeling.")</f>
        <v>Underwrites with conservative price-deck modeling.</v>
      </c>
      <c r="I69" s="17" t="str">
        <f>IFERROR(__xludf.DUMMYFUNCTION("""COMPUTED_VALUE"""),"Diversifies from real property but introduces energy-price and depletion risk.")</f>
        <v>Diversifies from real property but introduces energy-price and depletion risk.</v>
      </c>
      <c r="J69" s="16" t="str">
        <f>IFERROR(__xludf.DUMMYFUNCTION("""COMPUTED_VALUE"""),"resourceroyalty.com")</f>
        <v>resourceroyalty.com</v>
      </c>
      <c r="K69" s="17" t="str">
        <f>IFERROR(__xludf.DUMMYFUNCTION("""COMPUTED_VALUE"""),"Dallas, TX")</f>
        <v>Dallas, TX</v>
      </c>
      <c r="L69" s="16" t="str">
        <f>IFERROR(__xludf.DUMMYFUNCTION("""COMPUTED_VALUE"""),"https://img.logo.dev/resourceroyalty.com?token=pk_FIVsDKgZTvCedVXXtt2rEg&amp;size=200&amp;retina=true")</f>
        <v>https://img.logo.dev/resourceroyalty.com?token=pk_FIVsDKgZTvCedVXXtt2rEg&amp;size=200&amp;retina=true</v>
      </c>
      <c r="M69" s="17">
        <f>IFERROR(__xludf.DUMMYFUNCTION("""COMPUTED_VALUE"""),0.0)</f>
        <v>0</v>
      </c>
      <c r="N69" s="13" t="str">
        <f>IFERROR(__xludf.DUMMYFUNCTION("""COMPUTED_VALUE"""),"No Data")</f>
        <v>No Data</v>
      </c>
      <c r="O69" s="27" t="str">
        <f>IFERROR(__xludf.DUMMYFUNCTION("""COMPUTED_VALUE"""),"No Data")</f>
        <v>No Data</v>
      </c>
      <c r="P69" s="28" t="str">
        <f>IFERROR(__xludf.DUMMYFUNCTION("""COMPUTED_VALUE"""),"No Data")</f>
        <v>No Data</v>
      </c>
      <c r="Q69" s="13" t="str">
        <f>IFERROR(__xludf.DUMMYFUNCTION("""COMPUTED_VALUE"""),"No Data")</f>
        <v>No Data</v>
      </c>
    </row>
    <row r="70">
      <c r="A70" s="17" t="str">
        <f>IFERROR(__xludf.DUMMYFUNCTION("""COMPUTED_VALUE"""),"RK Properties")</f>
        <v>RK Properties</v>
      </c>
      <c r="B70" s="17">
        <f>IFERROR(__xludf.DUMMYFUNCTION("""COMPUTED_VALUE"""),1976.0)</f>
        <v>1976</v>
      </c>
      <c r="C70" s="29">
        <f>IFERROR(__xludf.DUMMYFUNCTION("""COMPUTED_VALUE"""),1.0E9)</f>
        <v>1000000000</v>
      </c>
      <c r="D70" s="17" t="str">
        <f>IFERROR(__xludf.DUMMYFUNCTION("""COMPUTED_VALUE"""),"RK Properties is a Long Beach sponsor that has invested exclusively in multifamily since 1976 and pioneered the first tenant-in-common Regulation D offering in 1994—an authentic place in the origin story of securitized 1031 exchanges. With a current portf"&amp;"olio above $1 billion and a lifetime record of roughly $3 billion across 163 properties, 147 of which have reached full cycle, the firm pairs a near-half-century single-sector focus with conservative, low-leverage underwriting. Having served more than 7,0"&amp;"00 investors over 48 years, RK markets consistency, specialization and a deep disposition record.")</f>
        <v>RK Properties is a Long Beach sponsor that has invested exclusively in multifamily since 1976 and pioneered the first tenant-in-common Regulation D offering in 1994—an authentic place in the origin story of securitized 1031 exchanges. With a current portfolio above $1 billion and a lifetime record of roughly $3 billion across 163 properties, 147 of which have reached full cycle, the firm pairs a near-half-century single-sector focus with conservative, low-leverage underwriting. Having served more than 7,000 investors over 48 years, RK markets consistency, specialization and a deep disposition record.</v>
      </c>
      <c r="E70" s="17" t="str">
        <f>IFERROR(__xludf.DUMMYFUNCTION("""COMPUTED_VALUE"""),"Has invested exclusively in multifamily since 1976, a near-half-century specialization.")</f>
        <v>Has invested exclusively in multifamily since 1976, a near-half-century specialization.</v>
      </c>
      <c r="F70" s="17" t="str">
        <f>IFERROR(__xludf.DUMMYFUNCTION("""COMPUTED_VALUE"""),"Pioneered the first tenant-in-common Regulation D offering in 1994.")</f>
        <v>Pioneered the first tenant-in-common Regulation D offering in 1994.</v>
      </c>
      <c r="G70" s="17" t="str">
        <f>IFERROR(__xludf.DUMMYFUNCTION("""COMPUTED_VALUE"""),"Has taken 147 of 163 lifetime properties full-cycle.")</f>
        <v>Has taken 147 of 163 lifetime properties full-cycle.</v>
      </c>
      <c r="H70" s="17" t="str">
        <f>IFERROR(__xludf.DUMMYFUNCTION("""COMPUTED_VALUE"""),"Underwrites conservatively with low leverage.")</f>
        <v>Underwrites conservatively with low leverage.</v>
      </c>
      <c r="I70" s="17" t="str">
        <f>IFERROR(__xludf.DUMMYFUNCTION("""COMPUTED_VALUE"""),"Has served 7,000+ investors over 48 years; current portfolio exceeds $1 billion.")</f>
        <v>Has served 7,000+ investors over 48 years; current portfolio exceeds $1 billion.</v>
      </c>
      <c r="J70" s="16" t="str">
        <f>IFERROR(__xludf.DUMMYFUNCTION("""COMPUTED_VALUE"""),"rkprop.com")</f>
        <v>rkprop.com</v>
      </c>
      <c r="K70" s="17" t="str">
        <f>IFERROR(__xludf.DUMMYFUNCTION("""COMPUTED_VALUE"""),"Long Beach, CA")</f>
        <v>Long Beach, CA</v>
      </c>
      <c r="L70" s="16" t="str">
        <f>IFERROR(__xludf.DUMMYFUNCTION("""COMPUTED_VALUE"""),"https://img.logo.dev/rkprop.com?token=pk_FIVsDKgZTvCedVXXtt2rEg&amp;size=200&amp;retina=true")</f>
        <v>https://img.logo.dev/rkprop.com?token=pk_FIVsDKgZTvCedVXXtt2rEg&amp;size=200&amp;retina=true</v>
      </c>
      <c r="M70" s="17">
        <f>IFERROR(__xludf.DUMMYFUNCTION("""COMPUTED_VALUE"""),0.0)</f>
        <v>0</v>
      </c>
      <c r="N70" s="13" t="str">
        <f>IFERROR(__xludf.DUMMYFUNCTION("""COMPUTED_VALUE"""),"No Data")</f>
        <v>No Data</v>
      </c>
      <c r="O70" s="27" t="str">
        <f>IFERROR(__xludf.DUMMYFUNCTION("""COMPUTED_VALUE"""),"No Data")</f>
        <v>No Data</v>
      </c>
      <c r="P70" s="28" t="str">
        <f>IFERROR(__xludf.DUMMYFUNCTION("""COMPUTED_VALUE"""),"No Data")</f>
        <v>No Data</v>
      </c>
      <c r="Q70" s="13" t="str">
        <f>IFERROR(__xludf.DUMMYFUNCTION("""COMPUTED_VALUE"""),"No Data")</f>
        <v>No Data</v>
      </c>
    </row>
    <row r="71">
      <c r="A71" s="17" t="str">
        <f>IFERROR(__xludf.DUMMYFUNCTION("""COMPUTED_VALUE"""),"Sealy &amp; Company")</f>
        <v>Sealy &amp; Company</v>
      </c>
      <c r="B71" s="17">
        <f>IFERROR(__xludf.DUMMYFUNCTION("""COMPUTED_VALUE"""),1946.0)</f>
        <v>1946</v>
      </c>
      <c r="C71" s="29">
        <f>IFERROR(__xludf.DUMMYFUNCTION("""COMPUTED_VALUE"""),3.0E9)</f>
        <v>3000000000</v>
      </c>
      <c r="D71" s="17" t="str">
        <f>IFERROR(__xludf.DUMMYFUNCTION("""COMPUTED_VALUE"""),"Sealy &amp; Company is a Shreveport- and Dallas-based industrial-only specialist, founded in 1946 and now in its fourth generation of family ownership, managing $3 billion across roughly 33 million square feet. The single-sector focus on industrial—the most s"&amp;"ecularly favored property type—paired with a 75-plus-year, nine-cycle track record and a vertically integrated platform across some 28 markets, makes Sealy a focused, durable operator. Its longevity and asset-class concentration are precisely the qualitie"&amp;"s institutional allocators prize in industrial.")</f>
        <v>Sealy &amp; Company is a Shreveport- and Dallas-based industrial-only specialist, founded in 1946 and now in its fourth generation of family ownership, managing $3 billion across roughly 33 million square feet. The single-sector focus on industrial—the most secularly favored property type—paired with a 75-plus-year, nine-cycle track record and a vertically integrated platform across some 28 markets, makes Sealy a focused, durable operator. Its longevity and asset-class concentration are precisely the qualities institutional allocators prize in industrial.</v>
      </c>
      <c r="E71" s="17" t="str">
        <f>IFERROR(__xludf.DUMMYFUNCTION("""COMPUTED_VALUE"""),"Industrial-only specialist, concentrated in the most secularly favored property type.")</f>
        <v>Industrial-only specialist, concentrated in the most secularly favored property type.</v>
      </c>
      <c r="F71" s="17" t="str">
        <f>IFERROR(__xludf.DUMMYFUNCTION("""COMPUTED_VALUE"""),"Fourth-generation family-owned, providing continuity and alignment.")</f>
        <v>Fourth-generation family-owned, providing continuity and alignment.</v>
      </c>
      <c r="G71" s="17" t="str">
        <f>IFERROR(__xludf.DUMMYFUNCTION("""COMPUTED_VALUE"""),"Brings a 75-plus-year, nine-cycle track record.")</f>
        <v>Brings a 75-plus-year, nine-cycle track record.</v>
      </c>
      <c r="H71" s="17" t="str">
        <f>IFERROR(__xludf.DUMMYFUNCTION("""COMPUTED_VALUE"""),"Operates a vertically integrated industrial platform across ~28 markets.")</f>
        <v>Operates a vertically integrated industrial platform across ~28 markets.</v>
      </c>
      <c r="I71" s="17" t="str">
        <f>IFERROR(__xludf.DUMMYFUNCTION("""COMPUTED_VALUE"""),"Manages $3 billion across ~33 million square feet.")</f>
        <v>Manages $3 billion across ~33 million square feet.</v>
      </c>
      <c r="J71" s="16" t="str">
        <f>IFERROR(__xludf.DUMMYFUNCTION("""COMPUTED_VALUE"""),"sealynet.com")</f>
        <v>sealynet.com</v>
      </c>
      <c r="K71" s="17" t="str">
        <f>IFERROR(__xludf.DUMMYFUNCTION("""COMPUTED_VALUE"""),"Shreveport, LA")</f>
        <v>Shreveport, LA</v>
      </c>
      <c r="L71" s="16" t="str">
        <f>IFERROR(__xludf.DUMMYFUNCTION("""COMPUTED_VALUE"""),"https://img.logo.dev/sealynet.com?token=pk_FIVsDKgZTvCedVXXtt2rEg&amp;size=200&amp;retina=true")</f>
        <v>https://img.logo.dev/sealynet.com?token=pk_FIVsDKgZTvCedVXXtt2rEg&amp;size=200&amp;retina=true</v>
      </c>
      <c r="M71" s="17">
        <f>IFERROR(__xludf.DUMMYFUNCTION("""COMPUTED_VALUE"""),0.0)</f>
        <v>0</v>
      </c>
      <c r="N71" s="13" t="str">
        <f>IFERROR(__xludf.DUMMYFUNCTION("""COMPUTED_VALUE"""),"No Data")</f>
        <v>No Data</v>
      </c>
      <c r="O71" s="27" t="str">
        <f>IFERROR(__xludf.DUMMYFUNCTION("""COMPUTED_VALUE"""),"No Data")</f>
        <v>No Data</v>
      </c>
      <c r="P71" s="28" t="str">
        <f>IFERROR(__xludf.DUMMYFUNCTION("""COMPUTED_VALUE"""),"No Data")</f>
        <v>No Data</v>
      </c>
      <c r="Q71" s="13" t="str">
        <f>IFERROR(__xludf.DUMMYFUNCTION("""COMPUTED_VALUE"""),"No Data")</f>
        <v>No Data</v>
      </c>
    </row>
    <row r="72">
      <c r="A72" s="17" t="str">
        <f>IFERROR(__xludf.DUMMYFUNCTION("""COMPUTED_VALUE"""),"Silverstein Properties")</f>
        <v>Silverstein Properties</v>
      </c>
      <c r="B72" s="17">
        <f>IFERROR(__xludf.DUMMYFUNCTION("""COMPUTED_VALUE"""),1957.0)</f>
        <v>1957</v>
      </c>
      <c r="C72" s="29">
        <f>IFERROR(__xludf.DUMMYFUNCTION("""COMPUTED_VALUE"""),1.0E10)</f>
        <v>10000000000</v>
      </c>
      <c r="D72" s="17" t="str">
        <f>IFERROR(__xludf.DUMMYFUNCTION("""COMPUTED_VALUE"""),"Silverstein Properties is one of the most recognizable names in American real estate development, founded in 1957 and synonymous with the rebuilding of the World Trade Center, with more than $10 billion in assets developed. It reaches the 1031/QOZ channel"&amp;" primarily through its Cantor Silverstein Opportunity Zone joint venture, contributing marquee ground-up development expertise and a deep New York office and mixed-use franchise. Family-controlled and development-led, Silverstein brings development pedigr"&amp;"ee rather than a stabilized-asset DST book to the exchange market.")</f>
        <v>Silverstein Properties is one of the most recognizable names in American real estate development, founded in 1957 and synonymous with the rebuilding of the World Trade Center, with more than $10 billion in assets developed. It reaches the 1031/QOZ channel primarily through its Cantor Silverstein Opportunity Zone joint venture, contributing marquee ground-up development expertise and a deep New York office and mixed-use franchise. Family-controlled and development-led, Silverstein brings development pedigree rather than a stabilized-asset DST book to the exchange market.</v>
      </c>
      <c r="E72" s="17" t="str">
        <f>IFERROR(__xludf.DUMMYFUNCTION("""COMPUTED_VALUE"""),"One of the most recognizable U.S. developers, synonymous with the rebuilding of the World Trade Center.")</f>
        <v>One of the most recognizable U.S. developers, synonymous with the rebuilding of the World Trade Center.</v>
      </c>
      <c r="F72" s="17" t="str">
        <f>IFERROR(__xludf.DUMMYFUNCTION("""COMPUTED_VALUE"""),"Brings deep New York office and mixed-use development expertise.")</f>
        <v>Brings deep New York office and mixed-use development expertise.</v>
      </c>
      <c r="G72" s="17" t="str">
        <f>IFERROR(__xludf.DUMMYFUNCTION("""COMPUTED_VALUE"""),"Reaches the 1031/QOZ channel primarily through its Cantor Silverstein OZ joint venture.")</f>
        <v>Reaches the 1031/QOZ channel primarily through its Cantor Silverstein OZ joint venture.</v>
      </c>
      <c r="H72" s="17" t="str">
        <f>IFERROR(__xludf.DUMMYFUNCTION("""COMPUTED_VALUE"""),"Contributes marquee ground-up development capability rather than stabilized-asset DSTs.")</f>
        <v>Contributes marquee ground-up development capability rather than stabilized-asset DSTs.</v>
      </c>
      <c r="I72" s="17" t="str">
        <f>IFERROR(__xludf.DUMMYFUNCTION("""COMPUTED_VALUE"""),"Family-controlled and development-led, with $10B+ developed.")</f>
        <v>Family-controlled and development-led, with $10B+ developed.</v>
      </c>
      <c r="J72" s="16" t="str">
        <f>IFERROR(__xludf.DUMMYFUNCTION("""COMPUTED_VALUE"""),"silversteinproperties.com")</f>
        <v>silversteinproperties.com</v>
      </c>
      <c r="K72" s="17" t="str">
        <f>IFERROR(__xludf.DUMMYFUNCTION("""COMPUTED_VALUE"""),"New York, NY")</f>
        <v>New York, NY</v>
      </c>
      <c r="L72" s="16" t="str">
        <f>IFERROR(__xludf.DUMMYFUNCTION("""COMPUTED_VALUE"""),"https://img.logo.dev/silversteinproperties.com?token=pk_FIVsDKgZTvCedVXXtt2rEg&amp;size=200&amp;retina=true")</f>
        <v>https://img.logo.dev/silversteinproperties.com?token=pk_FIVsDKgZTvCedVXXtt2rEg&amp;size=200&amp;retina=true</v>
      </c>
      <c r="M72" s="17">
        <f>IFERROR(__xludf.DUMMYFUNCTION("""COMPUTED_VALUE"""),0.0)</f>
        <v>0</v>
      </c>
      <c r="N72" s="13" t="str">
        <f>IFERROR(__xludf.DUMMYFUNCTION("""COMPUTED_VALUE"""),"No Data")</f>
        <v>No Data</v>
      </c>
      <c r="O72" s="27" t="str">
        <f>IFERROR(__xludf.DUMMYFUNCTION("""COMPUTED_VALUE"""),"No Data")</f>
        <v>No Data</v>
      </c>
      <c r="P72" s="28" t="str">
        <f>IFERROR(__xludf.DUMMYFUNCTION("""COMPUTED_VALUE"""),"No Data")</f>
        <v>No Data</v>
      </c>
      <c r="Q72" s="13" t="str">
        <f>IFERROR(__xludf.DUMMYFUNCTION("""COMPUTED_VALUE"""),"No Data")</f>
        <v>No Data</v>
      </c>
    </row>
    <row r="73">
      <c r="A73" s="17" t="str">
        <f>IFERROR(__xludf.DUMMYFUNCTION("""COMPUTED_VALUE"""),"SmartStop")</f>
        <v>SmartStop</v>
      </c>
      <c r="B73" s="17">
        <f>IFERROR(__xludf.DUMMYFUNCTION("""COMPUTED_VALUE"""),2013.0)</f>
        <v>2013</v>
      </c>
      <c r="C73" s="29">
        <f>IFERROR(__xludf.DUMMYFUNCTION("""COMPUTED_VALUE"""),7.0E9)</f>
        <v>7000000000</v>
      </c>
      <c r="D73" s="17" t="str">
        <f>IFERROR(__xludf.DUMMYFUNCTION("""COMPUTED_VALUE"""),"SmartStop is a self-storage REIT (NYSE: SMA) that completed an $810 million IPO in April 2025 and sponsors self-storage DSTs through its broader platform, with assets in the $7 billion-plus range post-listing. Its pure-play self-storage focus, internal ma"&amp;"nagement and combined U.S.-and-Canada footprint give it a clean, single-sector thesis, and the recent public listing adds a transparency and liquidity dimension uncommon among DST sponsors. For exchangers, it offers concentrated exposure to a resilient, l"&amp;"ow-operating-intensity asset class.")</f>
        <v>SmartStop is a self-storage REIT (NYSE: SMA) that completed an $810 million IPO in April 2025 and sponsors self-storage DSTs through its broader platform, with assets in the $7 billion-plus range post-listing. Its pure-play self-storage focus, internal management and combined U.S.-and-Canada footprint give it a clean, single-sector thesis, and the recent public listing adds a transparency and liquidity dimension uncommon among DST sponsors. For exchangers, it offers concentrated exposure to a resilient, low-operating-intensity asset class.</v>
      </c>
      <c r="E73" s="17" t="str">
        <f>IFERROR(__xludf.DUMMYFUNCTION("""COMPUTED_VALUE"""),"Self-storage pure-play, concentrated exposure to a resilient, low-operating-intensity asset class.")</f>
        <v>Self-storage pure-play, concentrated exposure to a resilient, low-operating-intensity asset class.</v>
      </c>
      <c r="F73" s="17" t="str">
        <f>IFERROR(__xludf.DUMMYFUNCTION("""COMPUTED_VALUE"""),"NYSE-listed (ticker SMA) after an $810 million IPO in April 2025, rare transparency/liquidity for a DST sponsor.")</f>
        <v>NYSE-listed (ticker SMA) after an $810 million IPO in April 2025, rare transparency/liquidity for a DST sponsor.</v>
      </c>
      <c r="G73" s="17" t="str">
        <f>IFERROR(__xludf.DUMMYFUNCTION("""COMPUTED_VALUE"""),"Sponsors self-storage DSTs through its broader platform.")</f>
        <v>Sponsors self-storage DSTs through its broader platform.</v>
      </c>
      <c r="H73" s="17" t="str">
        <f>IFERROR(__xludf.DUMMYFUNCTION("""COMPUTED_VALUE"""),"Internally managed, capturing operating economics.")</f>
        <v>Internally managed, capturing operating economics.</v>
      </c>
      <c r="I73" s="17" t="str">
        <f>IFERROR(__xludf.DUMMYFUNCTION("""COMPUTED_VALUE"""),"Operates a combined U.S. and Canada storage footprint.")</f>
        <v>Operates a combined U.S. and Canada storage footprint.</v>
      </c>
      <c r="J73" s="16" t="str">
        <f>IFERROR(__xludf.DUMMYFUNCTION("""COMPUTED_VALUE"""),"smartstop.com")</f>
        <v>smartstop.com</v>
      </c>
      <c r="K73" s="17" t="str">
        <f>IFERROR(__xludf.DUMMYFUNCTION("""COMPUTED_VALUE"""),"Ladera Ranch, CA")</f>
        <v>Ladera Ranch, CA</v>
      </c>
      <c r="L73" s="16" t="str">
        <f>IFERROR(__xludf.DUMMYFUNCTION("""COMPUTED_VALUE"""),"https://img.logo.dev/smartstop.com?token=pk_FIVsDKgZTvCedVXXtt2rEg&amp;size=200&amp;retina=true")</f>
        <v>https://img.logo.dev/smartstop.com?token=pk_FIVsDKgZTvCedVXXtt2rEg&amp;size=200&amp;retina=true</v>
      </c>
      <c r="M73" s="17">
        <f>IFERROR(__xludf.DUMMYFUNCTION("""COMPUTED_VALUE"""),0.0)</f>
        <v>0</v>
      </c>
      <c r="N73" s="13" t="str">
        <f>IFERROR(__xludf.DUMMYFUNCTION("""COMPUTED_VALUE"""),"No Data")</f>
        <v>No Data</v>
      </c>
      <c r="O73" s="27" t="str">
        <f>IFERROR(__xludf.DUMMYFUNCTION("""COMPUTED_VALUE"""),"No Data")</f>
        <v>No Data</v>
      </c>
      <c r="P73" s="28" t="str">
        <f>IFERROR(__xludf.DUMMYFUNCTION("""COMPUTED_VALUE"""),"No Data")</f>
        <v>No Data</v>
      </c>
      <c r="Q73" s="13" t="str">
        <f>IFERROR(__xludf.DUMMYFUNCTION("""COMPUTED_VALUE"""),"No Data")</f>
        <v>No Data</v>
      </c>
    </row>
    <row r="74">
      <c r="A74" s="17" t="str">
        <f>IFERROR(__xludf.DUMMYFUNCTION("""COMPUTED_VALUE"""),"Spartan")</f>
        <v>Spartan</v>
      </c>
      <c r="B74" s="17">
        <f>IFERROR(__xludf.DUMMYFUNCTION("""COMPUTED_VALUE"""),2014.0)</f>
        <v>2014</v>
      </c>
      <c r="C74" s="29">
        <f>IFERROR(__xludf.DUMMYFUNCTION("""COMPUTED_VALUE"""),5.0E8)</f>
        <v>500000000</v>
      </c>
      <c r="D74" s="17" t="str">
        <f>IFERROR(__xludf.DUMMYFUNCTION("""COMPUTED_VALUE"""),"Spartan Investment Group, founded in 2014 in Golden, CO by Scott Lewis and Ryan Gibson, is a vertically integrated self-storage sponsor and operator (FreeUp Storage brand) that also pursues RV parks and land. Its network of 5,000-plus investors has raised"&amp;" more than $450 million to acquire nearly 60 facilities (30,000-plus units) totaling roughly $500 million in assets under management, and it operates more than 75 facilities nationally. An Inc. 5000 honoree.")</f>
        <v>Spartan Investment Group, founded in 2014 in Golden, CO by Scott Lewis and Ryan Gibson, is a vertically integrated self-storage sponsor and operator (FreeUp Storage brand) that also pursues RV parks and land. Its network of 5,000-plus investors has raised more than $450 million to acquire nearly 60 facilities (30,000-plus units) totaling roughly $500 million in assets under management, and it operates more than 75 facilities nationally. An Inc. 5000 honoree.</v>
      </c>
      <c r="E74" s="17" t="str">
        <f>IFERROR(__xludf.DUMMYFUNCTION("""COMPUTED_VALUE"""),"Vertically integrated self-storage sponsor and operator (FreeUp Storage brand) founded in 2014.")</f>
        <v>Vertically integrated self-storage sponsor and operator (FreeUp Storage brand) founded in 2014.</v>
      </c>
      <c r="F74" s="17" t="str">
        <f>IFERROR(__xludf.DUMMYFUNCTION("""COMPUTED_VALUE"""),"Network of 5,000-plus investors has raised more than $450 million in equity.")</f>
        <v>Network of 5,000-plus investors has raised more than $450 million in equity.</v>
      </c>
      <c r="G74" s="17" t="str">
        <f>IFERROR(__xludf.DUMMYFUNCTION("""COMPUTED_VALUE"""),"Owns nearly 60 facilities (30,000-plus units) and operates more than 75 facilities nationally.")</f>
        <v>Owns nearly 60 facilities (30,000-plus units) and operates more than 75 facilities nationally.</v>
      </c>
      <c r="H74" s="17" t="str">
        <f>IFERROR(__xludf.DUMMYFUNCTION("""COMPUTED_VALUE"""),"Led by Scott Lewis and Ryan Gibson; an Inc. 5000 honoree.")</f>
        <v>Led by Scott Lewis and Ryan Gibson; an Inc. 5000 honoree.</v>
      </c>
      <c r="I74" s="17" t="str">
        <f>IFERROR(__xludf.DUMMYFUNCTION("""COMPUTED_VALUE"""),"Also pursues RV parks and land; reports roughly $500 million in assets under management.")</f>
        <v>Also pursues RV parks and land; reports roughly $500 million in assets under management.</v>
      </c>
      <c r="J74" s="16" t="str">
        <f>IFERROR(__xludf.DUMMYFUNCTION("""COMPUTED_VALUE"""),"spartan-investors.com")</f>
        <v>spartan-investors.com</v>
      </c>
      <c r="K74" s="17" t="str">
        <f>IFERROR(__xludf.DUMMYFUNCTION("""COMPUTED_VALUE"""),"Golden, CO")</f>
        <v>Golden, CO</v>
      </c>
      <c r="L74" s="16" t="str">
        <f>IFERROR(__xludf.DUMMYFUNCTION("""COMPUTED_VALUE"""),"https://img.logo.dev/spartan-investors.com?token=pk_FIVsDKgZTvCedVXXtt2rEg&amp;size=200&amp;retina=true")</f>
        <v>https://img.logo.dev/spartan-investors.com?token=pk_FIVsDKgZTvCedVXXtt2rEg&amp;size=200&amp;retina=true</v>
      </c>
      <c r="M74" s="17">
        <f>IFERROR(__xludf.DUMMYFUNCTION("""COMPUTED_VALUE"""),0.0)</f>
        <v>0</v>
      </c>
      <c r="N74" s="13" t="str">
        <f>IFERROR(__xludf.DUMMYFUNCTION("""COMPUTED_VALUE"""),"No Data")</f>
        <v>No Data</v>
      </c>
      <c r="O74" s="27" t="str">
        <f>IFERROR(__xludf.DUMMYFUNCTION("""COMPUTED_VALUE"""),"No Data")</f>
        <v>No Data</v>
      </c>
      <c r="P74" s="28" t="str">
        <f>IFERROR(__xludf.DUMMYFUNCTION("""COMPUTED_VALUE"""),"No Data")</f>
        <v>No Data</v>
      </c>
      <c r="Q74" s="13" t="str">
        <f>IFERROR(__xludf.DUMMYFUNCTION("""COMPUTED_VALUE"""),"No Data")</f>
        <v>No Data</v>
      </c>
    </row>
    <row r="75">
      <c r="A75" s="17" t="str">
        <f>IFERROR(__xludf.DUMMYFUNCTION("""COMPUTED_VALUE"""),"Starboard Realty Advisors")</f>
        <v>Starboard Realty Advisors</v>
      </c>
      <c r="B75" s="17">
        <f>IFERROR(__xludf.DUMMYFUNCTION("""COMPUTED_VALUE"""),2014.0)</f>
        <v>2014</v>
      </c>
      <c r="C75" s="29">
        <f>IFERROR(__xludf.DUMMYFUNCTION("""COMPUTED_VALUE"""),5.0E8)</f>
        <v>500000000</v>
      </c>
      <c r="D75" s="17" t="str">
        <f>IFERROR(__xludf.DUMMYFUNCTION("""COMPUTED_VALUE"""),"Starboard Realty Advisors is an Irvine fully integrated firm, founded in 2014 and led by a CEO with prior Passco pedigree, acquiring multifamily and multi-tenant/NNN retail for 1031 clients, with more than $500 million in acquisitions and over 1,900 units"&amp;". Its differentiation includes a DST Bridge Fund that supplies preferred equity, an ADU-driven multifamily value-add angle, and a disciplined 7-to-10-year stabilized hold model. The leadership lineage and integrated execution position it as a focused mid-"&amp;"market sponsor.")</f>
        <v>Starboard Realty Advisors is an Irvine fully integrated firm, founded in 2014 and led by a CEO with prior Passco pedigree, acquiring multifamily and multi-tenant/NNN retail for 1031 clients, with more than $500 million in acquisitions and over 1,900 units. Its differentiation includes a DST Bridge Fund that supplies preferred equity, an ADU-driven multifamily value-add angle, and a disciplined 7-to-10-year stabilized hold model. The leadership lineage and integrated execution position it as a focused mid-market sponsor.</v>
      </c>
      <c r="E75" s="17" t="str">
        <f>IFERROR(__xludf.DUMMYFUNCTION("""COMPUTED_VALUE"""),"Led by a CEO with prior Passco pedigree, bringing experienced 1031 sponsorship leadership.")</f>
        <v>Led by a CEO with prior Passco pedigree, bringing experienced 1031 sponsorship leadership.</v>
      </c>
      <c r="F75" s="17" t="str">
        <f>IFERROR(__xludf.DUMMYFUNCTION("""COMPUTED_VALUE"""),"Acquires both multifamily and multi-tenant/NNN retail for exchange clients.")</f>
        <v>Acquires both multifamily and multi-tenant/NNN retail for exchange clients.</v>
      </c>
      <c r="G75" s="17" t="str">
        <f>IFERROR(__xludf.DUMMYFUNCTION("""COMPUTED_VALUE"""),"Operates a DST Bridge Fund supplying preferred equity, a differentiated capital tool.")</f>
        <v>Operates a DST Bridge Fund supplying preferred equity, a differentiated capital tool.</v>
      </c>
      <c r="H75" s="17" t="str">
        <f>IFERROR(__xludf.DUMMYFUNCTION("""COMPUTED_VALUE"""),"Pursues an ADU-driven multifamily value-add angle.")</f>
        <v>Pursues an ADU-driven multifamily value-add angle.</v>
      </c>
      <c r="I75" s="17" t="str">
        <f>IFERROR(__xludf.DUMMYFUNCTION("""COMPUTED_VALUE"""),"Underwrites to a disciplined 7-10-year hold; $500M+ acquisitions across 1,900+ units.")</f>
        <v>Underwrites to a disciplined 7-10-year hold; $500M+ acquisitions across 1,900+ units.</v>
      </c>
      <c r="J75" s="16" t="str">
        <f>IFERROR(__xludf.DUMMYFUNCTION("""COMPUTED_VALUE"""),"starboard-realty.com")</f>
        <v>starboard-realty.com</v>
      </c>
      <c r="K75" s="17" t="str">
        <f>IFERROR(__xludf.DUMMYFUNCTION("""COMPUTED_VALUE"""),"Irvine, CA")</f>
        <v>Irvine, CA</v>
      </c>
      <c r="L75" s="16" t="str">
        <f>IFERROR(__xludf.DUMMYFUNCTION("""COMPUTED_VALUE"""),"https://img.logo.dev/starboard-realty.com?token=pk_FIVsDKgZTvCedVXXtt2rEg&amp;size=200&amp;retina=true")</f>
        <v>https://img.logo.dev/starboard-realty.com?token=pk_FIVsDKgZTvCedVXXtt2rEg&amp;size=200&amp;retina=true</v>
      </c>
      <c r="M75" s="17">
        <f>IFERROR(__xludf.DUMMYFUNCTION("""COMPUTED_VALUE"""),4.0)</f>
        <v>4</v>
      </c>
      <c r="N75" s="13">
        <f>IFERROR(__xludf.DUMMYFUNCTION("""COMPUTED_VALUE"""),0.063375)</f>
        <v>0.063375</v>
      </c>
      <c r="O75" s="27">
        <f>IFERROR(__xludf.DUMMYFUNCTION("""COMPUTED_VALUE"""),1.35)</f>
        <v>1.35</v>
      </c>
      <c r="P75" s="28">
        <f>IFERROR(__xludf.DUMMYFUNCTION("""COMPUTED_VALUE"""),6.13)</f>
        <v>6.13</v>
      </c>
      <c r="Q75" s="13">
        <f>IFERROR(__xludf.DUMMYFUNCTION("""COMPUTED_VALUE"""),1.0)</f>
        <v>1</v>
      </c>
    </row>
    <row r="76">
      <c r="A76" s="17" t="str">
        <f>IFERROR(__xludf.DUMMYFUNCTION("""COMPUTED_VALUE"""),"Starwood Capital")</f>
        <v>Starwood Capital</v>
      </c>
      <c r="B76" s="17">
        <f>IFERROR(__xludf.DUMMYFUNCTION("""COMPUTED_VALUE"""),1991.0)</f>
        <v>1991</v>
      </c>
      <c r="C76" s="29">
        <f>IFERROR(__xludf.DUMMYFUNCTION("""COMPUTED_VALUE"""),1.15E11)</f>
        <v>115000000000</v>
      </c>
      <c r="D76" s="17" t="str">
        <f>IFERROR(__xludf.DUMMYFUNCTION("""COMPUTED_VALUE"""),"Starwood Capital is Barry Sternlicht's global, real estate-centric private equity firm, founded in 1991 and managing roughly $115 billion, with the Starwood Real Estate Income Trust (SREIT) as its flagship non-traded REIT. Unlike the diversified mega-mana"&amp;"gers, Starwood's center of gravity is real estate itself—multifamily, real estate credit and opportunistic global strategies—giving its retail and exchange vehicles unusually deep property DNA. For investors, the draw is a founder-led, real estate-first p"&amp;"latform at institutional scale.")</f>
        <v>Starwood Capital is Barry Sternlicht's global, real estate-centric private equity firm, founded in 1991 and managing roughly $115 billion, with the Starwood Real Estate Income Trust (SREIT) as its flagship non-traded REIT. Unlike the diversified mega-managers, Starwood's center of gravity is real estate itself—multifamily, real estate credit and opportunistic global strategies—giving its retail and exchange vehicles unusually deep property DNA. For investors, the draw is a founder-led, real estate-first platform at institutional scale.</v>
      </c>
      <c r="E76" s="17" t="str">
        <f>IFERROR(__xludf.DUMMYFUNCTION("""COMPUTED_VALUE"""),"Founder-led by Barry Sternlicht, with a real estate-centric DNA uncommon among mega-managers.")</f>
        <v>Founder-led by Barry Sternlicht, with a real estate-centric DNA uncommon among mega-managers.</v>
      </c>
      <c r="F76" s="17" t="str">
        <f>IFERROR(__xludf.DUMMYFUNCTION("""COMPUTED_VALUE"""),"Operates the Starwood Real Estate Income Trust (SREIT), its flagship non-traded REIT.")</f>
        <v>Operates the Starwood Real Estate Income Trust (SREIT), its flagship non-traded REIT.</v>
      </c>
      <c r="G76" s="17" t="str">
        <f>IFERROR(__xludf.DUMMYFUNCTION("""COMPUTED_VALUE"""),"Concentrates in multifamily and real estate credit, a focused thesis at scale.")</f>
        <v>Concentrates in multifamily and real estate credit, a focused thesis at scale.</v>
      </c>
      <c r="H76" s="17" t="str">
        <f>IFERROR(__xludf.DUMMYFUNCTION("""COMPUTED_VALUE"""),"Pursues opportunistic strategies with global reach.")</f>
        <v>Pursues opportunistic strategies with global reach.</v>
      </c>
      <c r="I76" s="17" t="str">
        <f>IFERROR(__xludf.DUMMYFUNCTION("""COMPUTED_VALUE"""),"Manages ~$115 billion centered on real estate itself rather than as one sleeve.")</f>
        <v>Manages ~$115 billion centered on real estate itself rather than as one sleeve.</v>
      </c>
      <c r="J76" s="16" t="str">
        <f>IFERROR(__xludf.DUMMYFUNCTION("""COMPUTED_VALUE"""),"starwoodcapital.com")</f>
        <v>starwoodcapital.com</v>
      </c>
      <c r="K76" s="17" t="str">
        <f>IFERROR(__xludf.DUMMYFUNCTION("""COMPUTED_VALUE"""),"Miami Beach, FL")</f>
        <v>Miami Beach, FL</v>
      </c>
      <c r="L76" s="16" t="str">
        <f>IFERROR(__xludf.DUMMYFUNCTION("""COMPUTED_VALUE"""),"https://img.logo.dev/starwoodcapital.com?token=pk_FIVsDKgZTvCedVXXtt2rEg&amp;size=200&amp;retina=true")</f>
        <v>https://img.logo.dev/starwoodcapital.com?token=pk_FIVsDKgZTvCedVXXtt2rEg&amp;size=200&amp;retina=true</v>
      </c>
      <c r="M76" s="17">
        <f>IFERROR(__xludf.DUMMYFUNCTION("""COMPUTED_VALUE"""),0.0)</f>
        <v>0</v>
      </c>
      <c r="N76" s="13" t="str">
        <f>IFERROR(__xludf.DUMMYFUNCTION("""COMPUTED_VALUE"""),"No Data")</f>
        <v>No Data</v>
      </c>
      <c r="O76" s="27" t="str">
        <f>IFERROR(__xludf.DUMMYFUNCTION("""COMPUTED_VALUE"""),"No Data")</f>
        <v>No Data</v>
      </c>
      <c r="P76" s="28" t="str">
        <f>IFERROR(__xludf.DUMMYFUNCTION("""COMPUTED_VALUE"""),"No Data")</f>
        <v>No Data</v>
      </c>
      <c r="Q76" s="13" t="str">
        <f>IFERROR(__xludf.DUMMYFUNCTION("""COMPUTED_VALUE"""),"No Data")</f>
        <v>No Data</v>
      </c>
    </row>
    <row r="77">
      <c r="A77" s="17" t="str">
        <f>IFERROR(__xludf.DUMMYFUNCTION("""COMPUTED_VALUE"""),"Syndicated Equities")</f>
        <v>Syndicated Equities</v>
      </c>
      <c r="B77" s="17">
        <f>IFERROR(__xludf.DUMMYFUNCTION("""COMPUTED_VALUE"""),1986.0)</f>
        <v>1986</v>
      </c>
      <c r="C77" s="29">
        <f>IFERROR(__xludf.DUMMYFUNCTION("""COMPUTED_VALUE"""),2.0E9)</f>
        <v>2000000000</v>
      </c>
      <c r="D77" s="17" t="str">
        <f>IFERROR(__xludf.DUMMYFUNCTION("""COMPUTED_VALUE"""),"Syndicated Equities is a Chicago private real estate firm with a 40-year history, distinguished by strength in government/GSA-leased and credit-tenant net-lease assets and by its global 'Access Funds' fund-of-funds vehicles. Citing roughly $2 billion in a"&amp;"sset value, $600 million in equity and more than $4 billion acquired over its lifetime, the firm has returned $750 million-plus to investors and built multi-decade repeat relationships. The government-credit net-lease specialization is among the most defe"&amp;"nsive available, and the fund-of-funds capability adds an institutional dimension uncommon at its size.")</f>
        <v>Syndicated Equities is a Chicago private real estate firm with a 40-year history, distinguished by strength in government/GSA-leased and credit-tenant net-lease assets and by its global 'Access Funds' fund-of-funds vehicles. Citing roughly $2 billion in asset value, $600 million in equity and more than $4 billion acquired over its lifetime, the firm has returned $750 million-plus to investors and built multi-decade repeat relationships. The government-credit net-lease specialization is among the most defensive available, and the fund-of-funds capability adds an institutional dimension uncommon at its size.</v>
      </c>
      <c r="E77" s="17" t="str">
        <f>IFERROR(__xludf.DUMMYFUNCTION("""COMPUTED_VALUE"""),"Strong in government/GSA-leased and credit-tenant net lease, among the most defensive profiles.")</f>
        <v>Strong in government/GSA-leased and credit-tenant net lease, among the most defensive profiles.</v>
      </c>
      <c r="F77" s="17" t="str">
        <f>IFERROR(__xludf.DUMMYFUNCTION("""COMPUTED_VALUE"""),"Brings a 40-year operating history, deep seasoning for a private firm.")</f>
        <v>Brings a 40-year operating history, deep seasoning for a private firm.</v>
      </c>
      <c r="G77" s="17" t="str">
        <f>IFERROR(__xludf.DUMMYFUNCTION("""COMPUTED_VALUE"""),"Operates global 'Access Funds' fund-of-funds vehicles, an institutional capability uncommon at its size.")</f>
        <v>Operates global 'Access Funds' fund-of-funds vehicles, an institutional capability uncommon at its size.</v>
      </c>
      <c r="H77" s="17" t="str">
        <f>IFERROR(__xludf.DUMMYFUNCTION("""COMPUTED_VALUE"""),"Has returned $750M+ to investors over its history.")</f>
        <v>Has returned $750M+ to investors over its history.</v>
      </c>
      <c r="I77" s="17" t="str">
        <f>IFERROR(__xludf.DUMMYFUNCTION("""COMPUTED_VALUE"""),"Maintains multi-decade repeat relationships; manages ~$2 billion in asset value.")</f>
        <v>Maintains multi-decade repeat relationships; manages ~$2 billion in asset value.</v>
      </c>
      <c r="J77" s="16" t="str">
        <f>IFERROR(__xludf.DUMMYFUNCTION("""COMPUTED_VALUE"""),"syndicatedequities.com")</f>
        <v>syndicatedequities.com</v>
      </c>
      <c r="K77" s="17" t="str">
        <f>IFERROR(__xludf.DUMMYFUNCTION("""COMPUTED_VALUE"""),"Chicago, IL")</f>
        <v>Chicago, IL</v>
      </c>
      <c r="L77" s="16" t="str">
        <f>IFERROR(__xludf.DUMMYFUNCTION("""COMPUTED_VALUE"""),"https://img.logo.dev/syndicatedequities.com?token=pk_FIVsDKgZTvCedVXXtt2rEg&amp;size=200&amp;retina=true")</f>
        <v>https://img.logo.dev/syndicatedequities.com?token=pk_FIVsDKgZTvCedVXXtt2rEg&amp;size=200&amp;retina=true</v>
      </c>
      <c r="M77" s="17">
        <f>IFERROR(__xludf.DUMMYFUNCTION("""COMPUTED_VALUE"""),60.0)</f>
        <v>60</v>
      </c>
      <c r="N77" s="13">
        <f>IFERROR(__xludf.DUMMYFUNCTION("""COMPUTED_VALUE"""),0.004116666666666669)</f>
        <v>0.004116666667</v>
      </c>
      <c r="O77" s="27">
        <f>IFERROR(__xludf.DUMMYFUNCTION("""COMPUTED_VALUE"""),1.2303333333333335)</f>
        <v>1.230333333</v>
      </c>
      <c r="P77" s="28">
        <f>IFERROR(__xludf.DUMMYFUNCTION("""COMPUTED_VALUE"""),7.431666666666669)</f>
        <v>7.431666667</v>
      </c>
      <c r="Q77" s="13">
        <f>IFERROR(__xludf.DUMMYFUNCTION("""COMPUTED_VALUE"""),0.65)</f>
        <v>0.65</v>
      </c>
    </row>
    <row r="78">
      <c r="A78" s="17" t="str">
        <f>IFERROR(__xludf.DUMMYFUNCTION("""COMPUTED_VALUE"""),"Time Equities")</f>
        <v>Time Equities</v>
      </c>
      <c r="B78" s="17">
        <f>IFERROR(__xludf.DUMMYFUNCTION("""COMPUTED_VALUE"""),1966.0)</f>
        <v>1966</v>
      </c>
      <c r="C78" s="29">
        <f>IFERROR(__xludf.DUMMYFUNCTION("""COMPUTED_VALUE"""),5.4E9)</f>
        <v>5400000000</v>
      </c>
      <c r="D78" s="17" t="str">
        <f>IFERROR(__xludf.DUMMYFUNCTION("""COMPUTED_VALUE"""),"Time Equities is a New York diversified firm, founded in 1966 by Francis Greenburger, that pioneered cooperative and condominium conversions—more than 10,000 units over its history—and now develops large mixed-use towers such as 50 West Street and Chicago"&amp;"'s 1000M, alongside a portfolio exceeding $5.4 billion and 36 million square feet. Diversified across 33 states and international markets and holding more than 5,000 multifamily units, the firm pairs a long-hold value orientation with genuine development "&amp;"capability. Its breadth and longevity make it a seasoned, diversified operator rather than a single-sector DST house.")</f>
        <v>Time Equities is a New York diversified firm, founded in 1966 by Francis Greenburger, that pioneered cooperative and condominium conversions—more than 10,000 units over its history—and now develops large mixed-use towers such as 50 West Street and Chicago's 1000M, alongside a portfolio exceeding $5.4 billion and 36 million square feet. Diversified across 33 states and international markets and holding more than 5,000 multifamily units, the firm pairs a long-hold value orientation with genuine development capability. Its breadth and longevity make it a seasoned, diversified operator rather than a single-sector DST house.</v>
      </c>
      <c r="E78" s="17" t="str">
        <f>IFERROR(__xludf.DUMMYFUNCTION("""COMPUTED_VALUE"""),"Pioneered cooperative and condominium conversions (10,000+ units historically).")</f>
        <v>Pioneered cooperative and condominium conversions (10,000+ units historically).</v>
      </c>
      <c r="F78" s="17" t="str">
        <f>IFERROR(__xludf.DUMMYFUNCTION("""COMPUTED_VALUE"""),"Develops large mixed-use towers such as 50 West Street and Chicago's 1000M.")</f>
        <v>Develops large mixed-use towers such as 50 West Street and Chicago's 1000M.</v>
      </c>
      <c r="G78" s="17" t="str">
        <f>IFERROR(__xludf.DUMMYFUNCTION("""COMPUTED_VALUE"""),"Diversified across 33 states and international markets.")</f>
        <v>Diversified across 33 states and international markets.</v>
      </c>
      <c r="H78" s="17" t="str">
        <f>IFERROR(__xludf.DUMMYFUNCTION("""COMPUTED_VALUE"""),"Holds 5,000+ multifamily units within a $5.4B+, 36M-sq-ft portfolio.")</f>
        <v>Holds 5,000+ multifamily units within a $5.4B+, 36M-sq-ft portfolio.</v>
      </c>
      <c r="I78" s="17" t="str">
        <f>IFERROR(__xludf.DUMMYFUNCTION("""COMPUTED_VALUE"""),"Pursues a patient long-hold value orientation under founder Francis Greenburger.")</f>
        <v>Pursues a patient long-hold value orientation under founder Francis Greenburger.</v>
      </c>
      <c r="J78" s="16" t="str">
        <f>IFERROR(__xludf.DUMMYFUNCTION("""COMPUTED_VALUE"""),"timeequities.com")</f>
        <v>timeequities.com</v>
      </c>
      <c r="K78" s="17" t="str">
        <f>IFERROR(__xludf.DUMMYFUNCTION("""COMPUTED_VALUE"""),"New York, NY")</f>
        <v>New York, NY</v>
      </c>
      <c r="L78" s="16" t="str">
        <f>IFERROR(__xludf.DUMMYFUNCTION("""COMPUTED_VALUE"""),"https://img.logo.dev/timeequities.com?token=pk_FIVsDKgZTvCedVXXtt2rEg&amp;size=200&amp;retina=true")</f>
        <v>https://img.logo.dev/timeequities.com?token=pk_FIVsDKgZTvCedVXXtt2rEg&amp;size=200&amp;retina=true</v>
      </c>
      <c r="M78" s="17">
        <f>IFERROR(__xludf.DUMMYFUNCTION("""COMPUTED_VALUE"""),17.0)</f>
        <v>17</v>
      </c>
      <c r="N78" s="13">
        <f>IFERROR(__xludf.DUMMYFUNCTION("""COMPUTED_VALUE"""),0.2076625)</f>
        <v>0.2076625</v>
      </c>
      <c r="O78" s="27">
        <f>IFERROR(__xludf.DUMMYFUNCTION("""COMPUTED_VALUE"""),3.04)</f>
        <v>3.04</v>
      </c>
      <c r="P78" s="28">
        <f>IFERROR(__xludf.DUMMYFUNCTION("""COMPUTED_VALUE"""),7.134117647058823)</f>
        <v>7.134117647</v>
      </c>
      <c r="Q78" s="13">
        <f>IFERROR(__xludf.DUMMYFUNCTION("""COMPUTED_VALUE"""),0.9411764705882353)</f>
        <v>0.9411764706</v>
      </c>
    </row>
    <row r="79">
      <c r="A79" s="17" t="str">
        <f>IFERROR(__xludf.DUMMYFUNCTION("""COMPUTED_VALUE"""),"Trilogy Real Estate Group")</f>
        <v>Trilogy Real Estate Group</v>
      </c>
      <c r="B79" s="17">
        <f>IFERROR(__xludf.DUMMYFUNCTION("""COMPUTED_VALUE"""),2002.0)</f>
        <v>2002</v>
      </c>
      <c r="C79" s="29">
        <f>IFERROR(__xludf.DUMMYFUNCTION("""COMPUTED_VALUE"""),2.6E9)</f>
        <v>2600000000</v>
      </c>
      <c r="D79" s="17" t="str">
        <f>IFERROR(__xludf.DUMMYFUNCTION("""COMPUTED_VALUE"""),"Trilogy Real Estate Group is a Chicago vertically integrated multifamily owner, developer and manager, founded in 2002, managing $2.6 billion as of early 2025 with more than $5.5 billion in lifetime volume and 14,000-plus units across the Midwest, East an"&amp;"d Southwest. Its 2025 strategic partnership with Greystar—the world's largest apartment operator—materially enhances its operating and sourcing capabilities, and it sponsors both DST and QOZ offerings. The combination of vertical integration and the Greys"&amp;"tar alliance positions Trilogy as a strengthening multifamily-focused sponsor.")</f>
        <v>Trilogy Real Estate Group is a Chicago vertically integrated multifamily owner, developer and manager, founded in 2002, managing $2.6 billion as of early 2025 with more than $5.5 billion in lifetime volume and 14,000-plus units across the Midwest, East and Southwest. Its 2025 strategic partnership with Greystar—the world's largest apartment operator—materially enhances its operating and sourcing capabilities, and it sponsors both DST and QOZ offerings. The combination of vertical integration and the Greystar alliance positions Trilogy as a strengthening multifamily-focused sponsor.</v>
      </c>
      <c r="E79" s="17" t="str">
        <f>IFERROR(__xludf.DUMMYFUNCTION("""COMPUTED_VALUE"""),"Vertically integrated multifamily owner, developer and manager controlling assets in-house.")</f>
        <v>Vertically integrated multifamily owner, developer and manager controlling assets in-house.</v>
      </c>
      <c r="F79" s="17" t="str">
        <f>IFERROR(__xludf.DUMMYFUNCTION("""COMPUTED_VALUE"""),"Entered a 2025 strategic partnership with Greystar, the world's largest apartment operator.")</f>
        <v>Entered a 2025 strategic partnership with Greystar, the world's largest apartment operator.</v>
      </c>
      <c r="G79" s="17" t="str">
        <f>IFERROR(__xludf.DUMMYFUNCTION("""COMPUTED_VALUE"""),"Sponsors both DST and QOZ offerings (16+), a dual tax-advantaged menu.")</f>
        <v>Sponsors both DST and QOZ offerings (16+), a dual tax-advantaged menu.</v>
      </c>
      <c r="H79" s="17" t="str">
        <f>IFERROR(__xludf.DUMMYFUNCTION("""COMPUTED_VALUE"""),"Operates 14,000+ units across the Midwest, East and Southwest.")</f>
        <v>Operates 14,000+ units across the Midwest, East and Southwest.</v>
      </c>
      <c r="I79" s="17" t="str">
        <f>IFERROR(__xludf.DUMMYFUNCTION("""COMPUTED_VALUE"""),"Manages $2.6 billion with $5.5B+ lifetime volume.")</f>
        <v>Manages $2.6 billion with $5.5B+ lifetime volume.</v>
      </c>
      <c r="J79" s="16" t="str">
        <f>IFERROR(__xludf.DUMMYFUNCTION("""COMPUTED_VALUE"""),"trilogyreg.com")</f>
        <v>trilogyreg.com</v>
      </c>
      <c r="K79" s="17" t="str">
        <f>IFERROR(__xludf.DUMMYFUNCTION("""COMPUTED_VALUE"""),"Chicago, IL")</f>
        <v>Chicago, IL</v>
      </c>
      <c r="L79" s="16" t="str">
        <f>IFERROR(__xludf.DUMMYFUNCTION("""COMPUTED_VALUE"""),"https://img.logo.dev/trilogyreg.com?token=pk_FIVsDKgZTvCedVXXtt2rEg&amp;size=200&amp;retina=true")</f>
        <v>https://img.logo.dev/trilogyreg.com?token=pk_FIVsDKgZTvCedVXXtt2rEg&amp;size=200&amp;retina=true</v>
      </c>
      <c r="M79" s="17">
        <f>IFERROR(__xludf.DUMMYFUNCTION("""COMPUTED_VALUE"""),0.0)</f>
        <v>0</v>
      </c>
      <c r="N79" s="13" t="str">
        <f>IFERROR(__xludf.DUMMYFUNCTION("""COMPUTED_VALUE"""),"No Data")</f>
        <v>No Data</v>
      </c>
      <c r="O79" s="27" t="str">
        <f>IFERROR(__xludf.DUMMYFUNCTION("""COMPUTED_VALUE"""),"No Data")</f>
        <v>No Data</v>
      </c>
      <c r="P79" s="28" t="str">
        <f>IFERROR(__xludf.DUMMYFUNCTION("""COMPUTED_VALUE"""),"No Data")</f>
        <v>No Data</v>
      </c>
      <c r="Q79" s="13" t="str">
        <f>IFERROR(__xludf.DUMMYFUNCTION("""COMPUTED_VALUE"""),"No Data")</f>
        <v>No Data</v>
      </c>
    </row>
    <row r="80">
      <c r="A80" s="17" t="str">
        <f>IFERROR(__xludf.DUMMYFUNCTION("""COMPUTED_VALUE"""),"Urban Catalyst")</f>
        <v>Urban Catalyst</v>
      </c>
      <c r="B80" s="17">
        <f>IFERROR(__xludf.DUMMYFUNCTION("""COMPUTED_VALUE"""),2017.0)</f>
        <v>2017</v>
      </c>
      <c r="C80" s="29">
        <f>IFERROR(__xludf.DUMMYFUNCTION("""COMPUTED_VALUE"""),2.5E8)</f>
        <v>250000000</v>
      </c>
      <c r="D80" s="17" t="str">
        <f>IFERROR(__xludf.DUMMYFUNCTION("""COMPUTED_VALUE"""),"Urban Catalyst is a San Jose Opportunity Zone fund manager and developer, founded in 2017, concentrating on ground-up development in downtown San Jose—a deliberately tight geographic thesis tied to Silicon Valley growth. With Fund I closed at $131 million"&amp;" and Fund II advancing a diversified downtown development portfolio, the firm has earned external recognition, including a top-4% Novogradac OZ ranking, Forbes OZ honors and a 2024 Silicon Valley Developer of the Year award. For QOZ investors, it offers f"&amp;"ocused, well-regarded development exposure rather than stabilized cash flow.")</f>
        <v>Urban Catalyst is a San Jose Opportunity Zone fund manager and developer, founded in 2017, concentrating on ground-up development in downtown San Jose—a deliberately tight geographic thesis tied to Silicon Valley growth. With Fund I closed at $131 million and Fund II advancing a diversified downtown development portfolio, the firm has earned external recognition, including a top-4% Novogradac OZ ranking, Forbes OZ honors and a 2024 Silicon Valley Developer of the Year award. For QOZ investors, it offers focused, well-regarded development exposure rather than stabilized cash flow.</v>
      </c>
      <c r="E80" s="17" t="str">
        <f>IFERROR(__xludf.DUMMYFUNCTION("""COMPUTED_VALUE"""),"Concentrates on ground-up Opportunity Zone development in downtown San Jose, tied to Silicon Valley growth.")</f>
        <v>Concentrates on ground-up Opportunity Zone development in downtown San Jose, tied to Silicon Valley growth.</v>
      </c>
      <c r="F80" s="17" t="str">
        <f>IFERROR(__xludf.DUMMYFUNCTION("""COMPUTED_VALUE"""),"Closed Fund I at $131 million; Fund II advances a diversified downtown development portfolio.")</f>
        <v>Closed Fund I at $131 million; Fund II advances a diversified downtown development portfolio.</v>
      </c>
      <c r="G80" s="17" t="str">
        <f>IFERROR(__xludf.DUMMYFUNCTION("""COMPUTED_VALUE"""),"Earned a top-4% Novogradac OZ ranking.")</f>
        <v>Earned a top-4% Novogradac OZ ranking.</v>
      </c>
      <c r="H80" s="17" t="str">
        <f>IFERROR(__xludf.DUMMYFUNCTION("""COMPUTED_VALUE"""),"Recognized with Forbes OZ honors and a 2024 Silicon Valley Developer of the Year award.")</f>
        <v>Recognized with Forbes OZ honors and a 2024 Silicon Valley Developer of the Year award.</v>
      </c>
      <c r="I80" s="17" t="str">
        <f>IFERROR(__xludf.DUMMYFUNCTION("""COMPUTED_VALUE"""),"Manages $250M+; focused development exposure rather than stabilized cash flow.")</f>
        <v>Manages $250M+; focused development exposure rather than stabilized cash flow.</v>
      </c>
      <c r="J80" s="16" t="str">
        <f>IFERROR(__xludf.DUMMYFUNCTION("""COMPUTED_VALUE"""),"urbancatalyst.com")</f>
        <v>urbancatalyst.com</v>
      </c>
      <c r="K80" s="17" t="str">
        <f>IFERROR(__xludf.DUMMYFUNCTION("""COMPUTED_VALUE"""),"San Jose, CA")</f>
        <v>San Jose, CA</v>
      </c>
      <c r="L80" s="16" t="str">
        <f>IFERROR(__xludf.DUMMYFUNCTION("""COMPUTED_VALUE"""),"https://img.logo.dev/urbancatalyst.com?token=pk_FIVsDKgZTvCedVXXtt2rEg&amp;size=200&amp;retina=true")</f>
        <v>https://img.logo.dev/urbancatalyst.com?token=pk_FIVsDKgZTvCedVXXtt2rEg&amp;size=200&amp;retina=true</v>
      </c>
      <c r="M80" s="17">
        <f>IFERROR(__xludf.DUMMYFUNCTION("""COMPUTED_VALUE"""),0.0)</f>
        <v>0</v>
      </c>
      <c r="N80" s="13" t="str">
        <f>IFERROR(__xludf.DUMMYFUNCTION("""COMPUTED_VALUE"""),"No Data")</f>
        <v>No Data</v>
      </c>
      <c r="O80" s="27" t="str">
        <f>IFERROR(__xludf.DUMMYFUNCTION("""COMPUTED_VALUE"""),"No Data")</f>
        <v>No Data</v>
      </c>
      <c r="P80" s="28" t="str">
        <f>IFERROR(__xludf.DUMMYFUNCTION("""COMPUTED_VALUE"""),"No Data")</f>
        <v>No Data</v>
      </c>
      <c r="Q80" s="13" t="str">
        <f>IFERROR(__xludf.DUMMYFUNCTION("""COMPUTED_VALUE"""),"No Data")</f>
        <v>No Data</v>
      </c>
    </row>
    <row r="81">
      <c r="A81" s="17" t="str">
        <f>IFERROR(__xludf.DUMMYFUNCTION("""COMPUTED_VALUE"""),"Virtua Capital")</f>
        <v>Virtua Capital</v>
      </c>
      <c r="B81" s="17">
        <f>IFERROR(__xludf.DUMMYFUNCTION("""COMPUTED_VALUE"""),2014.0)</f>
        <v>2014</v>
      </c>
      <c r="C81" s="29">
        <f>IFERROR(__xludf.DUMMYFUNCTION("""COMPUTED_VALUE"""),5.0E8)</f>
        <v>500000000</v>
      </c>
      <c r="D81" s="17" t="str">
        <f>IFERROR(__xludf.DUMMYFUNCTION("""COMPUTED_VALUE"""),"Virtua Capital is a Scottsdale global private equity firm, founded in 2014, emphasizing tax-centric and Opportunity Zone strategies and entitlement-driven value-add, with roughly $500 million and 16 million square feet managed or in development. An early "&amp;"mover in Opportunity Zones, it pairs rezoning and entitlement expertise with tax-advantaged structuring and reaches exchangers through Virtua Capital Management's DST/1031 offerings. Its global investor base and tax-centric orientation define a developmen"&amp;"t-and-structuring-led franchise.")</f>
        <v>Virtua Capital is a Scottsdale global private equity firm, founded in 2014, emphasizing tax-centric and Opportunity Zone strategies and entitlement-driven value-add, with roughly $500 million and 16 million square feet managed or in development. An early mover in Opportunity Zones, it pairs rezoning and entitlement expertise with tax-advantaged structuring and reaches exchangers through Virtua Capital Management's DST/1031 offerings. Its global investor base and tax-centric orientation define a development-and-structuring-led franchise.</v>
      </c>
      <c r="E81" s="17" t="str">
        <f>IFERROR(__xludf.DUMMYFUNCTION("""COMPUTED_VALUE"""),"Early mover in Opportunity Zones, pairing tax-centric strategies with entitlement-driven value-add.")</f>
        <v>Early mover in Opportunity Zones, pairing tax-centric strategies with entitlement-driven value-add.</v>
      </c>
      <c r="F81" s="17" t="str">
        <f>IFERROR(__xludf.DUMMYFUNCTION("""COMPUTED_VALUE"""),"Specializes in rezoning/entitlement value creation.")</f>
        <v>Specializes in rezoning/entitlement value creation.</v>
      </c>
      <c r="G81" s="17" t="str">
        <f>IFERROR(__xludf.DUMMYFUNCTION("""COMPUTED_VALUE"""),"Reaches exchangers through Virtua Capital Management's DST/1031 offerings.")</f>
        <v>Reaches exchangers through Virtua Capital Management's DST/1031 offerings.</v>
      </c>
      <c r="H81" s="17" t="str">
        <f>IFERROR(__xludf.DUMMYFUNCTION("""COMPUTED_VALUE"""),"Maintains a global investor base.")</f>
        <v>Maintains a global investor base.</v>
      </c>
      <c r="I81" s="17" t="str">
        <f>IFERROR(__xludf.DUMMYFUNCTION("""COMPUTED_VALUE"""),"Manages ~$500 million across ~16 million square feet developed or in development.")</f>
        <v>Manages ~$500 million across ~16 million square feet developed or in development.</v>
      </c>
      <c r="J81" s="16" t="str">
        <f>IFERROR(__xludf.DUMMYFUNCTION("""COMPUTED_VALUE"""),"virtuapartners.com")</f>
        <v>virtuapartners.com</v>
      </c>
      <c r="K81" s="17" t="str">
        <f>IFERROR(__xludf.DUMMYFUNCTION("""COMPUTED_VALUE"""),"Scottsdale, AZ")</f>
        <v>Scottsdale, AZ</v>
      </c>
      <c r="L81" s="16" t="str">
        <f>IFERROR(__xludf.DUMMYFUNCTION("""COMPUTED_VALUE"""),"https://img.logo.dev/virtuapartners.com?token=pk_FIVsDKgZTvCedVXXtt2rEg&amp;size=200&amp;retina=true")</f>
        <v>https://img.logo.dev/virtuapartners.com?token=pk_FIVsDKgZTvCedVXXtt2rEg&amp;size=200&amp;retina=true</v>
      </c>
      <c r="M81" s="17">
        <f>IFERROR(__xludf.DUMMYFUNCTION("""COMPUTED_VALUE"""),0.0)</f>
        <v>0</v>
      </c>
      <c r="N81" s="13" t="str">
        <f>IFERROR(__xludf.DUMMYFUNCTION("""COMPUTED_VALUE"""),"No Data")</f>
        <v>No Data</v>
      </c>
      <c r="O81" s="27" t="str">
        <f>IFERROR(__xludf.DUMMYFUNCTION("""COMPUTED_VALUE"""),"No Data")</f>
        <v>No Data</v>
      </c>
      <c r="P81" s="28" t="str">
        <f>IFERROR(__xludf.DUMMYFUNCTION("""COMPUTED_VALUE"""),"No Data")</f>
        <v>No Data</v>
      </c>
      <c r="Q81" s="13" t="str">
        <f>IFERROR(__xludf.DUMMYFUNCTION("""COMPUTED_VALUE"""),"No Data")</f>
        <v>No Data</v>
      </c>
    </row>
    <row r="82">
      <c r="A82" s="17" t="str">
        <f>IFERROR(__xludf.DUMMYFUNCTION("""COMPUTED_VALUE"""),"Walton Global Holdings")</f>
        <v>Walton Global Holdings</v>
      </c>
      <c r="B82" s="17">
        <f>IFERROR(__xludf.DUMMYFUNCTION("""COMPUTED_VALUE"""),1979.0)</f>
        <v>1979</v>
      </c>
      <c r="C82" s="29">
        <f>IFERROR(__xludf.DUMMYFUNCTION("""COMPUTED_VALUE"""),3.35E9)</f>
        <v>3350000000</v>
      </c>
      <c r="D82" s="17" t="str">
        <f>IFERROR(__xludf.DUMMYFUNCTION("""COMPUTED_VALUE"""),"Walton Global Holdings is a land asset manager with a 45-plus-year history, managing $3.35 billion and specializing in pre-development land that it supplies to U.S. homebuilders—a genuinely distinctive 1031 asset class. Controlling more than 85,000 acres "&amp;"across 170-plus master-planned communities and serving some 88,000 global investors across 91 countries, Walton has institutionalized land banking through its Builder Land Finance structure, recently bolstered by a 2025 GoldenTree co-investment. The land-"&amp;"to-homebuilder model offers diversification from income real estate but carries entitlement and absorption risk distinct from cash-flowing assets.")</f>
        <v>Walton Global Holdings is a land asset manager with a 45-plus-year history, managing $3.35 billion and specializing in pre-development land that it supplies to U.S. homebuilders—a genuinely distinctive 1031 asset class. Controlling more than 85,000 acres across 170-plus master-planned communities and serving some 88,000 global investors across 91 countries, Walton has institutionalized land banking through its Builder Land Finance structure, recently bolstered by a 2025 GoldenTree co-investment. The land-to-homebuilder model offers diversification from income real estate but carries entitlement and absorption risk distinct from cash-flowing assets.</v>
      </c>
      <c r="E82" s="17" t="str">
        <f>IFERROR(__xludf.DUMMYFUNCTION("""COMPUTED_VALUE"""),"Specializes in pre-development land supplied to U.S. homebuilders, a distinctive 1031 asset class.")</f>
        <v>Specializes in pre-development land supplied to U.S. homebuilders, a distinctive 1031 asset class.</v>
      </c>
      <c r="F82" s="17" t="str">
        <f>IFERROR(__xludf.DUMMYFUNCTION("""COMPUTED_VALUE"""),"Operates a Builder Land Finance structure that institutionalizes land banking.")</f>
        <v>Operates a Builder Land Finance structure that institutionalizes land banking.</v>
      </c>
      <c r="G82" s="17" t="str">
        <f>IFERROR(__xludf.DUMMYFUNCTION("""COMPUTED_VALUE"""),"Controls 85,000+ acres across 170+ master-planned communities.")</f>
        <v>Controls 85,000+ acres across 170+ master-planned communities.</v>
      </c>
      <c r="H82" s="17" t="str">
        <f>IFERROR(__xludf.DUMMYFUNCTION("""COMPUTED_VALUE"""),"Serves ~88,000 global investors across 91 countries.")</f>
        <v>Serves ~88,000 global investors across 91 countries.</v>
      </c>
      <c r="I82" s="17" t="str">
        <f>IFERROR(__xludf.DUMMYFUNCTION("""COMPUTED_VALUE"""),"Manages $3.35 billion (2025 GoldenTree co-investment); carries entitlement/absorption risk distinct from income real estate.")</f>
        <v>Manages $3.35 billion (2025 GoldenTree co-investment); carries entitlement/absorption risk distinct from income real estate.</v>
      </c>
      <c r="J82" s="16" t="str">
        <f>IFERROR(__xludf.DUMMYFUNCTION("""COMPUTED_VALUE"""),"walton.com")</f>
        <v>walton.com</v>
      </c>
      <c r="K82" s="17" t="str">
        <f>IFERROR(__xludf.DUMMYFUNCTION("""COMPUTED_VALUE"""),"Scottsdale, AZ")</f>
        <v>Scottsdale, AZ</v>
      </c>
      <c r="L82" s="16" t="str">
        <f>IFERROR(__xludf.DUMMYFUNCTION("""COMPUTED_VALUE"""),"https://img.logo.dev/walton.com?token=pk_FIVsDKgZTvCedVXXtt2rEg&amp;size=200&amp;retina=true")</f>
        <v>https://img.logo.dev/walton.com?token=pk_FIVsDKgZTvCedVXXtt2rEg&amp;size=200&amp;retina=true</v>
      </c>
      <c r="M82" s="17">
        <f>IFERROR(__xludf.DUMMYFUNCTION("""COMPUTED_VALUE"""),68.0)</f>
        <v>68</v>
      </c>
      <c r="N82" s="13">
        <f>IFERROR(__xludf.DUMMYFUNCTION("""COMPUTED_VALUE"""),0.08204558823529413)</f>
        <v>0.08204558824</v>
      </c>
      <c r="O82" s="27">
        <f>IFERROR(__xludf.DUMMYFUNCTION("""COMPUTED_VALUE"""),1.345348837209302)</f>
        <v>1.345348837</v>
      </c>
      <c r="P82" s="28">
        <f>IFERROR(__xludf.DUMMYFUNCTION("""COMPUTED_VALUE"""),7.164999999999999)</f>
        <v>7.165</v>
      </c>
      <c r="Q82" s="13">
        <f>IFERROR(__xludf.DUMMYFUNCTION("""COMPUTED_VALUE"""),0.75)</f>
        <v>0.75</v>
      </c>
    </row>
    <row r="83">
      <c r="A83" s="17" t="str">
        <f>IFERROR(__xludf.DUMMYFUNCTION("""COMPUTED_VALUE"""),"WW Olympus Investment Company")</f>
        <v>WW Olympus Investment Company</v>
      </c>
      <c r="B83" s="17">
        <f>IFERROR(__xludf.DUMMYFUNCTION("""COMPUTED_VALUE"""),1992.0)</f>
        <v>1992</v>
      </c>
      <c r="C83" s="29">
        <f>IFERROR(__xludf.DUMMYFUNCTION("""COMPUTED_VALUE"""),9.2E9)</f>
        <v>9200000000</v>
      </c>
      <c r="D83" s="17" t="str">
        <f>IFERROR(__xludf.DUMMYFUNCTION("""COMPUTED_VALUE"""),"WW Olympus Investment Company is the DST and 1031 sponsorship arm of Fort Worth's Olympus Property, channeling that 1992-founded, family-owned platform's Class A multifamily expertise to exchange investors. It should be assessed as part of Olympus Propert"&amp;"y's roughly $9.2 billion, 35,000-plus-unit franchise rather than as a standalone firm, inheriting the parent's alignment features—co-investment in every property and long-term fixed-rate debt. The multifamily-pure focus and operating control of the parent"&amp;" define its profile.")</f>
        <v>WW Olympus Investment Company is the DST and 1031 sponsorship arm of Fort Worth's Olympus Property, channeling that 1992-founded, family-owned platform's Class A multifamily expertise to exchange investors. It should be assessed as part of Olympus Property's roughly $9.2 billion, 35,000-plus-unit franchise rather than as a standalone firm, inheriting the parent's alignment features—co-investment in every property and long-term fixed-rate debt. The multifamily-pure focus and operating control of the parent define its profile.</v>
      </c>
      <c r="E83" s="17" t="str">
        <f>IFERROR(__xludf.DUMMYFUNCTION("""COMPUTED_VALUE"""),"DST/1031-sponsorship arm of Fort Worth's Olympus Property, channeling its Class A multifamily expertise.")</f>
        <v>DST/1031-sponsorship arm of Fort Worth's Olympus Property, channeling its Class A multifamily expertise.</v>
      </c>
      <c r="F83" s="17" t="str">
        <f>IFERROR(__xludf.DUMMYFUNCTION("""COMPUTED_VALUE"""),"Should be assessed within Olympus Property's ~$9.2 billion, 35,000-plus-unit franchise.")</f>
        <v>Should be assessed within Olympus Property's ~$9.2 billion, 35,000-plus-unit franchise.</v>
      </c>
      <c r="G83" s="17" t="str">
        <f>IFERROR(__xludf.DUMMYFUNCTION("""COMPUTED_VALUE"""),"Inherits the parent's co-investment in every property.")</f>
        <v>Inherits the parent's co-investment in every property.</v>
      </c>
      <c r="H83" s="17" t="str">
        <f>IFERROR(__xludf.DUMMYFUNCTION("""COMPUTED_VALUE"""),"Employs long-term fixed-rate debt, insulating cash flows from rate volatility.")</f>
        <v>Employs long-term fixed-rate debt, insulating cash flows from rate volatility.</v>
      </c>
      <c r="I83" s="17" t="str">
        <f>IFERROR(__xludf.DUMMYFUNCTION("""COMPUTED_VALUE"""),"Multifamily-pure focus with the operating control of an established owner-operator.")</f>
        <v>Multifamily-pure focus with the operating control of an established owner-operator.</v>
      </c>
      <c r="J83" s="16" t="str">
        <f>IFERROR(__xludf.DUMMYFUNCTION("""COMPUTED_VALUE"""),"olympusproperty.com")</f>
        <v>olympusproperty.com</v>
      </c>
      <c r="K83" s="17" t="str">
        <f>IFERROR(__xludf.DUMMYFUNCTION("""COMPUTED_VALUE"""),"Fort Worth, TX")</f>
        <v>Fort Worth, TX</v>
      </c>
      <c r="L83" s="16" t="str">
        <f>IFERROR(__xludf.DUMMYFUNCTION("""COMPUTED_VALUE"""),"https://img.logo.dev/olympusproperty.com?token=pk_FIVsDKgZTvCedVXXtt2rEg&amp;size=200&amp;retina=true")</f>
        <v>https://img.logo.dev/olympusproperty.com?token=pk_FIVsDKgZTvCedVXXtt2rEg&amp;size=200&amp;retina=true</v>
      </c>
      <c r="M83" s="17">
        <f>IFERROR(__xludf.DUMMYFUNCTION("""COMPUTED_VALUE"""),0.0)</f>
        <v>0</v>
      </c>
      <c r="N83" s="13" t="str">
        <f>IFERROR(__xludf.DUMMYFUNCTION("""COMPUTED_VALUE"""),"No Data")</f>
        <v>No Data</v>
      </c>
      <c r="O83" s="27" t="str">
        <f>IFERROR(__xludf.DUMMYFUNCTION("""COMPUTED_VALUE"""),"No Data")</f>
        <v>No Data</v>
      </c>
      <c r="P83" s="28" t="str">
        <f>IFERROR(__xludf.DUMMYFUNCTION("""COMPUTED_VALUE"""),"No Data")</f>
        <v>No Data</v>
      </c>
      <c r="Q83" s="13" t="str">
        <f>IFERROR(__xludf.DUMMYFUNCTION("""COMPUTED_VALUE"""),"No Data")</f>
        <v>No Data</v>
      </c>
    </row>
    <row r="84">
      <c r="A84" s="17" t="str">
        <f>IFERROR(__xludf.DUMMYFUNCTION("""COMPUTED_VALUE"""),"NewStar Exchange")</f>
        <v>NewStar Exchange</v>
      </c>
      <c r="B84" s="17">
        <f>IFERROR(__xludf.DUMMYFUNCTION("""COMPUTED_VALUE"""),2021.0)</f>
        <v>2021</v>
      </c>
      <c r="C84" s="17" t="str">
        <f>IFERROR(__xludf.DUMMYFUNCTION("""COMPUTED_VALUE"""),"$350M")</f>
        <v>$350M</v>
      </c>
      <c r="D84" s="17" t="str">
        <f>IFERROR(__xludf.DUMMYFUNCTION("""COMPUTED_VALUE"""),"NewStar is a vertically integrated, full-service real estate firm based in Atlanta, Georgia, founded in 2021 by former executives of Preferred Apartment Communities (NYSE: APTS). Through its NewStar Exchange affiliate it sponsors 1031/DST offerings in inc"&amp;"ome-producing residential communities across fast-growing Southeastern markets. As of February 2026 it manages 15 residential investments totaling more than 1,100 units and roughly $350 million in total cost.")</f>
        <v>NewStar is a vertically integrated, full-service real estate firm based in Atlanta, Georgia, founded in 2021 by former executives of Preferred Apartment Communities (NYSE: APTS). Through its NewStar Exchange affiliate it sponsors 1031/DST offerings in income-producing residential communities across fast-growing Southeastern markets. As of February 2026 it manages 15 residential investments totaling more than 1,100 units and roughly $350 million in total cost.</v>
      </c>
      <c r="E84" s="17" t="str">
        <f>IFERROR(__xludf.DUMMYFUNCTION("""COMPUTED_VALUE"""),"Vertically integrated with in-house investment, asset, property and construction management and development")</f>
        <v>Vertically integrated with in-house investment, asset, property and construction management and development</v>
      </c>
      <c r="F84" s="17" t="str">
        <f>IFERROR(__xludf.DUMMYFUNCTION("""COMPUTED_VALUE"""),"Founded and led by former Preferred Apartment Communities (NYSE: APTS) executives")</f>
        <v>Founded and led by former Preferred Apartment Communities (NYSE: APTS) executives</v>
      </c>
      <c r="G84" s="17" t="str">
        <f>IFERROR(__xludf.DUMMYFUNCTION("""COMPUTED_VALUE"""),"Focused on fast-growing Southeastern markets (Atlanta, Charlotte, Tampa, Orlando, Nashville)")</f>
        <v>Focused on fast-growing Southeastern markets (Atlanta, Charlotte, Tampa, Orlando, Nashville)</v>
      </c>
      <c r="H84" s="17" t="str">
        <f>IFERROR(__xludf.DUMMYFUNCTION("""COMPUTED_VALUE"""),"Targets income-producing residential: multifamily, townhomes, and single-family build-to-rent")</f>
        <v>Targets income-producing residential: multifamily, townhomes, and single-family build-to-rent</v>
      </c>
      <c r="I84" s="17" t="str">
        <f>IFERROR(__xludf.DUMMYFUNCTION("""COMPUTED_VALUE"""),"15 residential investments / 1,100+ units / ~$350M total cost (Feb 2026)")</f>
        <v>15 residential investments / 1,100+ units / ~$350M total cost (Feb 2026)</v>
      </c>
      <c r="J84" s="16" t="str">
        <f>IFERROR(__xludf.DUMMYFUNCTION("""COMPUTED_VALUE"""),"newstar-am.com")</f>
        <v>newstar-am.com</v>
      </c>
      <c r="K84" s="17" t="str">
        <f>IFERROR(__xludf.DUMMYFUNCTION("""COMPUTED_VALUE"""),"Atlanta, GA")</f>
        <v>Atlanta, GA</v>
      </c>
      <c r="L84" s="16" t="str">
        <f>IFERROR(__xludf.DUMMYFUNCTION("""COMPUTED_VALUE"""),"https://img.logo.dev/newstar-am.com?token=pk_FIVsDKgZTvCedVXXtt2rEg&amp;size=200&amp;retina=true")</f>
        <v>https://img.logo.dev/newstar-am.com?token=pk_FIVsDKgZTvCedVXXtt2rEg&amp;size=200&amp;retina=true</v>
      </c>
      <c r="M84" s="17"/>
      <c r="N84" s="17"/>
      <c r="O84" s="17"/>
      <c r="P84" s="17"/>
      <c r="Q84" s="17"/>
    </row>
    <row r="85">
      <c r="A85" s="17" t="str">
        <f>IFERROR(__xludf.DUMMYFUNCTION("""COMPUTED_VALUE"""),"The Wyoming Reserve")</f>
        <v>The Wyoming Reserve</v>
      </c>
      <c r="B85" s="17"/>
      <c r="C85" s="17"/>
      <c r="D85" s="17" t="str">
        <f>IFERROR(__xludf.DUMMYFUNCTION("""COMPUTED_VALUE"""),"The Wyoming Reserve operates a precious-metals enterprise (gold and silver trading, vaulting, fulfillment, and metal-availability services) in a Wyoming qualified opportunity zone, offered to investors as a Qualified Opportunity Zone Fund (Wyoming corpora"&amp;"tion).")</f>
        <v>The Wyoming Reserve operates a precious-metals enterprise (gold and silver trading, vaulting, fulfillment, and metal-availability services) in a Wyoming qualified opportunity zone, offered to investors as a Qualified Opportunity Zone Fund (Wyoming corporation).</v>
      </c>
      <c r="E85" s="17"/>
      <c r="F85" s="17"/>
      <c r="G85" s="17"/>
      <c r="H85" s="17"/>
      <c r="I85" s="17"/>
      <c r="J85" s="16" t="str">
        <f>IFERROR(__xludf.DUMMYFUNCTION("""COMPUTED_VALUE"""),"thewyomingreserve.com")</f>
        <v>thewyomingreserve.com</v>
      </c>
      <c r="K85" s="17" t="str">
        <f>IFERROR(__xludf.DUMMYFUNCTION("""COMPUTED_VALUE"""),"Wyoming")</f>
        <v>Wyoming</v>
      </c>
      <c r="L85" s="16" t="str">
        <f>IFERROR(__xludf.DUMMYFUNCTION("""COMPUTED_VALUE"""),"https://img.logo.dev/thewyomingreserve.com?token=pk_FIVsDKgZTvCedVXXtt2rEg&amp;size=200&amp;retina=true")</f>
        <v>https://img.logo.dev/thewyomingreserve.com?token=pk_FIVsDKgZTvCedVXXtt2rEg&amp;size=200&amp;retina=true</v>
      </c>
      <c r="M85" s="17"/>
      <c r="N85" s="17"/>
      <c r="O85" s="17"/>
      <c r="P85" s="17"/>
      <c r="Q85" s="17"/>
    </row>
    <row r="86">
      <c r="A86" s="17" t="str">
        <f>IFERROR(__xludf.DUMMYFUNCTION("""COMPUTED_VALUE"""),"IDEAL Capital Group")</f>
        <v>IDEAL Capital Group</v>
      </c>
      <c r="B86" s="17">
        <f>IFERROR(__xludf.DUMMYFUNCTION("""COMPUTED_VALUE"""),2017.0)</f>
        <v>2017</v>
      </c>
      <c r="C86" s="17" t="str">
        <f>IFERROR(__xludf.DUMMYFUNCTION("""COMPUTED_VALUE"""),"$3.3B")</f>
        <v>$3.3B</v>
      </c>
      <c r="D86" s="17" t="str">
        <f>IFERROR(__xludf.DUMMYFUNCTION("""COMPUTED_VALUE"""),"IDEAL Capital Group is a Clovis, California-based private real estate investment firm focused exclusively on multifamily acquisitions and development. Built on a family real estate platform with a multi-decade operating history and established as IDEAL Ca"&amp;"pital Group in 2017, the firm and its affiliates have developed or acquired over $3 billion of multifamily housing spanning more than 100 apartment communities and 13,000-plus units across nine states. IDEAL is vertically integrated across acquisitions, f"&amp;"inance, construction oversight, and asset management, specializing in value-add and complex multifamily repositioning to pursue above-market, risk-adjusted returns for institutional and private-equity investors.")</f>
        <v>IDEAL Capital Group is a Clovis, California-based private real estate investment firm focused exclusively on multifamily acquisitions and development. Built on a family real estate platform with a multi-decade operating history and established as IDEAL Capital Group in 2017, the firm and its affiliates have developed or acquired over $3 billion of multifamily housing spanning more than 100 apartment communities and 13,000-plus units across nine states. IDEAL is vertically integrated across acquisitions, finance, construction oversight, and asset management, specializing in value-add and complex multifamily repositioning to pursue above-market, risk-adjusted returns for institutional and private-equity investors.</v>
      </c>
      <c r="E86" s="17" t="str">
        <f>IFERROR(__xludf.DUMMYFUNCTION("""COMPUTED_VALUE"""),"Focused exclusively on multifamily acquisitions and development.")</f>
        <v>Focused exclusively on multifamily acquisitions and development.</v>
      </c>
      <c r="F86" s="17" t="str">
        <f>IFERROR(__xludf.DUMMYFUNCTION("""COMPUTED_VALUE"""),"100-plus apartment communities and 13,000-plus units across nine states.")</f>
        <v>100-plus apartment communities and 13,000-plus units across nine states.</v>
      </c>
      <c r="G86" s="17" t="str">
        <f>IFERROR(__xludf.DUMMYFUNCTION("""COMPUTED_VALUE"""),"Over $3 billion of multifamily real estate developed or acquired; $1 billion-plus of equity placed.")</f>
        <v>Over $3 billion of multifamily real estate developed or acquired; $1 billion-plus of equity placed.</v>
      </c>
      <c r="H86" s="17" t="str">
        <f>IFERROR(__xludf.DUMMYFUNCTION("""COMPUTED_VALUE"""),"Vertically integrated with in-house acquisitions, finance, construction oversight, and asset management.")</f>
        <v>Vertically integrated with in-house acquisitions, finance, construction oversight, and asset management.</v>
      </c>
      <c r="I86" s="17" t="str">
        <f>IFERROR(__xludf.DUMMYFUNCTION("""COMPUTED_VALUE"""),"Specializes in value-add and complex multifamily repositioning; carries development and execution risk distinct from stabilized assets.")</f>
        <v>Specializes in value-add and complex multifamily repositioning; carries development and execution risk distinct from stabilized assets.</v>
      </c>
      <c r="J86" s="16" t="str">
        <f>IFERROR(__xludf.DUMMYFUNCTION("""COMPUTED_VALUE"""),"idealcapgroup.com")</f>
        <v>idealcapgroup.com</v>
      </c>
      <c r="K86" s="17" t="str">
        <f>IFERROR(__xludf.DUMMYFUNCTION("""COMPUTED_VALUE"""),"Clovis, CA")</f>
        <v>Clovis, CA</v>
      </c>
      <c r="L86" s="16" t="str">
        <f>IFERROR(__xludf.DUMMYFUNCTION("""COMPUTED_VALUE"""),"https://logo.clearbit.com/idealcapgroup.com")</f>
        <v>https://logo.clearbit.com/idealcapgroup.com</v>
      </c>
      <c r="M86" s="17"/>
      <c r="N86" s="17"/>
      <c r="O86" s="17"/>
      <c r="P86" s="17"/>
      <c r="Q86" s="17"/>
    </row>
    <row r="87">
      <c r="A87" s="17"/>
      <c r="B87" s="17"/>
      <c r="C87" s="17"/>
      <c r="D87" s="17"/>
      <c r="E87" s="17"/>
      <c r="F87" s="17"/>
      <c r="G87" s="17"/>
      <c r="H87" s="17"/>
      <c r="I87" s="17"/>
      <c r="J87" s="17"/>
      <c r="K87" s="17"/>
      <c r="L87" s="17"/>
      <c r="M87" s="17"/>
      <c r="N87" s="17"/>
      <c r="O87" s="17"/>
      <c r="P87" s="17"/>
      <c r="Q87" s="17"/>
    </row>
    <row r="88">
      <c r="A88" s="17"/>
      <c r="B88" s="17"/>
      <c r="C88" s="17"/>
      <c r="D88" s="17"/>
      <c r="E88" s="17"/>
      <c r="F88" s="17"/>
      <c r="G88" s="17"/>
      <c r="H88" s="17"/>
      <c r="I88" s="17"/>
      <c r="J88" s="17"/>
      <c r="K88" s="17"/>
      <c r="L88" s="17"/>
      <c r="M88" s="17"/>
      <c r="N88" s="17"/>
      <c r="O88" s="17"/>
      <c r="P88" s="17"/>
      <c r="Q88" s="17"/>
    </row>
    <row r="89">
      <c r="A89" s="17"/>
      <c r="B89" s="17"/>
      <c r="C89" s="17"/>
      <c r="D89" s="17"/>
      <c r="E89" s="17"/>
      <c r="F89" s="17"/>
      <c r="G89" s="17"/>
      <c r="H89" s="17"/>
      <c r="I89" s="17"/>
      <c r="J89" s="17"/>
      <c r="K89" s="17"/>
      <c r="L89" s="17"/>
      <c r="M89" s="17"/>
      <c r="N89" s="17"/>
      <c r="O89" s="17"/>
      <c r="P89" s="17"/>
      <c r="Q89" s="17"/>
    </row>
    <row r="90">
      <c r="A90" s="17"/>
      <c r="B90" s="17"/>
      <c r="C90" s="17"/>
      <c r="D90" s="17"/>
      <c r="E90" s="17"/>
      <c r="F90" s="17"/>
      <c r="G90" s="17"/>
      <c r="H90" s="17"/>
      <c r="I90" s="17"/>
      <c r="J90" s="17"/>
      <c r="K90" s="17"/>
      <c r="L90" s="17"/>
      <c r="M90" s="17"/>
      <c r="N90" s="17"/>
      <c r="O90" s="17"/>
      <c r="P90" s="17"/>
      <c r="Q90" s="17"/>
    </row>
    <row r="91">
      <c r="A91" s="17"/>
      <c r="B91" s="17"/>
      <c r="C91" s="17"/>
      <c r="D91" s="17"/>
      <c r="E91" s="17"/>
      <c r="F91" s="17"/>
      <c r="G91" s="17"/>
      <c r="H91" s="17"/>
      <c r="I91" s="17"/>
      <c r="J91" s="17"/>
      <c r="K91" s="17"/>
      <c r="L91" s="17"/>
      <c r="M91" s="17"/>
      <c r="N91" s="17"/>
      <c r="O91" s="17"/>
      <c r="P91" s="17"/>
      <c r="Q91" s="17"/>
    </row>
    <row r="92">
      <c r="A92" s="17"/>
      <c r="B92" s="17"/>
      <c r="C92" s="17"/>
      <c r="D92" s="17"/>
      <c r="E92" s="17"/>
      <c r="F92" s="17"/>
      <c r="G92" s="17"/>
      <c r="H92" s="17"/>
      <c r="I92" s="17"/>
      <c r="J92" s="17"/>
      <c r="K92" s="17"/>
      <c r="L92" s="17"/>
      <c r="M92" s="17"/>
      <c r="N92" s="17"/>
      <c r="O92" s="17"/>
      <c r="P92" s="17"/>
      <c r="Q92" s="17"/>
    </row>
    <row r="93">
      <c r="A93" s="17"/>
      <c r="B93" s="17"/>
      <c r="C93" s="17"/>
      <c r="D93" s="17"/>
      <c r="E93" s="17"/>
      <c r="F93" s="17"/>
      <c r="G93" s="17"/>
      <c r="H93" s="17"/>
      <c r="I93" s="17"/>
      <c r="J93" s="17"/>
      <c r="K93" s="17"/>
      <c r="L93" s="17"/>
      <c r="M93" s="17"/>
      <c r="N93" s="17"/>
      <c r="O93" s="17"/>
      <c r="P93" s="17"/>
      <c r="Q93" s="17"/>
    </row>
    <row r="94">
      <c r="A94" s="17"/>
      <c r="B94" s="17"/>
      <c r="C94" s="17"/>
      <c r="D94" s="17"/>
      <c r="E94" s="17"/>
      <c r="F94" s="17"/>
      <c r="G94" s="17"/>
      <c r="H94" s="17"/>
      <c r="I94" s="17"/>
      <c r="J94" s="17"/>
      <c r="K94" s="17"/>
      <c r="L94" s="17"/>
      <c r="M94" s="17"/>
      <c r="N94" s="17"/>
      <c r="O94" s="17"/>
      <c r="P94" s="17"/>
      <c r="Q94" s="17"/>
    </row>
    <row r="95">
      <c r="A95" s="17"/>
      <c r="B95" s="17"/>
      <c r="C95" s="17"/>
      <c r="D95" s="17"/>
      <c r="E95" s="17"/>
      <c r="F95" s="17"/>
      <c r="G95" s="17"/>
      <c r="H95" s="17"/>
      <c r="I95" s="17"/>
      <c r="J95" s="17"/>
      <c r="K95" s="17"/>
      <c r="L95" s="17"/>
      <c r="M95" s="17"/>
      <c r="N95" s="17"/>
      <c r="O95" s="17"/>
      <c r="P95" s="17"/>
      <c r="Q95" s="17"/>
    </row>
    <row r="96">
      <c r="A96" s="17"/>
      <c r="B96" s="17"/>
      <c r="C96" s="17"/>
      <c r="D96" s="17"/>
      <c r="E96" s="17"/>
      <c r="F96" s="17"/>
      <c r="G96" s="17"/>
      <c r="H96" s="17"/>
      <c r="I96" s="17"/>
      <c r="J96" s="17"/>
      <c r="K96" s="17"/>
      <c r="L96" s="17"/>
      <c r="M96" s="17"/>
      <c r="N96" s="17"/>
      <c r="O96" s="17"/>
      <c r="P96" s="17"/>
      <c r="Q96" s="17"/>
    </row>
    <row r="97">
      <c r="A97" s="17"/>
      <c r="B97" s="17"/>
      <c r="C97" s="17"/>
      <c r="D97" s="17"/>
      <c r="E97" s="17"/>
      <c r="F97" s="17"/>
      <c r="G97" s="17"/>
      <c r="H97" s="17"/>
      <c r="I97" s="17"/>
      <c r="J97" s="17"/>
      <c r="K97" s="17"/>
      <c r="L97" s="17"/>
      <c r="M97" s="17"/>
      <c r="N97" s="17"/>
      <c r="O97" s="17"/>
      <c r="P97" s="17"/>
      <c r="Q97" s="17"/>
    </row>
    <row r="98">
      <c r="A98" s="17"/>
      <c r="B98" s="17"/>
      <c r="C98" s="17"/>
      <c r="D98" s="17"/>
      <c r="E98" s="17"/>
      <c r="F98" s="17"/>
      <c r="G98" s="17"/>
      <c r="H98" s="17"/>
      <c r="I98" s="17"/>
      <c r="J98" s="17"/>
      <c r="K98" s="17"/>
      <c r="L98" s="17"/>
      <c r="M98" s="17"/>
      <c r="N98" s="17"/>
      <c r="O98" s="17"/>
      <c r="P98" s="17"/>
      <c r="Q98" s="17"/>
    </row>
    <row r="99">
      <c r="A99" s="17"/>
      <c r="B99" s="17"/>
      <c r="C99" s="17"/>
      <c r="D99" s="17"/>
      <c r="E99" s="17"/>
      <c r="F99" s="17"/>
      <c r="G99" s="17"/>
      <c r="H99" s="17"/>
      <c r="I99" s="17"/>
      <c r="J99" s="17"/>
      <c r="K99" s="17"/>
      <c r="L99" s="17"/>
      <c r="M99" s="17"/>
      <c r="N99" s="17"/>
      <c r="O99" s="17"/>
      <c r="P99" s="17"/>
      <c r="Q99" s="17"/>
    </row>
    <row r="100">
      <c r="A100" s="17"/>
      <c r="B100" s="17"/>
      <c r="C100" s="17"/>
      <c r="D100" s="17"/>
      <c r="E100" s="17"/>
      <c r="F100" s="17"/>
      <c r="G100" s="17"/>
      <c r="H100" s="17"/>
      <c r="I100" s="17"/>
      <c r="J100" s="17"/>
      <c r="K100" s="17"/>
      <c r="L100" s="17"/>
      <c r="M100" s="17"/>
      <c r="N100" s="17"/>
      <c r="O100" s="17"/>
      <c r="P100" s="17"/>
      <c r="Q100" s="17"/>
    </row>
    <row r="101">
      <c r="A101" s="17"/>
      <c r="B101" s="17"/>
      <c r="C101" s="17"/>
      <c r="D101" s="17"/>
      <c r="E101" s="17"/>
      <c r="F101" s="17"/>
      <c r="G101" s="17"/>
      <c r="H101" s="17"/>
      <c r="I101" s="17"/>
      <c r="J101" s="17"/>
      <c r="K101" s="17"/>
      <c r="L101" s="17"/>
      <c r="M101" s="17"/>
      <c r="N101" s="17"/>
      <c r="O101" s="17"/>
      <c r="P101" s="17"/>
      <c r="Q101" s="17"/>
    </row>
    <row r="102">
      <c r="A102" s="17"/>
      <c r="B102" s="17"/>
      <c r="C102" s="17"/>
      <c r="D102" s="17"/>
      <c r="E102" s="17"/>
      <c r="F102" s="17"/>
      <c r="G102" s="17"/>
      <c r="H102" s="17"/>
      <c r="I102" s="17"/>
      <c r="J102" s="17"/>
      <c r="K102" s="17"/>
      <c r="L102" s="17"/>
      <c r="M102" s="17"/>
      <c r="N102" s="17"/>
      <c r="O102" s="17"/>
      <c r="P102" s="17"/>
      <c r="Q102" s="17"/>
    </row>
    <row r="103">
      <c r="A103" s="17"/>
      <c r="B103" s="17"/>
      <c r="C103" s="17"/>
      <c r="D103" s="17"/>
      <c r="E103" s="17"/>
      <c r="F103" s="17"/>
      <c r="G103" s="17"/>
      <c r="H103" s="17"/>
      <c r="I103" s="17"/>
      <c r="J103" s="17"/>
      <c r="K103" s="17"/>
      <c r="L103" s="17"/>
      <c r="M103" s="17"/>
      <c r="N103" s="17"/>
      <c r="O103" s="17"/>
      <c r="P103" s="17"/>
      <c r="Q103" s="17"/>
    </row>
    <row r="104">
      <c r="A104" s="17"/>
      <c r="B104" s="17"/>
      <c r="C104" s="17"/>
      <c r="D104" s="17"/>
      <c r="E104" s="17"/>
      <c r="F104" s="17"/>
      <c r="G104" s="17"/>
      <c r="H104" s="17"/>
      <c r="I104" s="17"/>
      <c r="J104" s="17"/>
      <c r="K104" s="17"/>
      <c r="L104" s="17"/>
      <c r="M104" s="17"/>
      <c r="N104" s="17"/>
      <c r="O104" s="17"/>
      <c r="P104" s="17"/>
      <c r="Q104" s="17"/>
    </row>
    <row r="105">
      <c r="A105" s="17"/>
      <c r="B105" s="17"/>
      <c r="C105" s="17"/>
      <c r="D105" s="17"/>
      <c r="E105" s="17"/>
      <c r="F105" s="17"/>
      <c r="G105" s="17"/>
      <c r="H105" s="17"/>
      <c r="I105" s="17"/>
      <c r="J105" s="17"/>
      <c r="K105" s="17"/>
      <c r="L105" s="17"/>
      <c r="M105" s="17"/>
      <c r="N105" s="17"/>
      <c r="O105" s="17"/>
      <c r="P105" s="17"/>
      <c r="Q105" s="17"/>
    </row>
    <row r="106">
      <c r="A106" s="17"/>
      <c r="B106" s="17"/>
      <c r="C106" s="17"/>
      <c r="D106" s="17"/>
      <c r="E106" s="17"/>
      <c r="F106" s="17"/>
      <c r="G106" s="17"/>
      <c r="H106" s="17"/>
      <c r="I106" s="17"/>
      <c r="J106" s="17"/>
      <c r="K106" s="17"/>
      <c r="L106" s="17"/>
      <c r="M106" s="17"/>
      <c r="N106" s="17"/>
      <c r="O106" s="17"/>
      <c r="P106" s="17"/>
      <c r="Q106" s="17"/>
    </row>
    <row r="107">
      <c r="A107" s="17"/>
      <c r="B107" s="17"/>
      <c r="C107" s="17"/>
      <c r="D107" s="17"/>
      <c r="E107" s="17"/>
      <c r="F107" s="17"/>
      <c r="G107" s="17"/>
      <c r="H107" s="17"/>
      <c r="I107" s="17"/>
      <c r="J107" s="17"/>
      <c r="K107" s="17"/>
      <c r="L107" s="17"/>
      <c r="M107" s="17"/>
      <c r="N107" s="17"/>
      <c r="O107" s="17"/>
      <c r="P107" s="17"/>
      <c r="Q107" s="17"/>
    </row>
    <row r="108">
      <c r="A108" s="17"/>
      <c r="B108" s="17"/>
      <c r="C108" s="17"/>
      <c r="D108" s="17"/>
      <c r="E108" s="17"/>
      <c r="F108" s="17"/>
      <c r="G108" s="17"/>
      <c r="H108" s="17"/>
      <c r="I108" s="17"/>
      <c r="J108" s="17"/>
      <c r="K108" s="17"/>
      <c r="L108" s="17"/>
      <c r="M108" s="17"/>
      <c r="N108" s="17"/>
      <c r="O108" s="17"/>
      <c r="P108" s="17"/>
      <c r="Q108" s="17"/>
    </row>
    <row r="109">
      <c r="A109" s="17"/>
      <c r="B109" s="17"/>
      <c r="C109" s="17"/>
      <c r="D109" s="17"/>
      <c r="E109" s="17"/>
      <c r="F109" s="17"/>
      <c r="G109" s="17"/>
      <c r="H109" s="17"/>
      <c r="I109" s="17"/>
      <c r="J109" s="17"/>
      <c r="K109" s="17"/>
      <c r="L109" s="17"/>
      <c r="M109" s="17"/>
      <c r="N109" s="17"/>
      <c r="O109" s="17"/>
      <c r="P109" s="17"/>
      <c r="Q109" s="17"/>
    </row>
    <row r="110">
      <c r="A110" s="17"/>
      <c r="B110" s="17"/>
      <c r="C110" s="17"/>
      <c r="D110" s="17"/>
      <c r="E110" s="17"/>
      <c r="F110" s="17"/>
      <c r="G110" s="17"/>
      <c r="H110" s="17"/>
      <c r="I110" s="17"/>
      <c r="J110" s="17"/>
      <c r="K110" s="17"/>
      <c r="L110" s="17"/>
      <c r="M110" s="17"/>
      <c r="N110" s="17"/>
      <c r="O110" s="17"/>
      <c r="P110" s="17"/>
      <c r="Q110" s="17"/>
    </row>
    <row r="111">
      <c r="A111" s="17"/>
      <c r="B111" s="17"/>
      <c r="C111" s="17"/>
      <c r="D111" s="17"/>
      <c r="E111" s="17"/>
      <c r="F111" s="17"/>
      <c r="G111" s="17"/>
      <c r="H111" s="17"/>
      <c r="I111" s="17"/>
      <c r="J111" s="17"/>
      <c r="K111" s="17"/>
      <c r="L111" s="17"/>
      <c r="M111" s="17"/>
      <c r="N111" s="17"/>
      <c r="O111" s="17"/>
      <c r="P111" s="17"/>
      <c r="Q111" s="17"/>
    </row>
    <row r="112">
      <c r="A112" s="17"/>
      <c r="B112" s="17"/>
      <c r="C112" s="17"/>
      <c r="D112" s="17"/>
      <c r="E112" s="17"/>
      <c r="F112" s="17"/>
      <c r="G112" s="17"/>
      <c r="H112" s="17"/>
      <c r="I112" s="17"/>
      <c r="J112" s="17"/>
      <c r="K112" s="17"/>
      <c r="L112" s="17"/>
      <c r="M112" s="17"/>
      <c r="N112" s="17"/>
      <c r="O112" s="17"/>
      <c r="P112" s="17"/>
      <c r="Q112" s="17"/>
    </row>
    <row r="113">
      <c r="A113" s="17"/>
      <c r="B113" s="17"/>
      <c r="C113" s="17"/>
      <c r="D113" s="17"/>
      <c r="E113" s="17"/>
      <c r="F113" s="17"/>
      <c r="G113" s="17"/>
      <c r="H113" s="17"/>
      <c r="I113" s="17"/>
      <c r="J113" s="17"/>
      <c r="K113" s="17"/>
      <c r="L113" s="17"/>
      <c r="M113" s="17"/>
      <c r="N113" s="17"/>
      <c r="O113" s="17"/>
      <c r="P113" s="17"/>
      <c r="Q113" s="17"/>
    </row>
    <row r="114">
      <c r="A114" s="17"/>
      <c r="B114" s="17"/>
      <c r="C114" s="17"/>
      <c r="D114" s="17"/>
      <c r="E114" s="17"/>
      <c r="F114" s="17"/>
      <c r="G114" s="17"/>
      <c r="H114" s="17"/>
      <c r="I114" s="17"/>
      <c r="J114" s="17"/>
      <c r="K114" s="17"/>
      <c r="L114" s="17"/>
      <c r="M114" s="17"/>
      <c r="N114" s="17"/>
      <c r="O114" s="17"/>
      <c r="P114" s="17"/>
      <c r="Q114" s="17"/>
    </row>
    <row r="115">
      <c r="A115" s="17"/>
      <c r="B115" s="17"/>
      <c r="C115" s="17"/>
      <c r="D115" s="17"/>
      <c r="E115" s="17"/>
      <c r="F115" s="17"/>
      <c r="G115" s="17"/>
      <c r="H115" s="17"/>
      <c r="I115" s="17"/>
      <c r="J115" s="17"/>
      <c r="K115" s="17"/>
      <c r="L115" s="17"/>
      <c r="M115" s="17"/>
      <c r="N115" s="17"/>
      <c r="O115" s="17"/>
      <c r="P115" s="17"/>
      <c r="Q115" s="17"/>
    </row>
    <row r="116">
      <c r="A116" s="17"/>
      <c r="B116" s="17"/>
      <c r="C116" s="17"/>
      <c r="D116" s="17"/>
      <c r="E116" s="17"/>
      <c r="F116" s="17"/>
      <c r="G116" s="17"/>
      <c r="H116" s="17"/>
      <c r="I116" s="17"/>
      <c r="J116" s="17"/>
      <c r="K116" s="17"/>
      <c r="L116" s="17"/>
      <c r="M116" s="17"/>
      <c r="N116" s="17"/>
      <c r="O116" s="17"/>
      <c r="P116" s="17"/>
      <c r="Q116" s="17"/>
    </row>
    <row r="117">
      <c r="A117" s="17"/>
      <c r="B117" s="17"/>
      <c r="C117" s="17"/>
      <c r="D117" s="17"/>
      <c r="E117" s="17"/>
      <c r="F117" s="17"/>
      <c r="G117" s="17"/>
      <c r="H117" s="17"/>
      <c r="I117" s="17"/>
      <c r="J117" s="17"/>
      <c r="K117" s="17"/>
      <c r="L117" s="17"/>
      <c r="M117" s="17"/>
      <c r="N117" s="17"/>
      <c r="O117" s="17"/>
      <c r="P117" s="17"/>
      <c r="Q117" s="17"/>
    </row>
    <row r="118">
      <c r="A118" s="17"/>
      <c r="B118" s="17"/>
      <c r="C118" s="17"/>
      <c r="D118" s="17"/>
      <c r="E118" s="17"/>
      <c r="F118" s="17"/>
      <c r="G118" s="17"/>
      <c r="H118" s="17"/>
      <c r="I118" s="17"/>
      <c r="J118" s="17"/>
      <c r="K118" s="17"/>
      <c r="L118" s="17"/>
      <c r="M118" s="17"/>
      <c r="N118" s="17"/>
      <c r="O118" s="17"/>
      <c r="P118" s="17"/>
      <c r="Q118" s="17"/>
    </row>
    <row r="119">
      <c r="A119" s="17"/>
      <c r="B119" s="17"/>
      <c r="C119" s="17"/>
      <c r="D119" s="17"/>
      <c r="E119" s="17"/>
      <c r="F119" s="17"/>
      <c r="G119" s="17"/>
      <c r="H119" s="17"/>
      <c r="I119" s="17"/>
      <c r="J119" s="17"/>
      <c r="K119" s="17"/>
      <c r="L119" s="17"/>
      <c r="M119" s="17"/>
      <c r="N119" s="17"/>
      <c r="O119" s="17"/>
      <c r="P119" s="17"/>
      <c r="Q119" s="17"/>
    </row>
    <row r="120">
      <c r="A120" s="17"/>
      <c r="B120" s="17"/>
      <c r="C120" s="17"/>
      <c r="D120" s="17"/>
      <c r="E120" s="17"/>
      <c r="F120" s="17"/>
      <c r="G120" s="17"/>
      <c r="H120" s="17"/>
      <c r="I120" s="17"/>
      <c r="J120" s="17"/>
      <c r="K120" s="17"/>
      <c r="L120" s="17"/>
      <c r="M120" s="17"/>
      <c r="N120" s="17"/>
      <c r="O120" s="17"/>
      <c r="P120" s="17"/>
      <c r="Q120" s="17"/>
    </row>
    <row r="121">
      <c r="A121" s="17"/>
      <c r="B121" s="17"/>
      <c r="C121" s="17"/>
      <c r="D121" s="17"/>
      <c r="E121" s="17"/>
      <c r="F121" s="17"/>
      <c r="G121" s="17"/>
      <c r="H121" s="17"/>
      <c r="I121" s="17"/>
      <c r="J121" s="17"/>
      <c r="K121" s="17"/>
      <c r="L121" s="17"/>
      <c r="M121" s="17"/>
      <c r="N121" s="17"/>
      <c r="O121" s="17"/>
      <c r="P121" s="17"/>
      <c r="Q121" s="17"/>
    </row>
    <row r="122">
      <c r="A122" s="17"/>
      <c r="B122" s="17"/>
      <c r="C122" s="17"/>
      <c r="D122" s="17"/>
      <c r="E122" s="17"/>
      <c r="F122" s="17"/>
      <c r="G122" s="17"/>
      <c r="H122" s="17"/>
      <c r="I122" s="17"/>
      <c r="J122" s="17"/>
      <c r="K122" s="17"/>
      <c r="L122" s="17"/>
      <c r="M122" s="17"/>
      <c r="N122" s="17"/>
      <c r="O122" s="17"/>
      <c r="P122" s="17"/>
      <c r="Q122" s="17"/>
    </row>
    <row r="123">
      <c r="A123" s="17"/>
      <c r="B123" s="17"/>
      <c r="C123" s="17"/>
      <c r="D123" s="17"/>
      <c r="E123" s="17"/>
      <c r="F123" s="17"/>
      <c r="G123" s="17"/>
      <c r="H123" s="17"/>
      <c r="I123" s="17"/>
      <c r="J123" s="17"/>
      <c r="K123" s="17"/>
      <c r="L123" s="17"/>
      <c r="M123" s="17"/>
      <c r="N123" s="17"/>
      <c r="O123" s="17"/>
      <c r="P123" s="17"/>
      <c r="Q123" s="17"/>
    </row>
    <row r="124">
      <c r="A124" s="17"/>
      <c r="B124" s="17"/>
      <c r="C124" s="17"/>
      <c r="D124" s="17"/>
      <c r="E124" s="17"/>
      <c r="F124" s="17"/>
      <c r="G124" s="17"/>
      <c r="H124" s="17"/>
      <c r="I124" s="17"/>
      <c r="J124" s="17"/>
      <c r="K124" s="17"/>
      <c r="L124" s="17"/>
      <c r="M124" s="17"/>
      <c r="N124" s="17"/>
      <c r="O124" s="17"/>
      <c r="P124" s="17"/>
      <c r="Q124" s="17"/>
    </row>
    <row r="125">
      <c r="A125" s="17"/>
      <c r="B125" s="17"/>
      <c r="C125" s="17"/>
      <c r="D125" s="17"/>
      <c r="E125" s="17"/>
      <c r="F125" s="17"/>
      <c r="G125" s="17"/>
      <c r="H125" s="17"/>
      <c r="I125" s="17"/>
      <c r="J125" s="17"/>
      <c r="K125" s="17"/>
      <c r="L125" s="17"/>
      <c r="M125" s="17"/>
      <c r="N125" s="17"/>
      <c r="O125" s="17"/>
      <c r="P125" s="17"/>
      <c r="Q125" s="17"/>
    </row>
    <row r="126">
      <c r="A126" s="17"/>
      <c r="B126" s="17"/>
      <c r="C126" s="17"/>
      <c r="D126" s="17"/>
      <c r="E126" s="17"/>
      <c r="F126" s="17"/>
      <c r="G126" s="17"/>
      <c r="H126" s="17"/>
      <c r="I126" s="17"/>
      <c r="J126" s="17"/>
      <c r="K126" s="17"/>
      <c r="L126" s="17"/>
      <c r="M126" s="17"/>
      <c r="N126" s="17"/>
      <c r="O126" s="17"/>
      <c r="P126" s="17"/>
      <c r="Q126" s="17"/>
    </row>
    <row r="127">
      <c r="A127" s="17"/>
      <c r="B127" s="17"/>
      <c r="C127" s="17"/>
      <c r="D127" s="17"/>
      <c r="E127" s="17"/>
      <c r="F127" s="17"/>
      <c r="G127" s="17"/>
      <c r="H127" s="17"/>
      <c r="I127" s="17"/>
      <c r="J127" s="17"/>
      <c r="K127" s="17"/>
      <c r="L127" s="17"/>
      <c r="M127" s="17"/>
      <c r="N127" s="17"/>
      <c r="O127" s="17"/>
      <c r="P127" s="17"/>
      <c r="Q127" s="17"/>
    </row>
    <row r="128">
      <c r="A128" s="17"/>
      <c r="B128" s="17"/>
      <c r="C128" s="17"/>
      <c r="D128" s="17"/>
      <c r="E128" s="17"/>
      <c r="F128" s="17"/>
      <c r="G128" s="17"/>
      <c r="H128" s="17"/>
      <c r="I128" s="17"/>
      <c r="J128" s="17"/>
      <c r="K128" s="17"/>
      <c r="L128" s="17"/>
      <c r="M128" s="17"/>
      <c r="N128" s="17"/>
      <c r="O128" s="17"/>
      <c r="P128" s="17"/>
      <c r="Q128" s="17"/>
    </row>
    <row r="129">
      <c r="A129" s="17"/>
      <c r="B129" s="17"/>
      <c r="C129" s="17"/>
      <c r="D129" s="17"/>
      <c r="E129" s="17"/>
      <c r="F129" s="17"/>
      <c r="G129" s="17"/>
      <c r="H129" s="17"/>
      <c r="I129" s="17"/>
      <c r="J129" s="17"/>
      <c r="K129" s="17"/>
      <c r="L129" s="17"/>
      <c r="M129" s="17"/>
      <c r="N129" s="17"/>
      <c r="O129" s="17"/>
      <c r="P129" s="17"/>
      <c r="Q129" s="17"/>
    </row>
    <row r="130">
      <c r="A130" s="17"/>
      <c r="B130" s="17"/>
      <c r="C130" s="17"/>
      <c r="D130" s="17"/>
      <c r="E130" s="17"/>
      <c r="F130" s="17"/>
      <c r="G130" s="17"/>
      <c r="H130" s="17"/>
      <c r="I130" s="17"/>
      <c r="J130" s="17"/>
      <c r="K130" s="17"/>
      <c r="L130" s="17"/>
      <c r="M130" s="17"/>
      <c r="N130" s="17"/>
      <c r="O130" s="17"/>
      <c r="P130" s="17"/>
      <c r="Q130" s="17"/>
    </row>
    <row r="131">
      <c r="A131" s="17"/>
      <c r="B131" s="17"/>
      <c r="C131" s="17"/>
      <c r="D131" s="17"/>
      <c r="E131" s="17"/>
      <c r="F131" s="17"/>
      <c r="G131" s="17"/>
      <c r="H131" s="17"/>
      <c r="I131" s="17"/>
      <c r="J131" s="17"/>
      <c r="K131" s="17"/>
      <c r="L131" s="17"/>
      <c r="M131" s="17"/>
      <c r="N131" s="17"/>
      <c r="O131" s="17"/>
      <c r="P131" s="17"/>
      <c r="Q131" s="17"/>
    </row>
    <row r="132">
      <c r="A132" s="17"/>
      <c r="B132" s="17"/>
      <c r="C132" s="17"/>
      <c r="D132" s="17"/>
      <c r="E132" s="17"/>
      <c r="F132" s="17"/>
      <c r="G132" s="17"/>
      <c r="H132" s="17"/>
      <c r="I132" s="17"/>
      <c r="J132" s="17"/>
      <c r="K132" s="17"/>
      <c r="L132" s="17"/>
      <c r="M132" s="17"/>
      <c r="N132" s="17"/>
      <c r="O132" s="17"/>
      <c r="P132" s="17"/>
      <c r="Q132" s="17"/>
    </row>
    <row r="133">
      <c r="A133" s="17"/>
      <c r="B133" s="17"/>
      <c r="C133" s="17"/>
      <c r="D133" s="17"/>
      <c r="E133" s="17"/>
      <c r="F133" s="17"/>
      <c r="G133" s="17"/>
      <c r="H133" s="17"/>
      <c r="I133" s="17"/>
      <c r="J133" s="17"/>
      <c r="K133" s="17"/>
      <c r="L133" s="17"/>
      <c r="M133" s="17"/>
      <c r="N133" s="17"/>
      <c r="O133" s="17"/>
      <c r="P133" s="17"/>
      <c r="Q133" s="17"/>
    </row>
    <row r="134">
      <c r="A134" s="17"/>
      <c r="B134" s="17"/>
      <c r="C134" s="17"/>
      <c r="D134" s="17"/>
      <c r="E134" s="17"/>
      <c r="F134" s="17"/>
      <c r="G134" s="17"/>
      <c r="H134" s="17"/>
      <c r="I134" s="17"/>
      <c r="J134" s="17"/>
      <c r="K134" s="17"/>
      <c r="L134" s="17"/>
      <c r="M134" s="17"/>
      <c r="N134" s="17"/>
      <c r="O134" s="17"/>
      <c r="P134" s="17"/>
      <c r="Q134" s="17"/>
    </row>
    <row r="135">
      <c r="A135" s="17"/>
      <c r="B135" s="17"/>
      <c r="C135" s="17"/>
      <c r="D135" s="17"/>
      <c r="E135" s="17"/>
      <c r="F135" s="17"/>
      <c r="G135" s="17"/>
      <c r="H135" s="17"/>
      <c r="I135" s="17"/>
      <c r="J135" s="17"/>
      <c r="K135" s="17"/>
      <c r="L135" s="17"/>
      <c r="M135" s="17"/>
      <c r="N135" s="17"/>
      <c r="O135" s="17"/>
      <c r="P135" s="17"/>
      <c r="Q135" s="17"/>
    </row>
    <row r="136">
      <c r="A136" s="17"/>
      <c r="B136" s="17"/>
      <c r="C136" s="17"/>
      <c r="D136" s="17"/>
      <c r="E136" s="17"/>
      <c r="F136" s="17"/>
      <c r="G136" s="17"/>
      <c r="H136" s="17"/>
      <c r="I136" s="17"/>
      <c r="J136" s="17"/>
      <c r="K136" s="17"/>
      <c r="L136" s="17"/>
      <c r="M136" s="17"/>
      <c r="N136" s="17"/>
      <c r="O136" s="17"/>
      <c r="P136" s="17"/>
      <c r="Q136" s="17"/>
    </row>
    <row r="137">
      <c r="A137" s="17"/>
      <c r="B137" s="17"/>
      <c r="C137" s="17"/>
      <c r="D137" s="17"/>
      <c r="E137" s="17"/>
      <c r="F137" s="17"/>
      <c r="G137" s="17"/>
      <c r="H137" s="17"/>
      <c r="I137" s="17"/>
      <c r="J137" s="17"/>
      <c r="K137" s="17"/>
      <c r="L137" s="17"/>
      <c r="M137" s="17"/>
      <c r="N137" s="17"/>
      <c r="O137" s="17"/>
      <c r="P137" s="17"/>
      <c r="Q137" s="17"/>
    </row>
    <row r="138">
      <c r="A138" s="17"/>
      <c r="B138" s="17"/>
      <c r="C138" s="17"/>
      <c r="D138" s="17"/>
      <c r="E138" s="17"/>
      <c r="F138" s="17"/>
      <c r="G138" s="17"/>
      <c r="H138" s="17"/>
      <c r="I138" s="17"/>
      <c r="J138" s="17"/>
      <c r="K138" s="17"/>
      <c r="L138" s="17"/>
      <c r="M138" s="17"/>
      <c r="N138" s="17"/>
      <c r="O138" s="17"/>
      <c r="P138" s="17"/>
      <c r="Q138" s="17"/>
    </row>
    <row r="139">
      <c r="A139" s="17"/>
      <c r="B139" s="17"/>
      <c r="C139" s="17"/>
      <c r="D139" s="17"/>
      <c r="E139" s="17"/>
      <c r="F139" s="17"/>
      <c r="G139" s="17"/>
      <c r="H139" s="17"/>
      <c r="I139" s="17"/>
      <c r="J139" s="17"/>
      <c r="K139" s="17"/>
      <c r="L139" s="17"/>
      <c r="M139" s="17"/>
      <c r="N139" s="17"/>
      <c r="O139" s="17"/>
      <c r="P139" s="17"/>
      <c r="Q139" s="17"/>
    </row>
    <row r="140">
      <c r="A140" s="17"/>
      <c r="B140" s="17"/>
      <c r="C140" s="17"/>
      <c r="D140" s="17"/>
      <c r="E140" s="17"/>
      <c r="F140" s="17"/>
      <c r="G140" s="17"/>
      <c r="H140" s="17"/>
      <c r="I140" s="17"/>
      <c r="J140" s="17"/>
      <c r="K140" s="17"/>
      <c r="L140" s="17"/>
      <c r="M140" s="17"/>
      <c r="N140" s="17"/>
      <c r="O140" s="17"/>
      <c r="P140" s="17"/>
      <c r="Q140" s="17"/>
    </row>
    <row r="141">
      <c r="A141" s="17"/>
      <c r="B141" s="17"/>
      <c r="C141" s="17"/>
      <c r="D141" s="17"/>
      <c r="E141" s="17"/>
      <c r="F141" s="17"/>
      <c r="G141" s="17"/>
      <c r="H141" s="17"/>
      <c r="I141" s="17"/>
      <c r="J141" s="17"/>
      <c r="K141" s="17"/>
      <c r="L141" s="17"/>
      <c r="M141" s="17"/>
      <c r="N141" s="17"/>
      <c r="O141" s="17"/>
      <c r="P141" s="17"/>
      <c r="Q141" s="17"/>
    </row>
    <row r="142">
      <c r="A142" s="17"/>
      <c r="B142" s="17"/>
      <c r="C142" s="17"/>
      <c r="D142" s="17"/>
      <c r="E142" s="17"/>
      <c r="F142" s="17"/>
      <c r="G142" s="17"/>
      <c r="H142" s="17"/>
      <c r="I142" s="17"/>
      <c r="J142" s="17"/>
      <c r="K142" s="17"/>
      <c r="L142" s="17"/>
      <c r="M142" s="17"/>
      <c r="N142" s="17"/>
      <c r="O142" s="17"/>
      <c r="P142" s="17"/>
      <c r="Q142" s="17"/>
    </row>
    <row r="143">
      <c r="A143" s="17"/>
      <c r="B143" s="17"/>
      <c r="C143" s="17"/>
      <c r="D143" s="17"/>
      <c r="E143" s="17"/>
      <c r="F143" s="17"/>
      <c r="G143" s="17"/>
      <c r="H143" s="17"/>
      <c r="I143" s="17"/>
      <c r="J143" s="17"/>
      <c r="K143" s="17"/>
      <c r="L143" s="17"/>
      <c r="M143" s="17"/>
      <c r="N143" s="17"/>
      <c r="O143" s="17"/>
      <c r="P143" s="17"/>
      <c r="Q143" s="17"/>
    </row>
    <row r="144">
      <c r="A144" s="17"/>
      <c r="B144" s="17"/>
      <c r="C144" s="17"/>
      <c r="D144" s="17"/>
      <c r="E144" s="17"/>
      <c r="F144" s="17"/>
      <c r="G144" s="17"/>
      <c r="H144" s="17"/>
      <c r="I144" s="17"/>
      <c r="J144" s="17"/>
      <c r="K144" s="17"/>
      <c r="L144" s="17"/>
      <c r="M144" s="17"/>
      <c r="N144" s="17"/>
      <c r="O144" s="17"/>
      <c r="P144" s="17"/>
      <c r="Q144" s="17"/>
    </row>
    <row r="145">
      <c r="A145" s="17"/>
      <c r="B145" s="17"/>
      <c r="C145" s="17"/>
      <c r="D145" s="17"/>
      <c r="E145" s="17"/>
      <c r="F145" s="17"/>
      <c r="G145" s="17"/>
      <c r="H145" s="17"/>
      <c r="I145" s="17"/>
      <c r="J145" s="17"/>
      <c r="K145" s="17"/>
      <c r="L145" s="17"/>
      <c r="M145" s="17"/>
      <c r="N145" s="17"/>
      <c r="O145" s="17"/>
      <c r="P145" s="17"/>
      <c r="Q145" s="17"/>
    </row>
    <row r="146">
      <c r="A146" s="17"/>
      <c r="B146" s="17"/>
      <c r="C146" s="17"/>
      <c r="D146" s="17"/>
      <c r="E146" s="17"/>
      <c r="F146" s="17"/>
      <c r="G146" s="17"/>
      <c r="H146" s="17"/>
      <c r="I146" s="17"/>
      <c r="J146" s="17"/>
      <c r="K146" s="17"/>
      <c r="L146" s="17"/>
      <c r="M146" s="17"/>
      <c r="N146" s="17"/>
      <c r="O146" s="17"/>
      <c r="P146" s="17"/>
      <c r="Q146" s="17"/>
    </row>
    <row r="147">
      <c r="A147" s="17"/>
      <c r="B147" s="17"/>
      <c r="C147" s="17"/>
      <c r="D147" s="17"/>
      <c r="E147" s="17"/>
      <c r="F147" s="17"/>
      <c r="G147" s="17"/>
      <c r="H147" s="17"/>
      <c r="I147" s="17"/>
      <c r="J147" s="17"/>
      <c r="K147" s="17"/>
      <c r="L147" s="17"/>
      <c r="M147" s="17"/>
      <c r="N147" s="17"/>
      <c r="O147" s="17"/>
      <c r="P147" s="17"/>
      <c r="Q147" s="17"/>
    </row>
    <row r="148">
      <c r="A148" s="17"/>
      <c r="B148" s="17"/>
      <c r="C148" s="17"/>
      <c r="D148" s="17"/>
      <c r="E148" s="17"/>
      <c r="F148" s="17"/>
      <c r="G148" s="17"/>
      <c r="H148" s="17"/>
      <c r="I148" s="17"/>
      <c r="J148" s="17"/>
      <c r="K148" s="17"/>
      <c r="L148" s="17"/>
      <c r="M148" s="17"/>
      <c r="N148" s="17"/>
      <c r="O148" s="17"/>
      <c r="P148" s="17"/>
      <c r="Q148" s="17"/>
    </row>
    <row r="149">
      <c r="A149" s="17"/>
      <c r="B149" s="17"/>
      <c r="C149" s="17"/>
      <c r="D149" s="17"/>
      <c r="E149" s="17"/>
      <c r="F149" s="17"/>
      <c r="G149" s="17"/>
      <c r="H149" s="17"/>
      <c r="I149" s="17"/>
      <c r="J149" s="17"/>
      <c r="K149" s="17"/>
      <c r="L149" s="17"/>
      <c r="M149" s="17"/>
      <c r="N149" s="17"/>
      <c r="O149" s="17"/>
      <c r="P149" s="17"/>
      <c r="Q149" s="17"/>
    </row>
    <row r="150">
      <c r="A150" s="17"/>
      <c r="B150" s="17"/>
      <c r="C150" s="17"/>
      <c r="D150" s="17"/>
      <c r="E150" s="17"/>
      <c r="F150" s="17"/>
      <c r="G150" s="17"/>
      <c r="H150" s="17"/>
      <c r="I150" s="17"/>
      <c r="J150" s="17"/>
      <c r="K150" s="17"/>
      <c r="L150" s="17"/>
      <c r="M150" s="17"/>
      <c r="N150" s="17"/>
      <c r="O150" s="17"/>
      <c r="P150" s="17"/>
      <c r="Q150" s="17"/>
    </row>
    <row r="151">
      <c r="A151" s="17"/>
      <c r="B151" s="17"/>
      <c r="C151" s="17"/>
      <c r="D151" s="17"/>
      <c r="E151" s="17"/>
      <c r="F151" s="17"/>
      <c r="G151" s="17"/>
      <c r="H151" s="17"/>
      <c r="I151" s="17"/>
      <c r="J151" s="17"/>
      <c r="K151" s="17"/>
      <c r="L151" s="17"/>
      <c r="M151" s="17"/>
      <c r="N151" s="17"/>
      <c r="O151" s="17"/>
      <c r="P151" s="17"/>
      <c r="Q151" s="17"/>
    </row>
    <row r="152">
      <c r="A152" s="17"/>
      <c r="B152" s="17"/>
      <c r="C152" s="17"/>
      <c r="D152" s="17"/>
      <c r="E152" s="17"/>
      <c r="F152" s="17"/>
      <c r="G152" s="17"/>
      <c r="H152" s="17"/>
      <c r="I152" s="17"/>
      <c r="J152" s="17"/>
      <c r="K152" s="17"/>
      <c r="L152" s="17"/>
      <c r="M152" s="17"/>
      <c r="N152" s="17"/>
      <c r="O152" s="17"/>
      <c r="P152" s="17"/>
      <c r="Q152" s="17"/>
    </row>
    <row r="153">
      <c r="A153" s="17"/>
      <c r="B153" s="17"/>
      <c r="C153" s="17"/>
      <c r="D153" s="17"/>
      <c r="E153" s="17"/>
      <c r="F153" s="17"/>
      <c r="G153" s="17"/>
      <c r="H153" s="17"/>
      <c r="I153" s="17"/>
      <c r="J153" s="17"/>
      <c r="K153" s="17"/>
      <c r="L153" s="17"/>
      <c r="M153" s="17"/>
      <c r="N153" s="17"/>
      <c r="O153" s="17"/>
      <c r="P153" s="17"/>
      <c r="Q153" s="17"/>
    </row>
    <row r="154">
      <c r="A154" s="17"/>
      <c r="B154" s="17"/>
      <c r="C154" s="17"/>
      <c r="D154" s="17"/>
      <c r="E154" s="17"/>
      <c r="F154" s="17"/>
      <c r="G154" s="17"/>
      <c r="H154" s="17"/>
      <c r="I154" s="17"/>
      <c r="J154" s="17"/>
      <c r="K154" s="17"/>
      <c r="L154" s="17"/>
      <c r="M154" s="17"/>
      <c r="N154" s="17"/>
      <c r="O154" s="17"/>
      <c r="P154" s="17"/>
      <c r="Q154" s="17"/>
    </row>
    <row r="155">
      <c r="A155" s="17"/>
      <c r="B155" s="17"/>
      <c r="C155" s="17"/>
      <c r="D155" s="17"/>
      <c r="E155" s="17"/>
      <c r="F155" s="17"/>
      <c r="G155" s="17"/>
      <c r="H155" s="17"/>
      <c r="I155" s="17"/>
      <c r="J155" s="17"/>
      <c r="K155" s="17"/>
      <c r="L155" s="17"/>
      <c r="M155" s="17"/>
      <c r="N155" s="17"/>
      <c r="O155" s="17"/>
      <c r="P155" s="17"/>
      <c r="Q155" s="17"/>
    </row>
    <row r="156">
      <c r="A156" s="17"/>
      <c r="B156" s="17"/>
      <c r="C156" s="17"/>
      <c r="D156" s="17"/>
      <c r="E156" s="17"/>
      <c r="F156" s="17"/>
      <c r="G156" s="17"/>
      <c r="H156" s="17"/>
      <c r="I156" s="17"/>
      <c r="J156" s="17"/>
      <c r="K156" s="17"/>
      <c r="L156" s="17"/>
      <c r="M156" s="17"/>
      <c r="N156" s="17"/>
      <c r="O156" s="17"/>
      <c r="P156" s="17"/>
      <c r="Q156" s="17"/>
    </row>
    <row r="157">
      <c r="A157" s="17"/>
      <c r="B157" s="17"/>
      <c r="C157" s="17"/>
      <c r="D157" s="17"/>
      <c r="E157" s="17"/>
      <c r="F157" s="17"/>
      <c r="G157" s="17"/>
      <c r="H157" s="17"/>
      <c r="I157" s="17"/>
      <c r="J157" s="17"/>
      <c r="K157" s="17"/>
      <c r="L157" s="17"/>
      <c r="M157" s="17"/>
      <c r="N157" s="17"/>
      <c r="O157" s="17"/>
      <c r="P157" s="17"/>
      <c r="Q157" s="17"/>
    </row>
    <row r="158">
      <c r="A158" s="17"/>
      <c r="B158" s="17"/>
      <c r="C158" s="17"/>
      <c r="D158" s="17"/>
      <c r="E158" s="17"/>
      <c r="F158" s="17"/>
      <c r="G158" s="17"/>
      <c r="H158" s="17"/>
      <c r="I158" s="17"/>
      <c r="J158" s="17"/>
      <c r="K158" s="17"/>
      <c r="L158" s="17"/>
      <c r="M158" s="17"/>
      <c r="N158" s="17"/>
      <c r="O158" s="17"/>
      <c r="P158" s="17"/>
      <c r="Q158" s="17"/>
    </row>
    <row r="159">
      <c r="A159" s="17"/>
      <c r="B159" s="17"/>
      <c r="C159" s="17"/>
      <c r="D159" s="17"/>
      <c r="E159" s="17"/>
      <c r="F159" s="17"/>
      <c r="G159" s="17"/>
      <c r="H159" s="17"/>
      <c r="I159" s="17"/>
      <c r="J159" s="17"/>
      <c r="K159" s="17"/>
      <c r="L159" s="17"/>
      <c r="M159" s="17"/>
      <c r="N159" s="17"/>
      <c r="O159" s="17"/>
      <c r="P159" s="17"/>
      <c r="Q159" s="17"/>
    </row>
    <row r="160">
      <c r="A160" s="17"/>
      <c r="B160" s="17"/>
      <c r="C160" s="17"/>
      <c r="D160" s="17"/>
      <c r="E160" s="17"/>
      <c r="F160" s="17"/>
      <c r="G160" s="17"/>
      <c r="H160" s="17"/>
      <c r="I160" s="17"/>
      <c r="J160" s="17"/>
      <c r="K160" s="17"/>
      <c r="L160" s="17"/>
      <c r="M160" s="17"/>
      <c r="N160" s="17"/>
      <c r="O160" s="17"/>
      <c r="P160" s="17"/>
      <c r="Q160" s="17"/>
    </row>
    <row r="161">
      <c r="A161" s="17"/>
      <c r="B161" s="17"/>
      <c r="C161" s="17"/>
      <c r="D161" s="17"/>
      <c r="E161" s="17"/>
      <c r="F161" s="17"/>
      <c r="G161" s="17"/>
      <c r="H161" s="17"/>
      <c r="I161" s="17"/>
      <c r="J161" s="17"/>
      <c r="K161" s="17"/>
      <c r="L161" s="17"/>
      <c r="M161" s="17"/>
      <c r="N161" s="17"/>
      <c r="O161" s="17"/>
      <c r="P161" s="17"/>
      <c r="Q161" s="17"/>
    </row>
    <row r="162">
      <c r="A162" s="17"/>
      <c r="B162" s="17"/>
      <c r="C162" s="17"/>
      <c r="D162" s="17"/>
      <c r="E162" s="17"/>
      <c r="F162" s="17"/>
      <c r="G162" s="17"/>
      <c r="H162" s="17"/>
      <c r="I162" s="17"/>
      <c r="J162" s="17"/>
      <c r="K162" s="17"/>
      <c r="L162" s="17"/>
      <c r="M162" s="17"/>
      <c r="N162" s="17"/>
      <c r="O162" s="17"/>
      <c r="P162" s="17"/>
      <c r="Q162" s="17"/>
    </row>
    <row r="163">
      <c r="A163" s="17"/>
      <c r="B163" s="17"/>
      <c r="C163" s="17"/>
      <c r="D163" s="17"/>
      <c r="E163" s="17"/>
      <c r="F163" s="17"/>
      <c r="G163" s="17"/>
      <c r="H163" s="17"/>
      <c r="I163" s="17"/>
      <c r="J163" s="17"/>
      <c r="K163" s="17"/>
      <c r="L163" s="17"/>
      <c r="M163" s="17"/>
      <c r="N163" s="17"/>
      <c r="O163" s="17"/>
      <c r="P163" s="17"/>
      <c r="Q163" s="17"/>
    </row>
    <row r="164">
      <c r="A164" s="17"/>
      <c r="B164" s="17"/>
      <c r="C164" s="17"/>
      <c r="D164" s="17"/>
      <c r="E164" s="17"/>
      <c r="F164" s="17"/>
      <c r="G164" s="17"/>
      <c r="H164" s="17"/>
      <c r="I164" s="17"/>
      <c r="J164" s="17"/>
      <c r="K164" s="17"/>
      <c r="L164" s="17"/>
      <c r="M164" s="17"/>
      <c r="N164" s="17"/>
      <c r="O164" s="17"/>
      <c r="P164" s="17"/>
      <c r="Q164" s="17"/>
    </row>
    <row r="165">
      <c r="A165" s="17"/>
      <c r="B165" s="17"/>
      <c r="C165" s="17"/>
      <c r="D165" s="17"/>
      <c r="E165" s="17"/>
      <c r="F165" s="17"/>
      <c r="G165" s="17"/>
      <c r="H165" s="17"/>
      <c r="I165" s="17"/>
      <c r="J165" s="17"/>
      <c r="K165" s="17"/>
      <c r="L165" s="17"/>
      <c r="M165" s="17"/>
      <c r="N165" s="17"/>
      <c r="O165" s="17"/>
      <c r="P165" s="17"/>
      <c r="Q165" s="17"/>
    </row>
    <row r="166">
      <c r="A166" s="17"/>
      <c r="B166" s="17"/>
      <c r="C166" s="17"/>
      <c r="D166" s="17"/>
      <c r="E166" s="17"/>
      <c r="F166" s="17"/>
      <c r="G166" s="17"/>
      <c r="H166" s="17"/>
      <c r="I166" s="17"/>
      <c r="J166" s="17"/>
      <c r="K166" s="17"/>
      <c r="L166" s="17"/>
      <c r="M166" s="17"/>
      <c r="N166" s="17"/>
      <c r="O166" s="17"/>
      <c r="P166" s="17"/>
      <c r="Q166" s="17"/>
    </row>
    <row r="167">
      <c r="A167" s="17"/>
      <c r="B167" s="17"/>
      <c r="C167" s="17"/>
      <c r="D167" s="17"/>
      <c r="E167" s="17"/>
      <c r="F167" s="17"/>
      <c r="G167" s="17"/>
      <c r="H167" s="17"/>
      <c r="I167" s="17"/>
      <c r="J167" s="17"/>
      <c r="K167" s="17"/>
      <c r="L167" s="17"/>
      <c r="M167" s="17"/>
      <c r="N167" s="17"/>
      <c r="O167" s="17"/>
      <c r="P167" s="17"/>
      <c r="Q167" s="17"/>
    </row>
    <row r="168">
      <c r="A168" s="17"/>
      <c r="B168" s="17"/>
      <c r="C168" s="17"/>
      <c r="D168" s="17"/>
      <c r="E168" s="17"/>
      <c r="F168" s="17"/>
      <c r="G168" s="17"/>
      <c r="H168" s="17"/>
      <c r="I168" s="17"/>
      <c r="J168" s="17"/>
      <c r="K168" s="17"/>
      <c r="L168" s="17"/>
      <c r="M168" s="17"/>
      <c r="N168" s="17"/>
      <c r="O168" s="17"/>
      <c r="P168" s="17"/>
      <c r="Q168" s="17"/>
    </row>
    <row r="169">
      <c r="A169" s="17"/>
      <c r="B169" s="17"/>
      <c r="C169" s="17"/>
      <c r="D169" s="17"/>
      <c r="E169" s="17"/>
      <c r="F169" s="17"/>
      <c r="G169" s="17"/>
      <c r="H169" s="17"/>
      <c r="I169" s="17"/>
      <c r="J169" s="17"/>
      <c r="K169" s="17"/>
      <c r="L169" s="17"/>
      <c r="M169" s="17"/>
      <c r="N169" s="17"/>
      <c r="O169" s="17"/>
      <c r="P169" s="17"/>
      <c r="Q169" s="17"/>
    </row>
    <row r="170">
      <c r="A170" s="17"/>
      <c r="B170" s="17"/>
      <c r="C170" s="17"/>
      <c r="D170" s="17"/>
      <c r="E170" s="17"/>
      <c r="F170" s="17"/>
      <c r="G170" s="17"/>
      <c r="H170" s="17"/>
      <c r="I170" s="17"/>
      <c r="J170" s="17"/>
      <c r="K170" s="17"/>
      <c r="L170" s="17"/>
      <c r="M170" s="17"/>
      <c r="N170" s="17"/>
      <c r="O170" s="17"/>
      <c r="P170" s="17"/>
      <c r="Q170" s="17"/>
    </row>
    <row r="171">
      <c r="A171" s="17"/>
      <c r="B171" s="17"/>
      <c r="C171" s="17"/>
      <c r="D171" s="17"/>
      <c r="E171" s="17"/>
      <c r="F171" s="17"/>
      <c r="G171" s="17"/>
      <c r="H171" s="17"/>
      <c r="I171" s="17"/>
      <c r="J171" s="17"/>
      <c r="K171" s="17"/>
      <c r="L171" s="17"/>
      <c r="M171" s="17"/>
      <c r="N171" s="17"/>
      <c r="O171" s="17"/>
      <c r="P171" s="17"/>
      <c r="Q171" s="17"/>
    </row>
    <row r="172">
      <c r="A172" s="17"/>
      <c r="B172" s="17"/>
      <c r="C172" s="17"/>
      <c r="D172" s="17"/>
      <c r="E172" s="17"/>
      <c r="F172" s="17"/>
      <c r="G172" s="17"/>
      <c r="H172" s="17"/>
      <c r="I172" s="17"/>
      <c r="J172" s="17"/>
      <c r="K172" s="17"/>
      <c r="L172" s="17"/>
      <c r="M172" s="17"/>
      <c r="N172" s="17"/>
      <c r="O172" s="17"/>
      <c r="P172" s="17"/>
      <c r="Q172" s="17"/>
    </row>
    <row r="173">
      <c r="A173" s="17"/>
      <c r="B173" s="17"/>
      <c r="C173" s="17"/>
      <c r="D173" s="17"/>
      <c r="E173" s="17"/>
      <c r="F173" s="17"/>
      <c r="G173" s="17"/>
      <c r="H173" s="17"/>
      <c r="I173" s="17"/>
      <c r="J173" s="17"/>
      <c r="K173" s="17"/>
      <c r="L173" s="17"/>
      <c r="M173" s="17"/>
      <c r="N173" s="17"/>
      <c r="O173" s="17"/>
      <c r="P173" s="17"/>
      <c r="Q173" s="17"/>
    </row>
    <row r="174">
      <c r="A174" s="17"/>
      <c r="B174" s="17"/>
      <c r="C174" s="17"/>
      <c r="D174" s="17"/>
      <c r="E174" s="17"/>
      <c r="F174" s="17"/>
      <c r="G174" s="17"/>
      <c r="H174" s="17"/>
      <c r="I174" s="17"/>
      <c r="J174" s="17"/>
      <c r="K174" s="17"/>
      <c r="L174" s="17"/>
      <c r="M174" s="17"/>
      <c r="N174" s="17"/>
      <c r="O174" s="17"/>
      <c r="P174" s="17"/>
      <c r="Q174" s="17"/>
    </row>
    <row r="175">
      <c r="A175" s="17"/>
      <c r="B175" s="17"/>
      <c r="C175" s="17"/>
      <c r="D175" s="17"/>
      <c r="E175" s="17"/>
      <c r="F175" s="17"/>
      <c r="G175" s="17"/>
      <c r="H175" s="17"/>
      <c r="I175" s="17"/>
      <c r="J175" s="17"/>
      <c r="K175" s="17"/>
      <c r="L175" s="17"/>
      <c r="M175" s="17"/>
      <c r="N175" s="17"/>
      <c r="O175" s="17"/>
      <c r="P175" s="17"/>
      <c r="Q175" s="17"/>
    </row>
    <row r="176">
      <c r="A176" s="17"/>
      <c r="B176" s="17"/>
      <c r="C176" s="17"/>
      <c r="D176" s="17"/>
      <c r="E176" s="17"/>
      <c r="F176" s="17"/>
      <c r="G176" s="17"/>
      <c r="H176" s="17"/>
      <c r="I176" s="17"/>
      <c r="J176" s="17"/>
      <c r="K176" s="17"/>
      <c r="L176" s="17"/>
      <c r="M176" s="17"/>
      <c r="N176" s="17"/>
      <c r="O176" s="17"/>
      <c r="P176" s="17"/>
      <c r="Q176" s="17"/>
    </row>
    <row r="177">
      <c r="A177" s="17"/>
      <c r="B177" s="17"/>
      <c r="C177" s="17"/>
      <c r="D177" s="17"/>
      <c r="E177" s="17"/>
      <c r="F177" s="17"/>
      <c r="G177" s="17"/>
      <c r="H177" s="17"/>
      <c r="I177" s="17"/>
      <c r="J177" s="17"/>
      <c r="K177" s="17"/>
      <c r="L177" s="17"/>
      <c r="M177" s="17"/>
      <c r="N177" s="17"/>
      <c r="O177" s="17"/>
      <c r="P177" s="17"/>
      <c r="Q177" s="17"/>
    </row>
    <row r="178">
      <c r="A178" s="17"/>
      <c r="B178" s="17"/>
      <c r="C178" s="17"/>
      <c r="D178" s="17"/>
      <c r="E178" s="17"/>
      <c r="F178" s="17"/>
      <c r="G178" s="17"/>
      <c r="H178" s="17"/>
      <c r="I178" s="17"/>
      <c r="J178" s="17"/>
      <c r="K178" s="17"/>
      <c r="L178" s="17"/>
      <c r="M178" s="17"/>
      <c r="N178" s="17"/>
      <c r="O178" s="17"/>
      <c r="P178" s="17"/>
      <c r="Q178" s="17"/>
    </row>
    <row r="179">
      <c r="A179" s="17"/>
      <c r="B179" s="17"/>
      <c r="C179" s="17"/>
      <c r="D179" s="17"/>
      <c r="E179" s="17"/>
      <c r="F179" s="17"/>
      <c r="G179" s="17"/>
      <c r="H179" s="17"/>
      <c r="I179" s="17"/>
      <c r="J179" s="17"/>
      <c r="K179" s="17"/>
      <c r="L179" s="17"/>
      <c r="M179" s="17"/>
      <c r="N179" s="17"/>
      <c r="O179" s="17"/>
      <c r="P179" s="17"/>
      <c r="Q179" s="17"/>
    </row>
    <row r="180">
      <c r="A180" s="17"/>
      <c r="B180" s="17"/>
      <c r="C180" s="17"/>
      <c r="D180" s="17"/>
      <c r="E180" s="17"/>
      <c r="F180" s="17"/>
      <c r="G180" s="17"/>
      <c r="H180" s="17"/>
      <c r="I180" s="17"/>
      <c r="J180" s="17"/>
      <c r="K180" s="17"/>
      <c r="L180" s="17"/>
      <c r="M180" s="17"/>
      <c r="N180" s="17"/>
      <c r="O180" s="17"/>
      <c r="P180" s="17"/>
      <c r="Q180" s="17"/>
    </row>
    <row r="181">
      <c r="A181" s="17"/>
      <c r="B181" s="17"/>
      <c r="C181" s="17"/>
      <c r="D181" s="17"/>
      <c r="E181" s="17"/>
      <c r="F181" s="17"/>
      <c r="G181" s="17"/>
      <c r="H181" s="17"/>
      <c r="I181" s="17"/>
      <c r="J181" s="17"/>
      <c r="K181" s="17"/>
      <c r="L181" s="17"/>
      <c r="M181" s="17"/>
      <c r="N181" s="17"/>
      <c r="O181" s="17"/>
      <c r="P181" s="17"/>
      <c r="Q181" s="17"/>
    </row>
    <row r="182">
      <c r="A182" s="17"/>
      <c r="B182" s="17"/>
      <c r="C182" s="17"/>
      <c r="D182" s="17"/>
      <c r="E182" s="17"/>
      <c r="F182" s="17"/>
      <c r="G182" s="17"/>
      <c r="H182" s="17"/>
      <c r="I182" s="17"/>
      <c r="J182" s="17"/>
      <c r="K182" s="17"/>
      <c r="L182" s="17"/>
      <c r="M182" s="17"/>
      <c r="N182" s="17"/>
      <c r="O182" s="17"/>
      <c r="P182" s="17"/>
      <c r="Q182" s="17"/>
    </row>
    <row r="183">
      <c r="A183" s="17"/>
      <c r="B183" s="17"/>
      <c r="C183" s="17"/>
      <c r="D183" s="17"/>
      <c r="E183" s="17"/>
      <c r="F183" s="17"/>
      <c r="G183" s="17"/>
      <c r="H183" s="17"/>
      <c r="I183" s="17"/>
      <c r="J183" s="17"/>
      <c r="K183" s="17"/>
      <c r="L183" s="17"/>
      <c r="M183" s="17"/>
      <c r="N183" s="17"/>
      <c r="O183" s="17"/>
      <c r="P183" s="17"/>
      <c r="Q183" s="17"/>
    </row>
    <row r="184">
      <c r="A184" s="17"/>
      <c r="B184" s="17"/>
      <c r="C184" s="17"/>
      <c r="D184" s="17"/>
      <c r="E184" s="17"/>
      <c r="F184" s="17"/>
      <c r="G184" s="17"/>
      <c r="H184" s="17"/>
      <c r="I184" s="17"/>
      <c r="J184" s="17"/>
      <c r="K184" s="17"/>
      <c r="L184" s="17"/>
      <c r="M184" s="17"/>
      <c r="N184" s="17"/>
      <c r="O184" s="17"/>
      <c r="P184" s="17"/>
      <c r="Q184" s="17"/>
    </row>
    <row r="185">
      <c r="A185" s="17"/>
      <c r="B185" s="17"/>
      <c r="C185" s="17"/>
      <c r="D185" s="17"/>
      <c r="E185" s="17"/>
      <c r="F185" s="17"/>
      <c r="G185" s="17"/>
      <c r="H185" s="17"/>
      <c r="I185" s="17"/>
      <c r="J185" s="17"/>
      <c r="K185" s="17"/>
      <c r="L185" s="17"/>
      <c r="M185" s="17"/>
      <c r="N185" s="17"/>
      <c r="O185" s="17"/>
      <c r="P185" s="17"/>
      <c r="Q185" s="17"/>
    </row>
    <row r="186">
      <c r="A186" s="17"/>
      <c r="B186" s="17"/>
      <c r="C186" s="17"/>
      <c r="D186" s="17"/>
      <c r="E186" s="17"/>
      <c r="F186" s="17"/>
      <c r="G186" s="17"/>
      <c r="H186" s="17"/>
      <c r="I186" s="17"/>
      <c r="J186" s="17"/>
      <c r="K186" s="17"/>
      <c r="L186" s="17"/>
      <c r="M186" s="17"/>
      <c r="N186" s="17"/>
      <c r="O186" s="17"/>
      <c r="P186" s="17"/>
      <c r="Q186" s="17"/>
    </row>
    <row r="187">
      <c r="A187" s="17"/>
      <c r="B187" s="17"/>
      <c r="C187" s="17"/>
      <c r="D187" s="17"/>
      <c r="E187" s="17"/>
      <c r="F187" s="17"/>
      <c r="G187" s="17"/>
      <c r="H187" s="17"/>
      <c r="I187" s="17"/>
      <c r="J187" s="17"/>
      <c r="K187" s="17"/>
      <c r="L187" s="17"/>
      <c r="M187" s="17"/>
      <c r="N187" s="17"/>
      <c r="O187" s="17"/>
      <c r="P187" s="17"/>
      <c r="Q187" s="17"/>
    </row>
    <row r="188">
      <c r="A188" s="17"/>
      <c r="B188" s="17"/>
      <c r="C188" s="17"/>
      <c r="D188" s="17"/>
      <c r="E188" s="17"/>
      <c r="F188" s="17"/>
      <c r="G188" s="17"/>
      <c r="H188" s="17"/>
      <c r="I188" s="17"/>
      <c r="J188" s="17"/>
      <c r="K188" s="17"/>
      <c r="L188" s="17"/>
      <c r="M188" s="17"/>
      <c r="N188" s="17"/>
      <c r="O188" s="17"/>
      <c r="P188" s="17"/>
      <c r="Q188" s="17"/>
    </row>
    <row r="189">
      <c r="A189" s="17"/>
      <c r="B189" s="17"/>
      <c r="C189" s="17"/>
      <c r="D189" s="17"/>
      <c r="E189" s="17"/>
      <c r="F189" s="17"/>
      <c r="G189" s="17"/>
      <c r="H189" s="17"/>
      <c r="I189" s="17"/>
      <c r="J189" s="17"/>
      <c r="K189" s="17"/>
      <c r="L189" s="17"/>
      <c r="M189" s="17"/>
      <c r="N189" s="17"/>
      <c r="O189" s="17"/>
      <c r="P189" s="17"/>
      <c r="Q189" s="17"/>
    </row>
    <row r="190">
      <c r="A190" s="17"/>
      <c r="B190" s="17"/>
      <c r="C190" s="17"/>
      <c r="D190" s="17"/>
      <c r="E190" s="17"/>
      <c r="F190" s="17"/>
      <c r="G190" s="17"/>
      <c r="H190" s="17"/>
      <c r="I190" s="17"/>
      <c r="J190" s="17"/>
      <c r="K190" s="17"/>
      <c r="L190" s="17"/>
      <c r="M190" s="17"/>
      <c r="N190" s="17"/>
      <c r="O190" s="17"/>
      <c r="P190" s="17"/>
      <c r="Q190" s="17"/>
    </row>
    <row r="191">
      <c r="A191" s="17"/>
      <c r="B191" s="17"/>
      <c r="C191" s="17"/>
      <c r="D191" s="17"/>
      <c r="E191" s="17"/>
      <c r="F191" s="17"/>
      <c r="G191" s="17"/>
      <c r="H191" s="17"/>
      <c r="I191" s="17"/>
      <c r="J191" s="17"/>
      <c r="K191" s="17"/>
      <c r="L191" s="17"/>
      <c r="M191" s="17"/>
      <c r="N191" s="17"/>
      <c r="O191" s="17"/>
      <c r="P191" s="17"/>
      <c r="Q191" s="17"/>
    </row>
    <row r="192">
      <c r="A192" s="17"/>
      <c r="B192" s="17"/>
      <c r="C192" s="17"/>
      <c r="D192" s="17"/>
      <c r="E192" s="17"/>
      <c r="F192" s="17"/>
      <c r="G192" s="17"/>
      <c r="H192" s="17"/>
      <c r="I192" s="17"/>
      <c r="J192" s="17"/>
      <c r="K192" s="17"/>
      <c r="L192" s="17"/>
      <c r="M192" s="17"/>
      <c r="N192" s="17"/>
      <c r="O192" s="17"/>
      <c r="P192" s="17"/>
      <c r="Q192" s="17"/>
    </row>
    <row r="193">
      <c r="A193" s="17"/>
      <c r="B193" s="17"/>
      <c r="C193" s="17"/>
      <c r="D193" s="17"/>
      <c r="E193" s="17"/>
      <c r="F193" s="17"/>
      <c r="G193" s="17"/>
      <c r="H193" s="17"/>
      <c r="I193" s="17"/>
      <c r="J193" s="17"/>
      <c r="K193" s="17"/>
      <c r="L193" s="17"/>
      <c r="M193" s="17"/>
      <c r="N193" s="17"/>
      <c r="O193" s="17"/>
      <c r="P193" s="17"/>
      <c r="Q193" s="17"/>
    </row>
    <row r="194">
      <c r="A194" s="17"/>
      <c r="B194" s="17"/>
      <c r="C194" s="17"/>
      <c r="D194" s="17"/>
      <c r="E194" s="17"/>
      <c r="F194" s="17"/>
      <c r="G194" s="17"/>
      <c r="H194" s="17"/>
      <c r="I194" s="17"/>
      <c r="J194" s="17"/>
      <c r="K194" s="17"/>
      <c r="L194" s="17"/>
      <c r="M194" s="17"/>
      <c r="N194" s="17"/>
      <c r="O194" s="17"/>
      <c r="P194" s="17"/>
      <c r="Q194" s="17"/>
    </row>
    <row r="195">
      <c r="A195" s="17"/>
      <c r="B195" s="17"/>
      <c r="C195" s="17"/>
      <c r="D195" s="17"/>
      <c r="E195" s="17"/>
      <c r="F195" s="17"/>
      <c r="G195" s="17"/>
      <c r="H195" s="17"/>
      <c r="I195" s="17"/>
      <c r="J195" s="17"/>
      <c r="K195" s="17"/>
      <c r="L195" s="17"/>
      <c r="M195" s="17"/>
      <c r="N195" s="17"/>
      <c r="O195" s="17"/>
      <c r="P195" s="17"/>
      <c r="Q195" s="17"/>
    </row>
    <row r="196">
      <c r="A196" s="17"/>
      <c r="B196" s="17"/>
      <c r="C196" s="17"/>
      <c r="D196" s="17"/>
      <c r="E196" s="17"/>
      <c r="F196" s="17"/>
      <c r="G196" s="17"/>
      <c r="H196" s="17"/>
      <c r="I196" s="17"/>
      <c r="J196" s="17"/>
      <c r="K196" s="17"/>
      <c r="L196" s="17"/>
      <c r="M196" s="17"/>
      <c r="N196" s="17"/>
      <c r="O196" s="17"/>
      <c r="P196" s="17"/>
      <c r="Q196" s="17"/>
    </row>
    <row r="197">
      <c r="A197" s="17"/>
      <c r="B197" s="17"/>
      <c r="C197" s="17"/>
      <c r="D197" s="17"/>
      <c r="E197" s="17"/>
      <c r="F197" s="17"/>
      <c r="G197" s="17"/>
      <c r="H197" s="17"/>
      <c r="I197" s="17"/>
      <c r="J197" s="17"/>
      <c r="K197" s="17"/>
      <c r="L197" s="17"/>
      <c r="M197" s="17"/>
      <c r="N197" s="17"/>
      <c r="O197" s="17"/>
      <c r="P197" s="17"/>
      <c r="Q197" s="17"/>
    </row>
    <row r="198">
      <c r="A198" s="17"/>
      <c r="B198" s="17"/>
      <c r="C198" s="17"/>
      <c r="D198" s="17"/>
      <c r="E198" s="17"/>
      <c r="F198" s="17"/>
      <c r="G198" s="17"/>
      <c r="H198" s="17"/>
      <c r="I198" s="17"/>
      <c r="J198" s="17"/>
      <c r="K198" s="17"/>
      <c r="L198" s="17"/>
      <c r="M198" s="17"/>
      <c r="N198" s="17"/>
      <c r="O198" s="17"/>
      <c r="P198" s="17"/>
      <c r="Q198" s="17"/>
    </row>
    <row r="199">
      <c r="A199" s="17"/>
      <c r="B199" s="17"/>
      <c r="C199" s="17"/>
      <c r="D199" s="17"/>
      <c r="E199" s="17"/>
      <c r="F199" s="17"/>
      <c r="G199" s="17"/>
      <c r="H199" s="17"/>
      <c r="I199" s="17"/>
      <c r="J199" s="17"/>
      <c r="K199" s="17"/>
      <c r="L199" s="17"/>
      <c r="M199" s="17"/>
      <c r="N199" s="17"/>
      <c r="O199" s="17"/>
      <c r="P199" s="17"/>
      <c r="Q199" s="17"/>
    </row>
    <row r="200">
      <c r="A200" s="17"/>
      <c r="B200" s="17"/>
      <c r="C200" s="17"/>
      <c r="D200" s="17"/>
      <c r="E200" s="17"/>
      <c r="F200" s="17"/>
      <c r="G200" s="17"/>
      <c r="H200" s="17"/>
      <c r="I200" s="17"/>
      <c r="J200" s="17"/>
      <c r="K200" s="17"/>
      <c r="L200" s="17"/>
      <c r="M200" s="17"/>
      <c r="N200" s="17"/>
      <c r="O200" s="17"/>
      <c r="P200" s="17"/>
      <c r="Q200" s="17"/>
    </row>
    <row r="201">
      <c r="A201" s="17"/>
      <c r="B201" s="17"/>
      <c r="C201" s="17"/>
      <c r="D201" s="17"/>
      <c r="E201" s="17"/>
      <c r="F201" s="17"/>
      <c r="G201" s="17"/>
      <c r="H201" s="17"/>
      <c r="I201" s="17"/>
      <c r="J201" s="17"/>
      <c r="K201" s="17"/>
      <c r="L201" s="17"/>
      <c r="M201" s="17"/>
      <c r="N201" s="17"/>
      <c r="O201" s="17"/>
      <c r="P201" s="17"/>
      <c r="Q201" s="17"/>
    </row>
    <row r="202">
      <c r="A202" s="17"/>
      <c r="B202" s="17"/>
      <c r="C202" s="17"/>
      <c r="D202" s="17"/>
      <c r="E202" s="17"/>
      <c r="F202" s="17"/>
      <c r="G202" s="17"/>
      <c r="H202" s="17"/>
      <c r="I202" s="17"/>
      <c r="J202" s="17"/>
      <c r="K202" s="17"/>
      <c r="L202" s="17"/>
      <c r="M202" s="17"/>
      <c r="N202" s="17"/>
      <c r="O202" s="17"/>
      <c r="P202" s="17"/>
      <c r="Q202" s="17"/>
    </row>
    <row r="203">
      <c r="A203" s="17"/>
      <c r="B203" s="17"/>
      <c r="C203" s="17"/>
      <c r="D203" s="17"/>
      <c r="E203" s="17"/>
      <c r="F203" s="17"/>
      <c r="G203" s="17"/>
      <c r="H203" s="17"/>
      <c r="I203" s="17"/>
      <c r="J203" s="17"/>
      <c r="K203" s="17"/>
      <c r="L203" s="17"/>
      <c r="M203" s="17"/>
      <c r="N203" s="17"/>
      <c r="O203" s="17"/>
      <c r="P203" s="17"/>
      <c r="Q203" s="17"/>
    </row>
    <row r="204">
      <c r="A204" s="17"/>
      <c r="B204" s="17"/>
      <c r="C204" s="17"/>
      <c r="D204" s="17"/>
      <c r="E204" s="17"/>
      <c r="F204" s="17"/>
      <c r="G204" s="17"/>
      <c r="H204" s="17"/>
      <c r="I204" s="17"/>
      <c r="J204" s="17"/>
      <c r="K204" s="17"/>
      <c r="L204" s="17"/>
      <c r="M204" s="17"/>
      <c r="N204" s="17"/>
      <c r="O204" s="17"/>
      <c r="P204" s="17"/>
      <c r="Q204" s="17"/>
    </row>
    <row r="205">
      <c r="A205" s="17"/>
      <c r="B205" s="17"/>
      <c r="C205" s="17"/>
      <c r="D205" s="17"/>
      <c r="E205" s="17"/>
      <c r="F205" s="17"/>
      <c r="G205" s="17"/>
      <c r="H205" s="17"/>
      <c r="I205" s="17"/>
      <c r="J205" s="17"/>
      <c r="K205" s="17"/>
      <c r="L205" s="17"/>
      <c r="M205" s="17"/>
      <c r="N205" s="17"/>
      <c r="O205" s="17"/>
      <c r="P205" s="17"/>
      <c r="Q205" s="17"/>
    </row>
    <row r="206">
      <c r="A206" s="17"/>
      <c r="B206" s="17"/>
      <c r="C206" s="17"/>
      <c r="D206" s="17"/>
      <c r="E206" s="17"/>
      <c r="F206" s="17"/>
      <c r="G206" s="17"/>
      <c r="H206" s="17"/>
      <c r="I206" s="17"/>
      <c r="J206" s="17"/>
      <c r="K206" s="17"/>
      <c r="L206" s="17"/>
      <c r="M206" s="17"/>
      <c r="N206" s="17"/>
      <c r="O206" s="17"/>
      <c r="P206" s="17"/>
      <c r="Q206" s="17"/>
    </row>
    <row r="207">
      <c r="A207" s="17"/>
      <c r="B207" s="17"/>
      <c r="C207" s="17"/>
      <c r="D207" s="17"/>
      <c r="E207" s="17"/>
      <c r="F207" s="17"/>
      <c r="G207" s="17"/>
      <c r="H207" s="17"/>
      <c r="I207" s="17"/>
      <c r="J207" s="17"/>
      <c r="K207" s="17"/>
      <c r="L207" s="17"/>
      <c r="M207" s="17"/>
      <c r="N207" s="17"/>
      <c r="O207" s="17"/>
      <c r="P207" s="17"/>
      <c r="Q207" s="17"/>
    </row>
    <row r="208">
      <c r="A208" s="17"/>
      <c r="B208" s="17"/>
      <c r="C208" s="17"/>
      <c r="D208" s="17"/>
      <c r="E208" s="17"/>
      <c r="F208" s="17"/>
      <c r="G208" s="17"/>
      <c r="H208" s="17"/>
      <c r="I208" s="17"/>
      <c r="J208" s="17"/>
      <c r="K208" s="17"/>
      <c r="L208" s="17"/>
      <c r="M208" s="17"/>
      <c r="N208" s="17"/>
      <c r="O208" s="17"/>
      <c r="P208" s="17"/>
      <c r="Q208" s="17"/>
    </row>
    <row r="209">
      <c r="A209" s="17"/>
      <c r="B209" s="17"/>
      <c r="C209" s="17"/>
      <c r="D209" s="17"/>
      <c r="E209" s="17"/>
      <c r="F209" s="17"/>
      <c r="G209" s="17"/>
      <c r="H209" s="17"/>
      <c r="I209" s="17"/>
      <c r="J209" s="17"/>
      <c r="K209" s="17"/>
      <c r="L209" s="17"/>
      <c r="M209" s="17"/>
      <c r="N209" s="17"/>
      <c r="O209" s="17"/>
      <c r="P209" s="17"/>
      <c r="Q209" s="17"/>
    </row>
    <row r="210">
      <c r="A210" s="17"/>
      <c r="B210" s="17"/>
      <c r="C210" s="17"/>
      <c r="D210" s="17"/>
      <c r="E210" s="17"/>
      <c r="F210" s="17"/>
      <c r="G210" s="17"/>
      <c r="H210" s="17"/>
      <c r="I210" s="17"/>
      <c r="J210" s="17"/>
      <c r="K210" s="17"/>
      <c r="L210" s="17"/>
      <c r="M210" s="17"/>
      <c r="N210" s="17"/>
      <c r="O210" s="17"/>
      <c r="P210" s="17"/>
      <c r="Q210" s="17"/>
    </row>
    <row r="211">
      <c r="A211" s="17"/>
      <c r="B211" s="17"/>
      <c r="C211" s="17"/>
      <c r="D211" s="17"/>
      <c r="E211" s="17"/>
      <c r="F211" s="17"/>
      <c r="G211" s="17"/>
      <c r="H211" s="17"/>
      <c r="I211" s="17"/>
      <c r="J211" s="17"/>
      <c r="K211" s="17"/>
      <c r="L211" s="17"/>
      <c r="M211" s="17"/>
      <c r="N211" s="17"/>
      <c r="O211" s="17"/>
      <c r="P211" s="17"/>
      <c r="Q211" s="17"/>
    </row>
    <row r="212">
      <c r="A212" s="17"/>
      <c r="B212" s="17"/>
      <c r="C212" s="17"/>
      <c r="D212" s="17"/>
      <c r="E212" s="17"/>
      <c r="F212" s="17"/>
      <c r="G212" s="17"/>
      <c r="H212" s="17"/>
      <c r="I212" s="17"/>
      <c r="J212" s="17"/>
      <c r="K212" s="17"/>
      <c r="L212" s="17"/>
      <c r="M212" s="17"/>
      <c r="N212" s="17"/>
      <c r="O212" s="17"/>
      <c r="P212" s="17"/>
      <c r="Q212" s="17"/>
    </row>
    <row r="213">
      <c r="A213" s="17"/>
      <c r="B213" s="17"/>
      <c r="C213" s="17"/>
      <c r="D213" s="17"/>
      <c r="E213" s="17"/>
      <c r="F213" s="17"/>
      <c r="G213" s="17"/>
      <c r="H213" s="17"/>
      <c r="I213" s="17"/>
      <c r="J213" s="17"/>
      <c r="K213" s="17"/>
      <c r="L213" s="17"/>
      <c r="M213" s="17"/>
      <c r="N213" s="17"/>
      <c r="O213" s="17"/>
      <c r="P213" s="17"/>
      <c r="Q213" s="17"/>
    </row>
    <row r="214">
      <c r="A214" s="17"/>
      <c r="B214" s="17"/>
      <c r="C214" s="17"/>
      <c r="D214" s="17"/>
      <c r="E214" s="17"/>
      <c r="F214" s="17"/>
      <c r="G214" s="17"/>
      <c r="H214" s="17"/>
      <c r="I214" s="17"/>
      <c r="J214" s="17"/>
      <c r="K214" s="17"/>
      <c r="L214" s="17"/>
      <c r="M214" s="17"/>
      <c r="N214" s="17"/>
      <c r="O214" s="17"/>
      <c r="P214" s="17"/>
      <c r="Q214" s="17"/>
    </row>
    <row r="215">
      <c r="A215" s="17"/>
      <c r="B215" s="17"/>
      <c r="C215" s="17"/>
      <c r="D215" s="17"/>
      <c r="E215" s="17"/>
      <c r="F215" s="17"/>
      <c r="G215" s="17"/>
      <c r="H215" s="17"/>
      <c r="I215" s="17"/>
      <c r="J215" s="17"/>
      <c r="K215" s="17"/>
      <c r="L215" s="17"/>
      <c r="M215" s="17"/>
      <c r="N215" s="17"/>
      <c r="O215" s="17"/>
      <c r="P215" s="17"/>
      <c r="Q215" s="17"/>
    </row>
    <row r="216">
      <c r="A216" s="17"/>
      <c r="B216" s="17"/>
      <c r="C216" s="17"/>
      <c r="D216" s="17"/>
      <c r="E216" s="17"/>
      <c r="F216" s="17"/>
      <c r="G216" s="17"/>
      <c r="H216" s="17"/>
      <c r="I216" s="17"/>
      <c r="J216" s="17"/>
      <c r="K216" s="17"/>
      <c r="L216" s="17"/>
      <c r="M216" s="17"/>
      <c r="N216" s="17"/>
      <c r="O216" s="17"/>
      <c r="P216" s="17"/>
      <c r="Q216" s="17"/>
    </row>
    <row r="217">
      <c r="A217" s="17"/>
      <c r="B217" s="17"/>
      <c r="C217" s="17"/>
      <c r="D217" s="17"/>
      <c r="E217" s="17"/>
      <c r="F217" s="17"/>
      <c r="G217" s="17"/>
      <c r="H217" s="17"/>
      <c r="I217" s="17"/>
      <c r="J217" s="17"/>
      <c r="K217" s="17"/>
      <c r="L217" s="17"/>
      <c r="M217" s="17"/>
      <c r="N217" s="17"/>
      <c r="O217" s="17"/>
      <c r="P217" s="17"/>
      <c r="Q217" s="17"/>
    </row>
    <row r="218">
      <c r="A218" s="17"/>
      <c r="B218" s="17"/>
      <c r="C218" s="17"/>
      <c r="D218" s="17"/>
      <c r="E218" s="17"/>
      <c r="F218" s="17"/>
      <c r="G218" s="17"/>
      <c r="H218" s="17"/>
      <c r="I218" s="17"/>
      <c r="J218" s="17"/>
      <c r="K218" s="17"/>
      <c r="L218" s="17"/>
      <c r="M218" s="17"/>
      <c r="N218" s="17"/>
      <c r="O218" s="17"/>
      <c r="P218" s="17"/>
      <c r="Q218" s="17"/>
    </row>
    <row r="219">
      <c r="A219" s="17"/>
      <c r="B219" s="17"/>
      <c r="C219" s="17"/>
      <c r="D219" s="17"/>
      <c r="E219" s="17"/>
      <c r="F219" s="17"/>
      <c r="G219" s="17"/>
      <c r="H219" s="17"/>
      <c r="I219" s="17"/>
      <c r="J219" s="17"/>
      <c r="K219" s="17"/>
      <c r="L219" s="17"/>
      <c r="M219" s="17"/>
      <c r="N219" s="17"/>
      <c r="O219" s="17"/>
      <c r="P219" s="17"/>
      <c r="Q219" s="17"/>
    </row>
    <row r="220">
      <c r="A220" s="17"/>
      <c r="B220" s="17"/>
      <c r="C220" s="17"/>
      <c r="D220" s="17"/>
      <c r="E220" s="17"/>
      <c r="F220" s="17"/>
      <c r="G220" s="17"/>
      <c r="H220" s="17"/>
      <c r="I220" s="17"/>
      <c r="J220" s="17"/>
      <c r="K220" s="17"/>
      <c r="L220" s="17"/>
      <c r="M220" s="17"/>
      <c r="N220" s="17"/>
      <c r="O220" s="17"/>
      <c r="P220" s="17"/>
      <c r="Q220" s="17"/>
    </row>
    <row r="221">
      <c r="A221" s="17"/>
      <c r="B221" s="17"/>
      <c r="C221" s="17"/>
      <c r="D221" s="17"/>
      <c r="E221" s="17"/>
      <c r="F221" s="17"/>
      <c r="G221" s="17"/>
      <c r="H221" s="17"/>
      <c r="I221" s="17"/>
      <c r="J221" s="17"/>
      <c r="K221" s="17"/>
      <c r="L221" s="17"/>
      <c r="M221" s="17"/>
      <c r="N221" s="17"/>
      <c r="O221" s="17"/>
      <c r="P221" s="17"/>
      <c r="Q221" s="17"/>
    </row>
    <row r="222">
      <c r="A222" s="17"/>
      <c r="B222" s="17"/>
      <c r="C222" s="17"/>
      <c r="D222" s="17"/>
      <c r="E222" s="17"/>
      <c r="F222" s="17"/>
      <c r="G222" s="17"/>
      <c r="H222" s="17"/>
      <c r="I222" s="17"/>
      <c r="J222" s="17"/>
      <c r="K222" s="17"/>
      <c r="L222" s="17"/>
      <c r="M222" s="17"/>
      <c r="N222" s="17"/>
      <c r="O222" s="17"/>
      <c r="P222" s="17"/>
      <c r="Q222" s="17"/>
    </row>
    <row r="223">
      <c r="A223" s="17"/>
      <c r="B223" s="17"/>
      <c r="C223" s="17"/>
      <c r="D223" s="17"/>
      <c r="E223" s="17"/>
      <c r="F223" s="17"/>
      <c r="G223" s="17"/>
      <c r="H223" s="17"/>
      <c r="I223" s="17"/>
      <c r="J223" s="17"/>
      <c r="K223" s="17"/>
      <c r="L223" s="17"/>
      <c r="M223" s="17"/>
      <c r="N223" s="17"/>
      <c r="O223" s="17"/>
      <c r="P223" s="17"/>
      <c r="Q223" s="17"/>
    </row>
    <row r="224">
      <c r="A224" s="17"/>
      <c r="B224" s="17"/>
      <c r="C224" s="17"/>
      <c r="D224" s="17"/>
      <c r="E224" s="17"/>
      <c r="F224" s="17"/>
      <c r="G224" s="17"/>
      <c r="H224" s="17"/>
      <c r="I224" s="17"/>
      <c r="J224" s="17"/>
      <c r="K224" s="17"/>
      <c r="L224" s="17"/>
      <c r="M224" s="17"/>
      <c r="N224" s="17"/>
      <c r="O224" s="17"/>
      <c r="P224" s="17"/>
      <c r="Q224" s="17"/>
    </row>
    <row r="225">
      <c r="A225" s="17"/>
      <c r="B225" s="17"/>
      <c r="C225" s="17"/>
      <c r="D225" s="17"/>
      <c r="E225" s="17"/>
      <c r="F225" s="17"/>
      <c r="G225" s="17"/>
      <c r="H225" s="17"/>
      <c r="I225" s="17"/>
      <c r="J225" s="17"/>
      <c r="K225" s="17"/>
      <c r="L225" s="17"/>
      <c r="M225" s="17"/>
      <c r="N225" s="17"/>
      <c r="O225" s="17"/>
      <c r="P225" s="17"/>
      <c r="Q225" s="17"/>
    </row>
    <row r="226">
      <c r="A226" s="17"/>
      <c r="B226" s="17"/>
      <c r="C226" s="17"/>
      <c r="D226" s="17"/>
      <c r="E226" s="17"/>
      <c r="F226" s="17"/>
      <c r="G226" s="17"/>
      <c r="H226" s="17"/>
      <c r="I226" s="17"/>
      <c r="J226" s="17"/>
      <c r="K226" s="17"/>
      <c r="L226" s="17"/>
      <c r="M226" s="17"/>
      <c r="N226" s="17"/>
      <c r="O226" s="17"/>
      <c r="P226" s="17"/>
      <c r="Q226" s="17"/>
    </row>
    <row r="227">
      <c r="A227" s="17"/>
      <c r="B227" s="17"/>
      <c r="C227" s="17"/>
      <c r="D227" s="17"/>
      <c r="E227" s="17"/>
      <c r="F227" s="17"/>
      <c r="G227" s="17"/>
      <c r="H227" s="17"/>
      <c r="I227" s="17"/>
      <c r="J227" s="17"/>
      <c r="K227" s="17"/>
      <c r="L227" s="17"/>
      <c r="M227" s="17"/>
      <c r="N227" s="17"/>
      <c r="O227" s="17"/>
      <c r="P227" s="17"/>
      <c r="Q227" s="17"/>
    </row>
    <row r="228">
      <c r="A228" s="17"/>
      <c r="B228" s="17"/>
      <c r="C228" s="17"/>
      <c r="D228" s="17"/>
      <c r="E228" s="17"/>
      <c r="F228" s="17"/>
      <c r="G228" s="17"/>
      <c r="H228" s="17"/>
      <c r="I228" s="17"/>
      <c r="J228" s="17"/>
      <c r="K228" s="17"/>
      <c r="L228" s="17"/>
      <c r="M228" s="17"/>
      <c r="N228" s="17"/>
      <c r="O228" s="17"/>
      <c r="P228" s="17"/>
      <c r="Q228" s="17"/>
    </row>
    <row r="229">
      <c r="A229" s="17"/>
      <c r="B229" s="17"/>
      <c r="C229" s="17"/>
      <c r="D229" s="17"/>
      <c r="E229" s="17"/>
      <c r="F229" s="17"/>
      <c r="G229" s="17"/>
      <c r="H229" s="17"/>
      <c r="I229" s="17"/>
      <c r="J229" s="17"/>
      <c r="K229" s="17"/>
      <c r="L229" s="17"/>
      <c r="M229" s="17"/>
      <c r="N229" s="17"/>
      <c r="O229" s="17"/>
      <c r="P229" s="17"/>
      <c r="Q229" s="17"/>
    </row>
    <row r="230">
      <c r="A230" s="17"/>
      <c r="B230" s="17"/>
      <c r="C230" s="17"/>
      <c r="D230" s="17"/>
      <c r="E230" s="17"/>
      <c r="F230" s="17"/>
      <c r="G230" s="17"/>
      <c r="H230" s="17"/>
      <c r="I230" s="17"/>
      <c r="J230" s="17"/>
      <c r="K230" s="17"/>
      <c r="L230" s="17"/>
      <c r="M230" s="17"/>
      <c r="N230" s="17"/>
      <c r="O230" s="17"/>
      <c r="P230" s="17"/>
      <c r="Q230" s="17"/>
    </row>
    <row r="231">
      <c r="A231" s="17"/>
      <c r="B231" s="17"/>
      <c r="C231" s="17"/>
      <c r="D231" s="17"/>
      <c r="E231" s="17"/>
      <c r="F231" s="17"/>
      <c r="G231" s="17"/>
      <c r="H231" s="17"/>
      <c r="I231" s="17"/>
      <c r="J231" s="17"/>
      <c r="K231" s="17"/>
      <c r="L231" s="17"/>
      <c r="M231" s="17"/>
      <c r="N231" s="17"/>
      <c r="O231" s="17"/>
      <c r="P231" s="17"/>
      <c r="Q231" s="17"/>
    </row>
    <row r="232">
      <c r="A232" s="17"/>
      <c r="B232" s="17"/>
      <c r="C232" s="17"/>
      <c r="D232" s="17"/>
      <c r="E232" s="17"/>
      <c r="F232" s="17"/>
      <c r="G232" s="17"/>
      <c r="H232" s="17"/>
      <c r="I232" s="17"/>
      <c r="J232" s="17"/>
      <c r="K232" s="17"/>
      <c r="L232" s="17"/>
      <c r="M232" s="17"/>
      <c r="N232" s="17"/>
      <c r="O232" s="17"/>
      <c r="P232" s="17"/>
      <c r="Q232" s="17"/>
    </row>
    <row r="233">
      <c r="A233" s="17"/>
      <c r="B233" s="17"/>
      <c r="C233" s="17"/>
      <c r="D233" s="17"/>
      <c r="E233" s="17"/>
      <c r="F233" s="17"/>
      <c r="G233" s="17"/>
      <c r="H233" s="17"/>
      <c r="I233" s="17"/>
      <c r="J233" s="17"/>
      <c r="K233" s="17"/>
      <c r="L233" s="17"/>
      <c r="M233" s="17"/>
      <c r="N233" s="17"/>
      <c r="O233" s="17"/>
      <c r="P233" s="17"/>
      <c r="Q233" s="17"/>
    </row>
    <row r="234">
      <c r="A234" s="17"/>
      <c r="B234" s="17"/>
      <c r="C234" s="17"/>
      <c r="D234" s="17"/>
      <c r="E234" s="17"/>
      <c r="F234" s="17"/>
      <c r="G234" s="17"/>
      <c r="H234" s="17"/>
      <c r="I234" s="17"/>
      <c r="J234" s="17"/>
      <c r="K234" s="17"/>
      <c r="L234" s="17"/>
      <c r="M234" s="17"/>
      <c r="N234" s="17"/>
      <c r="O234" s="17"/>
      <c r="P234" s="17"/>
      <c r="Q234" s="17"/>
    </row>
    <row r="235">
      <c r="A235" s="17"/>
      <c r="B235" s="17"/>
      <c r="C235" s="17"/>
      <c r="D235" s="17"/>
      <c r="E235" s="17"/>
      <c r="F235" s="17"/>
      <c r="G235" s="17"/>
      <c r="H235" s="17"/>
      <c r="I235" s="17"/>
      <c r="J235" s="17"/>
      <c r="K235" s="17"/>
      <c r="L235" s="17"/>
      <c r="M235" s="17"/>
      <c r="N235" s="17"/>
      <c r="O235" s="17"/>
      <c r="P235" s="17"/>
      <c r="Q235" s="17"/>
    </row>
    <row r="236">
      <c r="A236" s="17"/>
      <c r="B236" s="17"/>
      <c r="C236" s="17"/>
      <c r="D236" s="17"/>
      <c r="E236" s="17"/>
      <c r="F236" s="17"/>
      <c r="G236" s="17"/>
      <c r="H236" s="17"/>
      <c r="I236" s="17"/>
      <c r="J236" s="17"/>
      <c r="K236" s="17"/>
      <c r="L236" s="17"/>
      <c r="M236" s="17"/>
      <c r="N236" s="17"/>
      <c r="O236" s="17"/>
      <c r="P236" s="17"/>
      <c r="Q236" s="17"/>
    </row>
    <row r="237">
      <c r="A237" s="17"/>
      <c r="B237" s="17"/>
      <c r="C237" s="17"/>
      <c r="D237" s="17"/>
      <c r="E237" s="17"/>
      <c r="F237" s="17"/>
      <c r="G237" s="17"/>
      <c r="H237" s="17"/>
      <c r="I237" s="17"/>
      <c r="J237" s="17"/>
      <c r="K237" s="17"/>
      <c r="L237" s="17"/>
      <c r="M237" s="17"/>
      <c r="N237" s="17"/>
      <c r="O237" s="17"/>
      <c r="P237" s="17"/>
      <c r="Q237" s="17"/>
    </row>
    <row r="238">
      <c r="A238" s="17"/>
      <c r="B238" s="17"/>
      <c r="C238" s="17"/>
      <c r="D238" s="17"/>
      <c r="E238" s="17"/>
      <c r="F238" s="17"/>
      <c r="G238" s="17"/>
      <c r="H238" s="17"/>
      <c r="I238" s="17"/>
      <c r="J238" s="17"/>
      <c r="K238" s="17"/>
      <c r="L238" s="17"/>
      <c r="M238" s="17"/>
      <c r="N238" s="17"/>
      <c r="O238" s="17"/>
      <c r="P238" s="17"/>
      <c r="Q238" s="17"/>
    </row>
    <row r="239">
      <c r="A239" s="17"/>
      <c r="B239" s="17"/>
      <c r="C239" s="17"/>
      <c r="D239" s="17"/>
      <c r="E239" s="17"/>
      <c r="F239" s="17"/>
      <c r="G239" s="17"/>
      <c r="H239" s="17"/>
      <c r="I239" s="17"/>
      <c r="J239" s="17"/>
      <c r="K239" s="17"/>
      <c r="L239" s="17"/>
      <c r="M239" s="17"/>
      <c r="N239" s="17"/>
      <c r="O239" s="17"/>
      <c r="P239" s="17"/>
      <c r="Q239" s="17"/>
    </row>
    <row r="240">
      <c r="A240" s="17"/>
      <c r="B240" s="17"/>
      <c r="C240" s="17"/>
      <c r="D240" s="17"/>
      <c r="E240" s="17"/>
      <c r="F240" s="17"/>
      <c r="G240" s="17"/>
      <c r="H240" s="17"/>
      <c r="I240" s="17"/>
      <c r="J240" s="17"/>
      <c r="K240" s="17"/>
      <c r="L240" s="17"/>
      <c r="M240" s="17"/>
      <c r="N240" s="17"/>
      <c r="O240" s="17"/>
      <c r="P240" s="17"/>
      <c r="Q240" s="17"/>
    </row>
    <row r="241">
      <c r="A241" s="17"/>
      <c r="B241" s="17"/>
      <c r="C241" s="17"/>
      <c r="D241" s="17"/>
      <c r="E241" s="17"/>
      <c r="F241" s="17"/>
      <c r="G241" s="17"/>
      <c r="H241" s="17"/>
      <c r="I241" s="17"/>
      <c r="J241" s="17"/>
      <c r="K241" s="17"/>
      <c r="L241" s="17"/>
      <c r="M241" s="17"/>
      <c r="N241" s="17"/>
      <c r="O241" s="17"/>
      <c r="P241" s="17"/>
      <c r="Q241" s="17"/>
    </row>
    <row r="242">
      <c r="A242" s="17"/>
      <c r="B242" s="17"/>
      <c r="C242" s="17"/>
      <c r="D242" s="17"/>
      <c r="E242" s="17"/>
      <c r="F242" s="17"/>
      <c r="G242" s="17"/>
      <c r="H242" s="17"/>
      <c r="I242" s="17"/>
      <c r="J242" s="17"/>
      <c r="K242" s="17"/>
      <c r="L242" s="17"/>
      <c r="M242" s="17"/>
      <c r="N242" s="17"/>
      <c r="O242" s="17"/>
      <c r="P242" s="17"/>
      <c r="Q242" s="17"/>
    </row>
    <row r="243">
      <c r="A243" s="17"/>
      <c r="B243" s="17"/>
      <c r="C243" s="17"/>
      <c r="D243" s="17"/>
      <c r="E243" s="17"/>
      <c r="F243" s="17"/>
      <c r="G243" s="17"/>
      <c r="H243" s="17"/>
      <c r="I243" s="17"/>
      <c r="J243" s="17"/>
      <c r="K243" s="17"/>
      <c r="L243" s="17"/>
      <c r="M243" s="17"/>
      <c r="N243" s="17"/>
      <c r="O243" s="17"/>
      <c r="P243" s="17"/>
      <c r="Q243" s="17"/>
    </row>
    <row r="244">
      <c r="A244" s="17"/>
      <c r="B244" s="17"/>
      <c r="C244" s="17"/>
      <c r="D244" s="17"/>
      <c r="E244" s="17"/>
      <c r="F244" s="17"/>
      <c r="G244" s="17"/>
      <c r="H244" s="17"/>
      <c r="I244" s="17"/>
      <c r="J244" s="17"/>
      <c r="K244" s="17"/>
      <c r="L244" s="17"/>
      <c r="M244" s="17"/>
      <c r="N244" s="17"/>
      <c r="O244" s="17"/>
      <c r="P244" s="17"/>
      <c r="Q244" s="17"/>
    </row>
    <row r="245">
      <c r="A245" s="17"/>
      <c r="B245" s="17"/>
      <c r="C245" s="17"/>
      <c r="D245" s="17"/>
      <c r="E245" s="17"/>
      <c r="F245" s="17"/>
      <c r="G245" s="17"/>
      <c r="H245" s="17"/>
      <c r="I245" s="17"/>
      <c r="J245" s="17"/>
      <c r="K245" s="17"/>
      <c r="L245" s="17"/>
      <c r="M245" s="17"/>
      <c r="N245" s="17"/>
      <c r="O245" s="17"/>
      <c r="P245" s="17"/>
      <c r="Q245" s="17"/>
    </row>
    <row r="246">
      <c r="A246" s="17"/>
      <c r="B246" s="17"/>
      <c r="C246" s="17"/>
      <c r="D246" s="17"/>
      <c r="E246" s="17"/>
      <c r="F246" s="17"/>
      <c r="G246" s="17"/>
      <c r="H246" s="17"/>
      <c r="I246" s="17"/>
      <c r="J246" s="17"/>
      <c r="K246" s="17"/>
      <c r="L246" s="17"/>
      <c r="M246" s="17"/>
      <c r="N246" s="17"/>
      <c r="O246" s="17"/>
      <c r="P246" s="17"/>
      <c r="Q246" s="17"/>
    </row>
    <row r="247">
      <c r="A247" s="17"/>
      <c r="B247" s="17"/>
      <c r="C247" s="17"/>
      <c r="D247" s="17"/>
      <c r="E247" s="17"/>
      <c r="F247" s="17"/>
      <c r="G247" s="17"/>
      <c r="H247" s="17"/>
      <c r="I247" s="17"/>
      <c r="J247" s="17"/>
      <c r="K247" s="17"/>
      <c r="L247" s="17"/>
      <c r="M247" s="17"/>
      <c r="N247" s="17"/>
      <c r="O247" s="17"/>
      <c r="P247" s="17"/>
      <c r="Q247" s="17"/>
    </row>
    <row r="248">
      <c r="A248" s="17"/>
      <c r="B248" s="17"/>
      <c r="C248" s="17"/>
      <c r="D248" s="17"/>
      <c r="E248" s="17"/>
      <c r="F248" s="17"/>
      <c r="G248" s="17"/>
      <c r="H248" s="17"/>
      <c r="I248" s="17"/>
      <c r="J248" s="17"/>
      <c r="K248" s="17"/>
      <c r="L248" s="17"/>
      <c r="M248" s="17"/>
      <c r="N248" s="17"/>
      <c r="O248" s="17"/>
      <c r="P248" s="17"/>
      <c r="Q248" s="17"/>
    </row>
    <row r="249">
      <c r="A249" s="17"/>
      <c r="B249" s="17"/>
      <c r="C249" s="17"/>
      <c r="D249" s="17"/>
      <c r="E249" s="17"/>
      <c r="F249" s="17"/>
      <c r="G249" s="17"/>
      <c r="H249" s="17"/>
      <c r="I249" s="17"/>
      <c r="J249" s="17"/>
      <c r="K249" s="17"/>
      <c r="L249" s="17"/>
      <c r="M249" s="17"/>
      <c r="N249" s="17"/>
      <c r="O249" s="17"/>
      <c r="P249" s="17"/>
      <c r="Q249" s="17"/>
    </row>
    <row r="250">
      <c r="A250" s="17"/>
      <c r="B250" s="17"/>
      <c r="C250" s="17"/>
      <c r="D250" s="17"/>
      <c r="E250" s="17"/>
      <c r="F250" s="17"/>
      <c r="G250" s="17"/>
      <c r="H250" s="17"/>
      <c r="I250" s="17"/>
      <c r="J250" s="17"/>
      <c r="K250" s="17"/>
      <c r="L250" s="17"/>
      <c r="M250" s="17"/>
      <c r="N250" s="17"/>
      <c r="O250" s="17"/>
      <c r="P250" s="17"/>
      <c r="Q250" s="17"/>
    </row>
    <row r="251">
      <c r="A251" s="17"/>
      <c r="B251" s="17"/>
      <c r="C251" s="17"/>
      <c r="D251" s="17"/>
      <c r="E251" s="17"/>
      <c r="F251" s="17"/>
      <c r="G251" s="17"/>
      <c r="H251" s="17"/>
      <c r="I251" s="17"/>
      <c r="J251" s="17"/>
      <c r="K251" s="17"/>
      <c r="L251" s="17"/>
      <c r="M251" s="17"/>
      <c r="N251" s="17"/>
      <c r="O251" s="17"/>
      <c r="P251" s="17"/>
      <c r="Q251" s="17"/>
    </row>
    <row r="252">
      <c r="A252" s="17"/>
      <c r="B252" s="17"/>
      <c r="C252" s="17"/>
      <c r="D252" s="17"/>
      <c r="E252" s="17"/>
      <c r="F252" s="17"/>
      <c r="G252" s="17"/>
      <c r="H252" s="17"/>
      <c r="I252" s="17"/>
      <c r="J252" s="17"/>
      <c r="K252" s="17"/>
      <c r="L252" s="17"/>
      <c r="M252" s="17"/>
      <c r="N252" s="17"/>
      <c r="O252" s="17"/>
      <c r="P252" s="17"/>
      <c r="Q252" s="17"/>
    </row>
    <row r="253">
      <c r="A253" s="17"/>
      <c r="B253" s="17"/>
      <c r="C253" s="17"/>
      <c r="D253" s="17"/>
      <c r="E253" s="17"/>
      <c r="F253" s="17"/>
      <c r="G253" s="17"/>
      <c r="H253" s="17"/>
      <c r="I253" s="17"/>
      <c r="J253" s="17"/>
      <c r="K253" s="17"/>
      <c r="L253" s="17"/>
      <c r="M253" s="17"/>
      <c r="N253" s="17"/>
      <c r="O253" s="17"/>
      <c r="P253" s="17"/>
      <c r="Q253" s="17"/>
    </row>
    <row r="254">
      <c r="A254" s="17"/>
      <c r="B254" s="17"/>
      <c r="C254" s="17"/>
      <c r="D254" s="17"/>
      <c r="E254" s="17"/>
      <c r="F254" s="17"/>
      <c r="G254" s="17"/>
      <c r="H254" s="17"/>
      <c r="I254" s="17"/>
      <c r="J254" s="17"/>
      <c r="K254" s="17"/>
      <c r="L254" s="17"/>
      <c r="M254" s="17"/>
      <c r="N254" s="17"/>
      <c r="O254" s="17"/>
      <c r="P254" s="17"/>
      <c r="Q254" s="17"/>
    </row>
    <row r="255">
      <c r="A255" s="17"/>
      <c r="B255" s="17"/>
      <c r="C255" s="17"/>
      <c r="D255" s="17"/>
      <c r="E255" s="17"/>
      <c r="F255" s="17"/>
      <c r="G255" s="17"/>
      <c r="H255" s="17"/>
      <c r="I255" s="17"/>
      <c r="J255" s="17"/>
      <c r="K255" s="17"/>
      <c r="L255" s="17"/>
      <c r="M255" s="17"/>
      <c r="N255" s="17"/>
      <c r="O255" s="17"/>
      <c r="P255" s="17"/>
      <c r="Q255" s="17"/>
    </row>
    <row r="256">
      <c r="A256" s="17"/>
      <c r="B256" s="17"/>
      <c r="C256" s="17"/>
      <c r="D256" s="17"/>
      <c r="E256" s="17"/>
      <c r="F256" s="17"/>
      <c r="G256" s="17"/>
      <c r="H256" s="17"/>
      <c r="I256" s="17"/>
      <c r="J256" s="17"/>
      <c r="K256" s="17"/>
      <c r="L256" s="17"/>
      <c r="M256" s="17"/>
      <c r="N256" s="17"/>
      <c r="O256" s="17"/>
      <c r="P256" s="17"/>
      <c r="Q256" s="17"/>
    </row>
    <row r="257">
      <c r="A257" s="17"/>
      <c r="B257" s="17"/>
      <c r="C257" s="17"/>
      <c r="D257" s="17"/>
      <c r="E257" s="17"/>
      <c r="F257" s="17"/>
      <c r="G257" s="17"/>
      <c r="H257" s="17"/>
      <c r="I257" s="17"/>
      <c r="J257" s="17"/>
      <c r="K257" s="17"/>
      <c r="L257" s="17"/>
      <c r="M257" s="17"/>
      <c r="N257" s="17"/>
      <c r="O257" s="17"/>
      <c r="P257" s="17"/>
      <c r="Q257" s="17"/>
    </row>
    <row r="258">
      <c r="A258" s="17"/>
      <c r="B258" s="17"/>
      <c r="C258" s="17"/>
      <c r="D258" s="17"/>
      <c r="E258" s="17"/>
      <c r="F258" s="17"/>
      <c r="G258" s="17"/>
      <c r="H258" s="17"/>
      <c r="I258" s="17"/>
      <c r="J258" s="17"/>
      <c r="K258" s="17"/>
      <c r="L258" s="17"/>
      <c r="M258" s="17"/>
      <c r="N258" s="17"/>
      <c r="O258" s="17"/>
      <c r="P258" s="17"/>
      <c r="Q258" s="17"/>
    </row>
    <row r="259">
      <c r="A259" s="17"/>
      <c r="B259" s="17"/>
      <c r="C259" s="17"/>
      <c r="D259" s="17"/>
      <c r="E259" s="17"/>
      <c r="F259" s="17"/>
      <c r="G259" s="17"/>
      <c r="H259" s="17"/>
      <c r="I259" s="17"/>
      <c r="J259" s="17"/>
      <c r="K259" s="17"/>
      <c r="L259" s="17"/>
      <c r="M259" s="17"/>
      <c r="N259" s="17"/>
      <c r="O259" s="17"/>
      <c r="P259" s="17"/>
      <c r="Q259" s="17"/>
    </row>
    <row r="260">
      <c r="A260" s="17"/>
      <c r="B260" s="17"/>
      <c r="C260" s="17"/>
      <c r="D260" s="17"/>
      <c r="E260" s="17"/>
      <c r="F260" s="17"/>
      <c r="G260" s="17"/>
      <c r="H260" s="17"/>
      <c r="I260" s="17"/>
      <c r="J260" s="17"/>
      <c r="K260" s="17"/>
      <c r="L260" s="17"/>
      <c r="M260" s="17"/>
      <c r="N260" s="17"/>
      <c r="O260" s="17"/>
      <c r="P260" s="17"/>
      <c r="Q260" s="17"/>
    </row>
    <row r="261">
      <c r="A261" s="17"/>
      <c r="B261" s="17"/>
      <c r="C261" s="17"/>
      <c r="D261" s="17"/>
      <c r="E261" s="17"/>
      <c r="F261" s="17"/>
      <c r="G261" s="17"/>
      <c r="H261" s="17"/>
      <c r="I261" s="17"/>
      <c r="J261" s="17"/>
      <c r="K261" s="17"/>
      <c r="L261" s="17"/>
      <c r="M261" s="17"/>
      <c r="N261" s="17"/>
      <c r="O261" s="17"/>
      <c r="P261" s="17"/>
      <c r="Q261" s="17"/>
    </row>
    <row r="262">
      <c r="A262" s="17"/>
      <c r="B262" s="17"/>
      <c r="C262" s="17"/>
      <c r="D262" s="17"/>
      <c r="E262" s="17"/>
      <c r="F262" s="17"/>
      <c r="G262" s="17"/>
      <c r="H262" s="17"/>
      <c r="I262" s="17"/>
      <c r="J262" s="17"/>
      <c r="K262" s="17"/>
      <c r="L262" s="17"/>
      <c r="M262" s="17"/>
      <c r="N262" s="17"/>
      <c r="O262" s="17"/>
      <c r="P262" s="17"/>
      <c r="Q262" s="17"/>
    </row>
    <row r="263">
      <c r="A263" s="17"/>
      <c r="B263" s="17"/>
      <c r="C263" s="17"/>
      <c r="D263" s="17"/>
      <c r="E263" s="17"/>
      <c r="F263" s="17"/>
      <c r="G263" s="17"/>
      <c r="H263" s="17"/>
      <c r="I263" s="17"/>
      <c r="J263" s="17"/>
      <c r="K263" s="17"/>
      <c r="L263" s="17"/>
      <c r="M263" s="17"/>
      <c r="N263" s="17"/>
      <c r="O263" s="17"/>
      <c r="P263" s="17"/>
      <c r="Q263" s="17"/>
    </row>
    <row r="264">
      <c r="A264" s="17"/>
      <c r="B264" s="17"/>
      <c r="C264" s="17"/>
      <c r="D264" s="17"/>
      <c r="E264" s="17"/>
      <c r="F264" s="17"/>
      <c r="G264" s="17"/>
      <c r="H264" s="17"/>
      <c r="I264" s="17"/>
      <c r="J264" s="17"/>
      <c r="K264" s="17"/>
      <c r="L264" s="17"/>
      <c r="M264" s="17"/>
      <c r="N264" s="17"/>
      <c r="O264" s="17"/>
      <c r="P264" s="17"/>
      <c r="Q264" s="17"/>
    </row>
    <row r="265">
      <c r="A265" s="17"/>
      <c r="B265" s="17"/>
      <c r="C265" s="17"/>
      <c r="D265" s="17"/>
      <c r="E265" s="17"/>
      <c r="F265" s="17"/>
      <c r="G265" s="17"/>
      <c r="H265" s="17"/>
      <c r="I265" s="17"/>
      <c r="J265" s="17"/>
      <c r="K265" s="17"/>
      <c r="L265" s="17"/>
      <c r="M265" s="17"/>
      <c r="N265" s="17"/>
      <c r="O265" s="17"/>
      <c r="P265" s="17"/>
      <c r="Q265" s="17"/>
    </row>
    <row r="266">
      <c r="A266" s="17"/>
      <c r="B266" s="17"/>
      <c r="C266" s="17"/>
      <c r="D266" s="17"/>
      <c r="E266" s="17"/>
      <c r="F266" s="17"/>
      <c r="G266" s="17"/>
      <c r="H266" s="17"/>
      <c r="I266" s="17"/>
      <c r="J266" s="17"/>
      <c r="K266" s="17"/>
      <c r="L266" s="17"/>
      <c r="M266" s="17"/>
      <c r="N266" s="17"/>
      <c r="O266" s="17"/>
      <c r="P266" s="17"/>
      <c r="Q266" s="17"/>
    </row>
    <row r="267">
      <c r="A267" s="17"/>
      <c r="B267" s="17"/>
      <c r="C267" s="17"/>
      <c r="D267" s="17"/>
      <c r="E267" s="17"/>
      <c r="F267" s="17"/>
      <c r="G267" s="17"/>
      <c r="H267" s="17"/>
      <c r="I267" s="17"/>
      <c r="J267" s="17"/>
      <c r="K267" s="17"/>
      <c r="L267" s="17"/>
      <c r="M267" s="17"/>
      <c r="N267" s="17"/>
      <c r="O267" s="17"/>
      <c r="P267" s="17"/>
      <c r="Q267" s="17"/>
    </row>
    <row r="268">
      <c r="A268" s="17"/>
      <c r="B268" s="17"/>
      <c r="C268" s="17"/>
      <c r="D268" s="17"/>
      <c r="E268" s="17"/>
      <c r="F268" s="17"/>
      <c r="G268" s="17"/>
      <c r="H268" s="17"/>
      <c r="I268" s="17"/>
      <c r="J268" s="17"/>
      <c r="K268" s="17"/>
      <c r="L268" s="17"/>
      <c r="M268" s="17"/>
      <c r="N268" s="17"/>
      <c r="O268" s="17"/>
      <c r="P268" s="17"/>
      <c r="Q268" s="17"/>
    </row>
    <row r="269">
      <c r="A269" s="17"/>
      <c r="B269" s="17"/>
      <c r="C269" s="17"/>
      <c r="D269" s="17"/>
      <c r="E269" s="17"/>
      <c r="F269" s="17"/>
      <c r="G269" s="17"/>
      <c r="H269" s="17"/>
      <c r="I269" s="17"/>
      <c r="J269" s="17"/>
      <c r="K269" s="17"/>
      <c r="L269" s="17"/>
      <c r="M269" s="17"/>
      <c r="N269" s="17"/>
      <c r="O269" s="17"/>
      <c r="P269" s="17"/>
      <c r="Q269" s="17"/>
    </row>
    <row r="270">
      <c r="A270" s="17"/>
      <c r="B270" s="17"/>
      <c r="C270" s="17"/>
      <c r="D270" s="17"/>
      <c r="E270" s="17"/>
      <c r="F270" s="17"/>
      <c r="G270" s="17"/>
      <c r="H270" s="17"/>
      <c r="I270" s="17"/>
      <c r="J270" s="17"/>
      <c r="K270" s="17"/>
      <c r="L270" s="17"/>
      <c r="M270" s="17"/>
      <c r="N270" s="17"/>
      <c r="O270" s="17"/>
      <c r="P270" s="17"/>
      <c r="Q270" s="17"/>
    </row>
    <row r="271">
      <c r="A271" s="17"/>
      <c r="B271" s="17"/>
      <c r="C271" s="17"/>
      <c r="D271" s="17"/>
      <c r="E271" s="17"/>
      <c r="F271" s="17"/>
      <c r="G271" s="17"/>
      <c r="H271" s="17"/>
      <c r="I271" s="17"/>
      <c r="J271" s="17"/>
      <c r="K271" s="17"/>
      <c r="L271" s="17"/>
      <c r="M271" s="17"/>
      <c r="N271" s="17"/>
      <c r="O271" s="17"/>
      <c r="P271" s="17"/>
      <c r="Q271" s="17"/>
    </row>
    <row r="272">
      <c r="A272" s="17"/>
      <c r="B272" s="17"/>
      <c r="C272" s="17"/>
      <c r="D272" s="17"/>
      <c r="E272" s="17"/>
      <c r="F272" s="17"/>
      <c r="G272" s="17"/>
      <c r="H272" s="17"/>
      <c r="I272" s="17"/>
      <c r="J272" s="17"/>
      <c r="K272" s="17"/>
      <c r="L272" s="17"/>
      <c r="M272" s="17"/>
      <c r="N272" s="17"/>
      <c r="O272" s="17"/>
      <c r="P272" s="17"/>
      <c r="Q272" s="17"/>
    </row>
    <row r="273">
      <c r="A273" s="17"/>
      <c r="B273" s="17"/>
      <c r="C273" s="17"/>
      <c r="D273" s="17"/>
      <c r="E273" s="17"/>
      <c r="F273" s="17"/>
      <c r="G273" s="17"/>
      <c r="H273" s="17"/>
      <c r="I273" s="17"/>
      <c r="J273" s="17"/>
      <c r="K273" s="17"/>
      <c r="L273" s="17"/>
      <c r="M273" s="17"/>
      <c r="N273" s="17"/>
      <c r="O273" s="17"/>
      <c r="P273" s="17"/>
      <c r="Q273" s="17"/>
    </row>
    <row r="274">
      <c r="A274" s="17"/>
      <c r="B274" s="17"/>
      <c r="C274" s="17"/>
      <c r="D274" s="17"/>
      <c r="E274" s="17"/>
      <c r="F274" s="17"/>
      <c r="G274" s="17"/>
      <c r="H274" s="17"/>
      <c r="I274" s="17"/>
      <c r="J274" s="17"/>
      <c r="K274" s="17"/>
      <c r="L274" s="17"/>
      <c r="M274" s="17"/>
      <c r="N274" s="17"/>
      <c r="O274" s="17"/>
      <c r="P274" s="17"/>
      <c r="Q274" s="17"/>
    </row>
    <row r="275">
      <c r="A275" s="17"/>
      <c r="B275" s="17"/>
      <c r="C275" s="17"/>
      <c r="D275" s="17"/>
      <c r="E275" s="17"/>
      <c r="F275" s="17"/>
      <c r="G275" s="17"/>
      <c r="H275" s="17"/>
      <c r="I275" s="17"/>
      <c r="J275" s="17"/>
      <c r="K275" s="17"/>
      <c r="L275" s="17"/>
      <c r="M275" s="17"/>
      <c r="N275" s="17"/>
      <c r="O275" s="17"/>
      <c r="P275" s="17"/>
      <c r="Q275" s="17"/>
    </row>
    <row r="276">
      <c r="A276" s="17"/>
      <c r="B276" s="17"/>
      <c r="C276" s="17"/>
      <c r="D276" s="17"/>
      <c r="E276" s="17"/>
      <c r="F276" s="17"/>
      <c r="G276" s="17"/>
      <c r="H276" s="17"/>
      <c r="I276" s="17"/>
      <c r="J276" s="17"/>
      <c r="K276" s="17"/>
      <c r="L276" s="17"/>
      <c r="M276" s="17"/>
      <c r="N276" s="17"/>
      <c r="O276" s="17"/>
      <c r="P276" s="17"/>
      <c r="Q276" s="17"/>
    </row>
    <row r="277">
      <c r="A277" s="17"/>
      <c r="B277" s="17"/>
      <c r="C277" s="17"/>
      <c r="D277" s="17"/>
      <c r="E277" s="17"/>
      <c r="F277" s="17"/>
      <c r="G277" s="17"/>
      <c r="H277" s="17"/>
      <c r="I277" s="17"/>
      <c r="J277" s="17"/>
      <c r="K277" s="17"/>
      <c r="L277" s="17"/>
      <c r="M277" s="17"/>
      <c r="N277" s="17"/>
      <c r="O277" s="17"/>
      <c r="P277" s="17"/>
      <c r="Q277" s="17"/>
    </row>
    <row r="278">
      <c r="A278" s="17"/>
      <c r="B278" s="17"/>
      <c r="C278" s="17"/>
      <c r="D278" s="17"/>
      <c r="E278" s="17"/>
      <c r="F278" s="17"/>
      <c r="G278" s="17"/>
      <c r="H278" s="17"/>
      <c r="I278" s="17"/>
      <c r="J278" s="17"/>
      <c r="K278" s="17"/>
      <c r="L278" s="17"/>
      <c r="M278" s="17"/>
      <c r="N278" s="17"/>
      <c r="O278" s="17"/>
      <c r="P278" s="17"/>
      <c r="Q278" s="17"/>
    </row>
    <row r="279">
      <c r="A279" s="17"/>
      <c r="B279" s="17"/>
      <c r="C279" s="17"/>
      <c r="D279" s="17"/>
      <c r="E279" s="17"/>
      <c r="F279" s="17"/>
      <c r="G279" s="17"/>
      <c r="H279" s="17"/>
      <c r="I279" s="17"/>
      <c r="J279" s="17"/>
      <c r="K279" s="17"/>
      <c r="L279" s="17"/>
      <c r="M279" s="17"/>
      <c r="N279" s="17"/>
      <c r="O279" s="17"/>
      <c r="P279" s="17"/>
      <c r="Q279" s="17"/>
    </row>
    <row r="280">
      <c r="A280" s="17"/>
      <c r="B280" s="17"/>
      <c r="C280" s="17"/>
      <c r="D280" s="17"/>
      <c r="E280" s="17"/>
      <c r="F280" s="17"/>
      <c r="G280" s="17"/>
      <c r="H280" s="17"/>
      <c r="I280" s="17"/>
      <c r="J280" s="17"/>
      <c r="K280" s="17"/>
      <c r="L280" s="17"/>
      <c r="M280" s="17"/>
      <c r="N280" s="17"/>
      <c r="O280" s="17"/>
      <c r="P280" s="17"/>
      <c r="Q280" s="17"/>
    </row>
    <row r="281">
      <c r="A281" s="17"/>
      <c r="B281" s="17"/>
      <c r="C281" s="17"/>
      <c r="D281" s="17"/>
      <c r="E281" s="17"/>
      <c r="F281" s="17"/>
      <c r="G281" s="17"/>
      <c r="H281" s="17"/>
      <c r="I281" s="17"/>
      <c r="J281" s="17"/>
      <c r="K281" s="17"/>
      <c r="L281" s="17"/>
      <c r="M281" s="17"/>
      <c r="N281" s="17"/>
      <c r="O281" s="17"/>
      <c r="P281" s="17"/>
      <c r="Q281" s="17"/>
    </row>
    <row r="282">
      <c r="A282" s="17"/>
      <c r="B282" s="17"/>
      <c r="C282" s="17"/>
      <c r="D282" s="17"/>
      <c r="E282" s="17"/>
      <c r="F282" s="17"/>
      <c r="G282" s="17"/>
      <c r="H282" s="17"/>
      <c r="I282" s="17"/>
      <c r="J282" s="17"/>
      <c r="K282" s="17"/>
      <c r="L282" s="17"/>
      <c r="M282" s="17"/>
      <c r="N282" s="17"/>
      <c r="O282" s="17"/>
      <c r="P282" s="17"/>
      <c r="Q282" s="17"/>
    </row>
    <row r="283">
      <c r="A283" s="17"/>
      <c r="B283" s="17"/>
      <c r="C283" s="17"/>
      <c r="D283" s="17"/>
      <c r="E283" s="17"/>
      <c r="F283" s="17"/>
      <c r="G283" s="17"/>
      <c r="H283" s="17"/>
      <c r="I283" s="17"/>
      <c r="J283" s="17"/>
      <c r="K283" s="17"/>
      <c r="L283" s="17"/>
      <c r="M283" s="17"/>
      <c r="N283" s="17"/>
      <c r="O283" s="17"/>
      <c r="P283" s="17"/>
      <c r="Q283" s="17"/>
    </row>
    <row r="284">
      <c r="A284" s="17"/>
      <c r="B284" s="17"/>
      <c r="C284" s="17"/>
      <c r="D284" s="17"/>
      <c r="E284" s="17"/>
      <c r="F284" s="17"/>
      <c r="G284" s="17"/>
      <c r="H284" s="17"/>
      <c r="I284" s="17"/>
      <c r="J284" s="17"/>
      <c r="K284" s="17"/>
      <c r="L284" s="17"/>
      <c r="M284" s="17"/>
      <c r="N284" s="17"/>
      <c r="O284" s="17"/>
      <c r="P284" s="17"/>
      <c r="Q284" s="17"/>
    </row>
    <row r="285">
      <c r="A285" s="17"/>
      <c r="B285" s="17"/>
      <c r="C285" s="17"/>
      <c r="D285" s="17"/>
      <c r="E285" s="17"/>
      <c r="F285" s="17"/>
      <c r="G285" s="17"/>
      <c r="H285" s="17"/>
      <c r="I285" s="17"/>
      <c r="J285" s="17"/>
      <c r="K285" s="17"/>
      <c r="L285" s="17"/>
      <c r="M285" s="17"/>
      <c r="N285" s="17"/>
      <c r="O285" s="17"/>
      <c r="P285" s="17"/>
      <c r="Q285" s="17"/>
    </row>
    <row r="286">
      <c r="A286" s="17"/>
      <c r="B286" s="17"/>
      <c r="C286" s="17"/>
      <c r="D286" s="17"/>
      <c r="E286" s="17"/>
      <c r="F286" s="17"/>
      <c r="G286" s="17"/>
      <c r="H286" s="17"/>
      <c r="I286" s="17"/>
      <c r="J286" s="17"/>
      <c r="K286" s="17"/>
      <c r="L286" s="17"/>
      <c r="M286" s="17"/>
      <c r="N286" s="17"/>
      <c r="O286" s="17"/>
      <c r="P286" s="17"/>
      <c r="Q286" s="17"/>
    </row>
    <row r="287">
      <c r="A287" s="17"/>
      <c r="B287" s="17"/>
      <c r="C287" s="17"/>
      <c r="D287" s="17"/>
      <c r="E287" s="17"/>
      <c r="F287" s="17"/>
      <c r="G287" s="17"/>
      <c r="H287" s="17"/>
      <c r="I287" s="17"/>
      <c r="J287" s="17"/>
      <c r="K287" s="17"/>
      <c r="L287" s="17"/>
      <c r="M287" s="17"/>
      <c r="N287" s="17"/>
      <c r="O287" s="17"/>
      <c r="P287" s="17"/>
      <c r="Q287" s="17"/>
    </row>
    <row r="288">
      <c r="A288" s="17"/>
      <c r="B288" s="17"/>
      <c r="C288" s="17"/>
      <c r="D288" s="17"/>
      <c r="E288" s="17"/>
      <c r="F288" s="17"/>
      <c r="G288" s="17"/>
      <c r="H288" s="17"/>
      <c r="I288" s="17"/>
      <c r="J288" s="17"/>
      <c r="K288" s="17"/>
      <c r="L288" s="17"/>
      <c r="M288" s="17"/>
      <c r="N288" s="17"/>
      <c r="O288" s="17"/>
      <c r="P288" s="17"/>
      <c r="Q288" s="17"/>
    </row>
    <row r="289">
      <c r="A289" s="17"/>
      <c r="B289" s="17"/>
      <c r="C289" s="17"/>
      <c r="D289" s="17"/>
      <c r="E289" s="17"/>
      <c r="F289" s="17"/>
      <c r="G289" s="17"/>
      <c r="H289" s="17"/>
      <c r="I289" s="17"/>
      <c r="J289" s="17"/>
      <c r="K289" s="17"/>
      <c r="L289" s="17"/>
      <c r="M289" s="17"/>
      <c r="N289" s="17"/>
      <c r="O289" s="17"/>
      <c r="P289" s="17"/>
      <c r="Q289" s="17"/>
    </row>
    <row r="290">
      <c r="A290" s="17"/>
      <c r="B290" s="17"/>
      <c r="C290" s="17"/>
      <c r="D290" s="17"/>
      <c r="E290" s="17"/>
      <c r="F290" s="17"/>
      <c r="G290" s="17"/>
      <c r="H290" s="17"/>
      <c r="I290" s="17"/>
      <c r="J290" s="17"/>
      <c r="K290" s="17"/>
      <c r="L290" s="17"/>
      <c r="M290" s="17"/>
      <c r="N290" s="17"/>
      <c r="O290" s="17"/>
      <c r="P290" s="17"/>
      <c r="Q290" s="17"/>
    </row>
    <row r="291">
      <c r="A291" s="17"/>
      <c r="B291" s="17"/>
      <c r="C291" s="17"/>
      <c r="D291" s="17"/>
      <c r="E291" s="17"/>
      <c r="F291" s="17"/>
      <c r="G291" s="17"/>
      <c r="H291" s="17"/>
      <c r="I291" s="17"/>
      <c r="J291" s="17"/>
      <c r="K291" s="17"/>
      <c r="L291" s="17"/>
      <c r="M291" s="17"/>
      <c r="N291" s="17"/>
      <c r="O291" s="17"/>
      <c r="P291" s="17"/>
      <c r="Q291" s="17"/>
    </row>
    <row r="292">
      <c r="A292" s="17"/>
      <c r="B292" s="17"/>
      <c r="C292" s="17"/>
      <c r="D292" s="17"/>
      <c r="E292" s="17"/>
      <c r="F292" s="17"/>
      <c r="G292" s="17"/>
      <c r="H292" s="17"/>
      <c r="I292" s="17"/>
      <c r="J292" s="17"/>
      <c r="K292" s="17"/>
      <c r="L292" s="17"/>
      <c r="M292" s="17"/>
      <c r="N292" s="17"/>
      <c r="O292" s="17"/>
      <c r="P292" s="17"/>
      <c r="Q292" s="17"/>
    </row>
    <row r="293">
      <c r="A293" s="17"/>
      <c r="B293" s="17"/>
      <c r="C293" s="17"/>
      <c r="D293" s="17"/>
      <c r="E293" s="17"/>
      <c r="F293" s="17"/>
      <c r="G293" s="17"/>
      <c r="H293" s="17"/>
      <c r="I293" s="17"/>
      <c r="J293" s="17"/>
      <c r="K293" s="17"/>
      <c r="L293" s="17"/>
      <c r="M293" s="17"/>
      <c r="N293" s="17"/>
      <c r="O293" s="17"/>
      <c r="P293" s="17"/>
      <c r="Q293" s="17"/>
    </row>
    <row r="294">
      <c r="A294" s="17"/>
      <c r="B294" s="17"/>
      <c r="C294" s="17"/>
      <c r="D294" s="17"/>
      <c r="E294" s="17"/>
      <c r="F294" s="17"/>
      <c r="G294" s="17"/>
      <c r="H294" s="17"/>
      <c r="I294" s="17"/>
      <c r="J294" s="17"/>
      <c r="K294" s="17"/>
      <c r="L294" s="17"/>
      <c r="M294" s="17"/>
      <c r="N294" s="17"/>
      <c r="O294" s="17"/>
      <c r="P294" s="17"/>
      <c r="Q294" s="17"/>
    </row>
    <row r="295">
      <c r="A295" s="17"/>
      <c r="B295" s="17"/>
      <c r="C295" s="17"/>
      <c r="D295" s="17"/>
      <c r="E295" s="17"/>
      <c r="F295" s="17"/>
      <c r="G295" s="17"/>
      <c r="H295" s="17"/>
      <c r="I295" s="17"/>
      <c r="J295" s="17"/>
      <c r="K295" s="17"/>
      <c r="L295" s="17"/>
      <c r="M295" s="17"/>
      <c r="N295" s="17"/>
      <c r="O295" s="17"/>
      <c r="P295" s="17"/>
      <c r="Q295" s="17"/>
    </row>
    <row r="296">
      <c r="A296" s="17"/>
      <c r="B296" s="17"/>
      <c r="C296" s="17"/>
      <c r="D296" s="17"/>
      <c r="E296" s="17"/>
      <c r="F296" s="17"/>
      <c r="G296" s="17"/>
      <c r="H296" s="17"/>
      <c r="I296" s="17"/>
      <c r="J296" s="17"/>
      <c r="K296" s="17"/>
      <c r="L296" s="17"/>
      <c r="M296" s="17"/>
      <c r="N296" s="17"/>
      <c r="O296" s="17"/>
      <c r="P296" s="17"/>
      <c r="Q296" s="17"/>
    </row>
    <row r="297">
      <c r="A297" s="17"/>
      <c r="B297" s="17"/>
      <c r="C297" s="17"/>
      <c r="D297" s="17"/>
      <c r="E297" s="17"/>
      <c r="F297" s="17"/>
      <c r="G297" s="17"/>
      <c r="H297" s="17"/>
      <c r="I297" s="17"/>
      <c r="J297" s="17"/>
      <c r="K297" s="17"/>
      <c r="L297" s="17"/>
      <c r="M297" s="17"/>
      <c r="N297" s="17"/>
      <c r="O297" s="17"/>
      <c r="P297" s="17"/>
      <c r="Q297" s="17"/>
    </row>
    <row r="298">
      <c r="A298" s="17"/>
      <c r="B298" s="17"/>
      <c r="C298" s="17"/>
      <c r="D298" s="17"/>
      <c r="E298" s="17"/>
      <c r="F298" s="17"/>
      <c r="G298" s="17"/>
      <c r="H298" s="17"/>
      <c r="I298" s="17"/>
      <c r="J298" s="17"/>
      <c r="K298" s="17"/>
      <c r="L298" s="17"/>
      <c r="M298" s="17"/>
      <c r="N298" s="17"/>
      <c r="O298" s="17"/>
      <c r="P298" s="17"/>
      <c r="Q298" s="17"/>
    </row>
    <row r="299">
      <c r="A299" s="17"/>
      <c r="B299" s="17"/>
      <c r="C299" s="17"/>
      <c r="D299" s="17"/>
      <c r="E299" s="17"/>
      <c r="F299" s="17"/>
      <c r="G299" s="17"/>
      <c r="H299" s="17"/>
      <c r="I299" s="17"/>
      <c r="J299" s="17"/>
      <c r="K299" s="17"/>
      <c r="L299" s="17"/>
      <c r="M299" s="17"/>
      <c r="N299" s="17"/>
      <c r="O299" s="17"/>
      <c r="P299" s="17"/>
      <c r="Q299" s="17"/>
    </row>
    <row r="300">
      <c r="A300" s="17"/>
      <c r="B300" s="17"/>
      <c r="C300" s="17"/>
      <c r="D300" s="17"/>
      <c r="E300" s="17"/>
      <c r="F300" s="17"/>
      <c r="G300" s="17"/>
      <c r="H300" s="17"/>
      <c r="I300" s="17"/>
      <c r="J300" s="17"/>
      <c r="K300" s="17"/>
      <c r="L300" s="17"/>
      <c r="M300" s="17"/>
      <c r="N300" s="17"/>
      <c r="O300" s="17"/>
      <c r="P300" s="17"/>
      <c r="Q300" s="17"/>
    </row>
    <row r="301">
      <c r="A301" s="17"/>
      <c r="B301" s="17"/>
      <c r="C301" s="17"/>
      <c r="D301" s="17"/>
      <c r="E301" s="17"/>
      <c r="F301" s="17"/>
      <c r="G301" s="17"/>
      <c r="H301" s="17"/>
      <c r="I301" s="17"/>
      <c r="J301" s="17"/>
      <c r="K301" s="17"/>
      <c r="L301" s="17"/>
      <c r="M301" s="17"/>
      <c r="N301" s="17"/>
      <c r="O301" s="17"/>
      <c r="P301" s="17"/>
      <c r="Q301" s="17"/>
    </row>
    <row r="302">
      <c r="A302" s="17"/>
      <c r="B302" s="17"/>
      <c r="C302" s="17"/>
      <c r="D302" s="17"/>
      <c r="E302" s="17"/>
      <c r="F302" s="17"/>
      <c r="G302" s="17"/>
      <c r="H302" s="17"/>
      <c r="I302" s="17"/>
      <c r="J302" s="17"/>
      <c r="K302" s="17"/>
      <c r="L302" s="17"/>
      <c r="M302" s="17"/>
      <c r="N302" s="17"/>
      <c r="O302" s="17"/>
      <c r="P302" s="17"/>
      <c r="Q302" s="17"/>
    </row>
    <row r="303">
      <c r="A303" s="17"/>
      <c r="B303" s="17"/>
      <c r="C303" s="17"/>
      <c r="D303" s="17"/>
      <c r="E303" s="17"/>
      <c r="F303" s="17"/>
      <c r="G303" s="17"/>
      <c r="H303" s="17"/>
      <c r="I303" s="17"/>
      <c r="J303" s="17"/>
      <c r="K303" s="17"/>
      <c r="L303" s="17"/>
      <c r="M303" s="17"/>
      <c r="N303" s="17"/>
      <c r="O303" s="17"/>
      <c r="P303" s="17"/>
      <c r="Q303" s="17"/>
    </row>
    <row r="304">
      <c r="A304" s="17"/>
      <c r="B304" s="17"/>
      <c r="C304" s="17"/>
      <c r="D304" s="17"/>
      <c r="E304" s="17"/>
      <c r="F304" s="17"/>
      <c r="G304" s="17"/>
      <c r="H304" s="17"/>
      <c r="I304" s="17"/>
      <c r="J304" s="17"/>
      <c r="K304" s="17"/>
      <c r="L304" s="17"/>
      <c r="M304" s="17"/>
      <c r="N304" s="17"/>
      <c r="O304" s="17"/>
      <c r="P304" s="17"/>
      <c r="Q304" s="17"/>
    </row>
    <row r="305">
      <c r="A305" s="17"/>
      <c r="B305" s="17"/>
      <c r="C305" s="17"/>
      <c r="D305" s="17"/>
      <c r="E305" s="17"/>
      <c r="F305" s="17"/>
      <c r="G305" s="17"/>
      <c r="H305" s="17"/>
      <c r="I305" s="17"/>
      <c r="J305" s="17"/>
      <c r="K305" s="17"/>
      <c r="L305" s="17"/>
      <c r="M305" s="17"/>
      <c r="N305" s="17"/>
      <c r="O305" s="17"/>
      <c r="P305" s="17"/>
      <c r="Q305" s="17"/>
    </row>
    <row r="306">
      <c r="A306" s="17"/>
      <c r="B306" s="17"/>
      <c r="C306" s="17"/>
      <c r="D306" s="17"/>
      <c r="E306" s="17"/>
      <c r="F306" s="17"/>
      <c r="G306" s="17"/>
      <c r="H306" s="17"/>
      <c r="I306" s="17"/>
      <c r="J306" s="17"/>
      <c r="K306" s="17"/>
      <c r="L306" s="17"/>
      <c r="M306" s="17"/>
      <c r="N306" s="17"/>
      <c r="O306" s="17"/>
      <c r="P306" s="17"/>
      <c r="Q306" s="17"/>
    </row>
    <row r="307">
      <c r="A307" s="17"/>
      <c r="B307" s="17"/>
      <c r="C307" s="17"/>
      <c r="D307" s="17"/>
      <c r="E307" s="17"/>
      <c r="F307" s="17"/>
      <c r="G307" s="17"/>
      <c r="H307" s="17"/>
      <c r="I307" s="17"/>
      <c r="J307" s="17"/>
      <c r="K307" s="17"/>
      <c r="L307" s="17"/>
      <c r="M307" s="17"/>
      <c r="N307" s="17"/>
      <c r="O307" s="17"/>
      <c r="P307" s="17"/>
      <c r="Q307" s="17"/>
    </row>
    <row r="308">
      <c r="A308" s="17"/>
      <c r="B308" s="17"/>
      <c r="C308" s="17"/>
      <c r="D308" s="17"/>
      <c r="E308" s="17"/>
      <c r="F308" s="17"/>
      <c r="G308" s="17"/>
      <c r="H308" s="17"/>
      <c r="I308" s="17"/>
      <c r="J308" s="17"/>
      <c r="K308" s="17"/>
      <c r="L308" s="17"/>
      <c r="M308" s="17"/>
      <c r="N308" s="17"/>
      <c r="O308" s="17"/>
      <c r="P308" s="17"/>
      <c r="Q308" s="17"/>
    </row>
    <row r="309">
      <c r="A309" s="17"/>
      <c r="B309" s="17"/>
      <c r="C309" s="17"/>
      <c r="D309" s="17"/>
      <c r="E309" s="17"/>
      <c r="F309" s="17"/>
      <c r="G309" s="17"/>
      <c r="H309" s="17"/>
      <c r="I309" s="17"/>
      <c r="J309" s="17"/>
      <c r="K309" s="17"/>
      <c r="L309" s="17"/>
      <c r="M309" s="17"/>
      <c r="N309" s="17"/>
      <c r="O309" s="17"/>
      <c r="P309" s="17"/>
      <c r="Q309" s="17"/>
    </row>
    <row r="310">
      <c r="A310" s="17"/>
      <c r="B310" s="17"/>
      <c r="C310" s="17"/>
      <c r="D310" s="17"/>
      <c r="E310" s="17"/>
      <c r="F310" s="17"/>
      <c r="G310" s="17"/>
      <c r="H310" s="17"/>
      <c r="I310" s="17"/>
      <c r="J310" s="17"/>
      <c r="K310" s="17"/>
      <c r="L310" s="17"/>
      <c r="M310" s="17"/>
      <c r="N310" s="17"/>
      <c r="O310" s="17"/>
      <c r="P310" s="17"/>
      <c r="Q310" s="17"/>
    </row>
    <row r="311">
      <c r="A311" s="17"/>
      <c r="B311" s="17"/>
      <c r="C311" s="17"/>
      <c r="D311" s="17"/>
      <c r="E311" s="17"/>
      <c r="F311" s="17"/>
      <c r="G311" s="17"/>
      <c r="H311" s="17"/>
      <c r="I311" s="17"/>
      <c r="J311" s="17"/>
      <c r="K311" s="17"/>
      <c r="L311" s="17"/>
      <c r="M311" s="17"/>
      <c r="N311" s="17"/>
      <c r="O311" s="17"/>
      <c r="P311" s="17"/>
      <c r="Q311" s="17"/>
    </row>
    <row r="312">
      <c r="A312" s="17"/>
      <c r="B312" s="17"/>
      <c r="C312" s="17"/>
      <c r="D312" s="17"/>
      <c r="E312" s="17"/>
      <c r="F312" s="17"/>
      <c r="G312" s="17"/>
      <c r="H312" s="17"/>
      <c r="I312" s="17"/>
      <c r="J312" s="17"/>
      <c r="K312" s="17"/>
      <c r="L312" s="17"/>
      <c r="M312" s="17"/>
      <c r="N312" s="17"/>
      <c r="O312" s="17"/>
      <c r="P312" s="17"/>
      <c r="Q312" s="17"/>
    </row>
    <row r="313">
      <c r="A313" s="17"/>
      <c r="B313" s="17"/>
      <c r="C313" s="17"/>
      <c r="D313" s="17"/>
      <c r="E313" s="17"/>
      <c r="F313" s="17"/>
      <c r="G313" s="17"/>
      <c r="H313" s="17"/>
      <c r="I313" s="17"/>
      <c r="J313" s="17"/>
      <c r="K313" s="17"/>
      <c r="L313" s="17"/>
      <c r="M313" s="17"/>
      <c r="N313" s="17"/>
      <c r="O313" s="17"/>
      <c r="P313" s="17"/>
      <c r="Q313" s="17"/>
    </row>
    <row r="314">
      <c r="A314" s="17"/>
      <c r="B314" s="17"/>
      <c r="C314" s="17"/>
      <c r="D314" s="17"/>
      <c r="E314" s="17"/>
      <c r="F314" s="17"/>
      <c r="G314" s="17"/>
      <c r="H314" s="17"/>
      <c r="I314" s="17"/>
      <c r="J314" s="17"/>
      <c r="K314" s="17"/>
      <c r="L314" s="17"/>
      <c r="M314" s="17"/>
      <c r="N314" s="17"/>
      <c r="O314" s="17"/>
      <c r="P314" s="17"/>
      <c r="Q314" s="17"/>
    </row>
    <row r="315">
      <c r="A315" s="17"/>
      <c r="B315" s="17"/>
      <c r="C315" s="17"/>
      <c r="D315" s="17"/>
      <c r="E315" s="17"/>
      <c r="F315" s="17"/>
      <c r="G315" s="17"/>
      <c r="H315" s="17"/>
      <c r="I315" s="17"/>
      <c r="J315" s="17"/>
      <c r="K315" s="17"/>
      <c r="L315" s="17"/>
      <c r="M315" s="17"/>
      <c r="N315" s="17"/>
      <c r="O315" s="17"/>
      <c r="P315" s="17"/>
      <c r="Q315" s="17"/>
    </row>
    <row r="316">
      <c r="A316" s="17"/>
      <c r="B316" s="17"/>
      <c r="C316" s="17"/>
      <c r="D316" s="17"/>
      <c r="E316" s="17"/>
      <c r="F316" s="17"/>
      <c r="G316" s="17"/>
      <c r="H316" s="17"/>
      <c r="I316" s="17"/>
      <c r="J316" s="17"/>
      <c r="K316" s="17"/>
      <c r="L316" s="17"/>
      <c r="M316" s="17"/>
      <c r="N316" s="17"/>
      <c r="O316" s="17"/>
      <c r="P316" s="17"/>
      <c r="Q316" s="17"/>
    </row>
    <row r="317">
      <c r="A317" s="17"/>
      <c r="B317" s="17"/>
      <c r="C317" s="17"/>
      <c r="D317" s="17"/>
      <c r="E317" s="17"/>
      <c r="F317" s="17"/>
      <c r="G317" s="17"/>
      <c r="H317" s="17"/>
      <c r="I317" s="17"/>
      <c r="J317" s="17"/>
      <c r="K317" s="17"/>
      <c r="L317" s="17"/>
      <c r="M317" s="17"/>
      <c r="N317" s="17"/>
      <c r="O317" s="17"/>
      <c r="P317" s="17"/>
      <c r="Q317" s="17"/>
    </row>
    <row r="318">
      <c r="A318" s="17"/>
      <c r="B318" s="17"/>
      <c r="C318" s="17"/>
      <c r="D318" s="17"/>
      <c r="E318" s="17"/>
      <c r="F318" s="17"/>
      <c r="G318" s="17"/>
      <c r="H318" s="17"/>
      <c r="I318" s="17"/>
      <c r="J318" s="17"/>
      <c r="K318" s="17"/>
      <c r="L318" s="17"/>
      <c r="M318" s="17"/>
      <c r="N318" s="17"/>
      <c r="O318" s="17"/>
      <c r="P318" s="17"/>
      <c r="Q318" s="17"/>
    </row>
    <row r="319">
      <c r="A319" s="17"/>
      <c r="B319" s="17"/>
      <c r="C319" s="17"/>
      <c r="D319" s="17"/>
      <c r="E319" s="17"/>
      <c r="F319" s="17"/>
      <c r="G319" s="17"/>
      <c r="H319" s="17"/>
      <c r="I319" s="17"/>
      <c r="J319" s="17"/>
      <c r="K319" s="17"/>
      <c r="L319" s="17"/>
      <c r="M319" s="17"/>
      <c r="N319" s="17"/>
      <c r="O319" s="17"/>
      <c r="P319" s="17"/>
      <c r="Q319" s="17"/>
    </row>
    <row r="320">
      <c r="A320" s="17"/>
      <c r="B320" s="17"/>
      <c r="C320" s="17"/>
      <c r="D320" s="17"/>
      <c r="E320" s="17"/>
      <c r="F320" s="17"/>
      <c r="G320" s="17"/>
      <c r="H320" s="17"/>
      <c r="I320" s="17"/>
      <c r="J320" s="17"/>
      <c r="K320" s="17"/>
      <c r="L320" s="17"/>
      <c r="M320" s="17"/>
      <c r="N320" s="17"/>
      <c r="O320" s="17"/>
      <c r="P320" s="17"/>
      <c r="Q320" s="17"/>
    </row>
    <row r="321">
      <c r="A321" s="17"/>
      <c r="B321" s="17"/>
      <c r="C321" s="17"/>
      <c r="D321" s="17"/>
      <c r="E321" s="17"/>
      <c r="F321" s="17"/>
      <c r="G321" s="17"/>
      <c r="H321" s="17"/>
      <c r="I321" s="17"/>
      <c r="J321" s="17"/>
      <c r="K321" s="17"/>
      <c r="L321" s="17"/>
      <c r="M321" s="17"/>
      <c r="N321" s="17"/>
      <c r="O321" s="17"/>
      <c r="P321" s="17"/>
      <c r="Q321" s="17"/>
    </row>
    <row r="322">
      <c r="A322" s="17"/>
      <c r="B322" s="17"/>
      <c r="C322" s="17"/>
      <c r="D322" s="17"/>
      <c r="E322" s="17"/>
      <c r="F322" s="17"/>
      <c r="G322" s="17"/>
      <c r="H322" s="17"/>
      <c r="I322" s="17"/>
      <c r="J322" s="17"/>
      <c r="K322" s="17"/>
      <c r="L322" s="17"/>
      <c r="M322" s="17"/>
      <c r="N322" s="17"/>
      <c r="O322" s="17"/>
      <c r="P322" s="17"/>
      <c r="Q322" s="17"/>
    </row>
    <row r="323">
      <c r="A323" s="17"/>
      <c r="B323" s="17"/>
      <c r="C323" s="17"/>
      <c r="D323" s="17"/>
      <c r="E323" s="17"/>
      <c r="F323" s="17"/>
      <c r="G323" s="17"/>
      <c r="H323" s="17"/>
      <c r="I323" s="17"/>
      <c r="J323" s="17"/>
      <c r="K323" s="17"/>
      <c r="L323" s="17"/>
      <c r="M323" s="17"/>
      <c r="N323" s="17"/>
      <c r="O323" s="17"/>
      <c r="P323" s="17"/>
      <c r="Q323" s="17"/>
    </row>
    <row r="324">
      <c r="A324" s="17"/>
      <c r="B324" s="17"/>
      <c r="C324" s="17"/>
      <c r="D324" s="17"/>
      <c r="E324" s="17"/>
      <c r="F324" s="17"/>
      <c r="G324" s="17"/>
      <c r="H324" s="17"/>
      <c r="I324" s="17"/>
      <c r="J324" s="17"/>
      <c r="K324" s="17"/>
      <c r="L324" s="17"/>
      <c r="M324" s="17"/>
      <c r="N324" s="17"/>
      <c r="O324" s="17"/>
      <c r="P324" s="17"/>
      <c r="Q324" s="17"/>
    </row>
    <row r="325">
      <c r="A325" s="17"/>
      <c r="B325" s="17"/>
      <c r="C325" s="17"/>
      <c r="D325" s="17"/>
      <c r="E325" s="17"/>
      <c r="F325" s="17"/>
      <c r="G325" s="17"/>
      <c r="H325" s="17"/>
      <c r="I325" s="17"/>
      <c r="J325" s="17"/>
      <c r="K325" s="17"/>
      <c r="L325" s="17"/>
      <c r="M325" s="17"/>
      <c r="N325" s="17"/>
      <c r="O325" s="17"/>
      <c r="P325" s="17"/>
      <c r="Q325" s="17"/>
    </row>
    <row r="326">
      <c r="A326" s="17"/>
      <c r="B326" s="17"/>
      <c r="C326" s="17"/>
      <c r="D326" s="17"/>
      <c r="E326" s="17"/>
      <c r="F326" s="17"/>
      <c r="G326" s="17"/>
      <c r="H326" s="17"/>
      <c r="I326" s="17"/>
      <c r="J326" s="17"/>
      <c r="K326" s="17"/>
      <c r="L326" s="17"/>
      <c r="M326" s="17"/>
      <c r="N326" s="17"/>
      <c r="O326" s="17"/>
      <c r="P326" s="17"/>
      <c r="Q326" s="17"/>
    </row>
    <row r="327">
      <c r="A327" s="17"/>
      <c r="B327" s="17"/>
      <c r="C327" s="17"/>
      <c r="D327" s="17"/>
      <c r="E327" s="17"/>
      <c r="F327" s="17"/>
      <c r="G327" s="17"/>
      <c r="H327" s="17"/>
      <c r="I327" s="17"/>
      <c r="J327" s="17"/>
      <c r="K327" s="17"/>
      <c r="L327" s="17"/>
      <c r="M327" s="17"/>
      <c r="N327" s="17"/>
      <c r="O327" s="17"/>
      <c r="P327" s="17"/>
      <c r="Q327" s="17"/>
    </row>
    <row r="328">
      <c r="A328" s="17"/>
      <c r="B328" s="17"/>
      <c r="C328" s="17"/>
      <c r="D328" s="17"/>
      <c r="E328" s="17"/>
      <c r="F328" s="17"/>
      <c r="G328" s="17"/>
      <c r="H328" s="17"/>
      <c r="I328" s="17"/>
      <c r="J328" s="17"/>
      <c r="K328" s="17"/>
      <c r="L328" s="17"/>
      <c r="M328" s="17"/>
      <c r="N328" s="17"/>
      <c r="O328" s="17"/>
      <c r="P328" s="17"/>
      <c r="Q328" s="17"/>
    </row>
    <row r="329">
      <c r="A329" s="17"/>
      <c r="B329" s="17"/>
      <c r="C329" s="17"/>
      <c r="D329" s="17"/>
      <c r="E329" s="17"/>
      <c r="F329" s="17"/>
      <c r="G329" s="17"/>
      <c r="H329" s="17"/>
      <c r="I329" s="17"/>
      <c r="J329" s="17"/>
      <c r="K329" s="17"/>
      <c r="L329" s="17"/>
      <c r="M329" s="17"/>
      <c r="N329" s="17"/>
      <c r="O329" s="17"/>
      <c r="P329" s="17"/>
      <c r="Q329" s="17"/>
    </row>
    <row r="330">
      <c r="A330" s="17"/>
      <c r="B330" s="17"/>
      <c r="C330" s="17"/>
      <c r="D330" s="17"/>
      <c r="E330" s="17"/>
      <c r="F330" s="17"/>
      <c r="G330" s="17"/>
      <c r="H330" s="17"/>
      <c r="I330" s="17"/>
      <c r="J330" s="17"/>
      <c r="K330" s="17"/>
      <c r="L330" s="17"/>
      <c r="M330" s="17"/>
      <c r="N330" s="17"/>
      <c r="O330" s="17"/>
      <c r="P330" s="17"/>
      <c r="Q330" s="17"/>
    </row>
    <row r="331">
      <c r="A331" s="17"/>
      <c r="B331" s="17"/>
      <c r="C331" s="17"/>
      <c r="D331" s="17"/>
      <c r="E331" s="17"/>
      <c r="F331" s="17"/>
      <c r="G331" s="17"/>
      <c r="H331" s="17"/>
      <c r="I331" s="17"/>
      <c r="J331" s="17"/>
      <c r="K331" s="17"/>
      <c r="L331" s="17"/>
      <c r="M331" s="17"/>
      <c r="N331" s="17"/>
      <c r="O331" s="17"/>
      <c r="P331" s="17"/>
      <c r="Q331" s="17"/>
    </row>
    <row r="332">
      <c r="A332" s="17"/>
      <c r="B332" s="17"/>
      <c r="C332" s="17"/>
      <c r="D332" s="17"/>
      <c r="E332" s="17"/>
      <c r="F332" s="17"/>
      <c r="G332" s="17"/>
      <c r="H332" s="17"/>
      <c r="I332" s="17"/>
      <c r="J332" s="17"/>
      <c r="K332" s="17"/>
      <c r="L332" s="17"/>
      <c r="M332" s="17"/>
      <c r="N332" s="17"/>
      <c r="O332" s="17"/>
      <c r="P332" s="17"/>
      <c r="Q332" s="17"/>
    </row>
    <row r="333">
      <c r="A333" s="17"/>
      <c r="B333" s="17"/>
      <c r="C333" s="17"/>
      <c r="D333" s="17"/>
      <c r="E333" s="17"/>
      <c r="F333" s="17"/>
      <c r="G333" s="17"/>
      <c r="H333" s="17"/>
      <c r="I333" s="17"/>
      <c r="J333" s="17"/>
      <c r="K333" s="17"/>
      <c r="L333" s="17"/>
      <c r="M333" s="17"/>
      <c r="N333" s="17"/>
      <c r="O333" s="17"/>
      <c r="P333" s="17"/>
      <c r="Q333" s="17"/>
    </row>
    <row r="334">
      <c r="A334" s="17"/>
      <c r="B334" s="17"/>
      <c r="C334" s="17"/>
      <c r="D334" s="17"/>
      <c r="E334" s="17"/>
      <c r="F334" s="17"/>
      <c r="G334" s="17"/>
      <c r="H334" s="17"/>
      <c r="I334" s="17"/>
      <c r="J334" s="17"/>
      <c r="K334" s="17"/>
      <c r="L334" s="17"/>
      <c r="M334" s="17"/>
      <c r="N334" s="17"/>
      <c r="O334" s="17"/>
      <c r="P334" s="17"/>
      <c r="Q334" s="17"/>
    </row>
    <row r="335">
      <c r="A335" s="17"/>
      <c r="B335" s="17"/>
      <c r="C335" s="17"/>
      <c r="D335" s="17"/>
      <c r="E335" s="17"/>
      <c r="F335" s="17"/>
      <c r="G335" s="17"/>
      <c r="H335" s="17"/>
      <c r="I335" s="17"/>
      <c r="J335" s="17"/>
      <c r="K335" s="17"/>
      <c r="L335" s="17"/>
      <c r="M335" s="17"/>
      <c r="N335" s="17"/>
      <c r="O335" s="17"/>
      <c r="P335" s="17"/>
      <c r="Q335" s="17"/>
    </row>
    <row r="336">
      <c r="A336" s="17"/>
      <c r="B336" s="17"/>
      <c r="C336" s="17"/>
      <c r="D336" s="17"/>
      <c r="E336" s="17"/>
      <c r="F336" s="17"/>
      <c r="G336" s="17"/>
      <c r="H336" s="17"/>
      <c r="I336" s="17"/>
      <c r="J336" s="17"/>
      <c r="K336" s="17"/>
      <c r="L336" s="17"/>
      <c r="M336" s="17"/>
      <c r="N336" s="17"/>
      <c r="O336" s="17"/>
      <c r="P336" s="17"/>
      <c r="Q336" s="17"/>
    </row>
    <row r="337">
      <c r="A337" s="17"/>
      <c r="B337" s="17"/>
      <c r="C337" s="17"/>
      <c r="D337" s="17"/>
      <c r="E337" s="17"/>
      <c r="F337" s="17"/>
      <c r="G337" s="17"/>
      <c r="H337" s="17"/>
      <c r="I337" s="17"/>
      <c r="J337" s="17"/>
      <c r="K337" s="17"/>
      <c r="L337" s="17"/>
      <c r="M337" s="17"/>
      <c r="N337" s="17"/>
      <c r="O337" s="17"/>
      <c r="P337" s="17"/>
      <c r="Q337" s="17"/>
    </row>
    <row r="338">
      <c r="A338" s="17"/>
      <c r="B338" s="17"/>
      <c r="C338" s="17"/>
      <c r="D338" s="17"/>
      <c r="E338" s="17"/>
      <c r="F338" s="17"/>
      <c r="G338" s="17"/>
      <c r="H338" s="17"/>
      <c r="I338" s="17"/>
      <c r="J338" s="17"/>
      <c r="K338" s="17"/>
      <c r="L338" s="17"/>
      <c r="M338" s="17"/>
      <c r="N338" s="17"/>
      <c r="O338" s="17"/>
      <c r="P338" s="17"/>
      <c r="Q338" s="17"/>
    </row>
    <row r="339">
      <c r="A339" s="17"/>
      <c r="B339" s="17"/>
      <c r="C339" s="17"/>
      <c r="D339" s="17"/>
      <c r="E339" s="17"/>
      <c r="F339" s="17"/>
      <c r="G339" s="17"/>
      <c r="H339" s="17"/>
      <c r="I339" s="17"/>
      <c r="J339" s="17"/>
      <c r="K339" s="17"/>
      <c r="L339" s="17"/>
      <c r="M339" s="17"/>
      <c r="N339" s="17"/>
      <c r="O339" s="17"/>
      <c r="P339" s="17"/>
      <c r="Q339" s="17"/>
    </row>
    <row r="340">
      <c r="A340" s="17"/>
      <c r="B340" s="17"/>
      <c r="C340" s="17"/>
      <c r="D340" s="17"/>
      <c r="E340" s="17"/>
      <c r="F340" s="17"/>
      <c r="G340" s="17"/>
      <c r="H340" s="17"/>
      <c r="I340" s="17"/>
      <c r="J340" s="17"/>
      <c r="K340" s="17"/>
      <c r="L340" s="17"/>
      <c r="M340" s="17"/>
      <c r="N340" s="17"/>
      <c r="O340" s="17"/>
      <c r="P340" s="17"/>
      <c r="Q340" s="17"/>
    </row>
    <row r="341">
      <c r="A341" s="17"/>
      <c r="B341" s="17"/>
      <c r="C341" s="17"/>
      <c r="D341" s="17"/>
      <c r="E341" s="17"/>
      <c r="F341" s="17"/>
      <c r="G341" s="17"/>
      <c r="H341" s="17"/>
      <c r="I341" s="17"/>
      <c r="J341" s="17"/>
      <c r="K341" s="17"/>
      <c r="L341" s="17"/>
      <c r="M341" s="17"/>
      <c r="N341" s="17"/>
      <c r="O341" s="17"/>
      <c r="P341" s="17"/>
      <c r="Q341" s="17"/>
    </row>
    <row r="342">
      <c r="A342" s="17"/>
      <c r="B342" s="17"/>
      <c r="C342" s="17"/>
      <c r="D342" s="17"/>
      <c r="E342" s="17"/>
      <c r="F342" s="17"/>
      <c r="G342" s="17"/>
      <c r="H342" s="17"/>
      <c r="I342" s="17"/>
      <c r="J342" s="17"/>
      <c r="K342" s="17"/>
      <c r="L342" s="17"/>
      <c r="M342" s="17"/>
      <c r="N342" s="17"/>
      <c r="O342" s="17"/>
      <c r="P342" s="17"/>
      <c r="Q342" s="17"/>
    </row>
    <row r="343">
      <c r="A343" s="17"/>
      <c r="B343" s="17"/>
      <c r="C343" s="17"/>
      <c r="D343" s="17"/>
      <c r="E343" s="17"/>
      <c r="F343" s="17"/>
      <c r="G343" s="17"/>
      <c r="H343" s="17"/>
      <c r="I343" s="17"/>
      <c r="J343" s="17"/>
      <c r="K343" s="17"/>
      <c r="L343" s="17"/>
      <c r="M343" s="17"/>
      <c r="N343" s="17"/>
      <c r="O343" s="17"/>
      <c r="P343" s="17"/>
      <c r="Q343" s="17"/>
    </row>
    <row r="344">
      <c r="A344" s="17"/>
      <c r="B344" s="17"/>
      <c r="C344" s="17"/>
      <c r="D344" s="17"/>
      <c r="E344" s="17"/>
      <c r="F344" s="17"/>
      <c r="G344" s="17"/>
      <c r="H344" s="17"/>
      <c r="I344" s="17"/>
      <c r="J344" s="17"/>
      <c r="K344" s="17"/>
      <c r="L344" s="17"/>
      <c r="M344" s="17"/>
      <c r="N344" s="17"/>
      <c r="O344" s="17"/>
      <c r="P344" s="17"/>
      <c r="Q344" s="17"/>
    </row>
    <row r="345">
      <c r="A345" s="17"/>
      <c r="B345" s="17"/>
      <c r="C345" s="17"/>
      <c r="D345" s="17"/>
      <c r="E345" s="17"/>
      <c r="F345" s="17"/>
      <c r="G345" s="17"/>
      <c r="H345" s="17"/>
      <c r="I345" s="17"/>
      <c r="J345" s="17"/>
      <c r="K345" s="17"/>
      <c r="L345" s="17"/>
      <c r="M345" s="17"/>
      <c r="N345" s="17"/>
      <c r="O345" s="17"/>
      <c r="P345" s="17"/>
      <c r="Q345" s="17"/>
    </row>
    <row r="346">
      <c r="A346" s="17"/>
      <c r="B346" s="17"/>
      <c r="C346" s="17"/>
      <c r="D346" s="17"/>
      <c r="E346" s="17"/>
      <c r="F346" s="17"/>
      <c r="G346" s="17"/>
      <c r="H346" s="17"/>
      <c r="I346" s="17"/>
      <c r="J346" s="17"/>
      <c r="K346" s="17"/>
      <c r="L346" s="17"/>
      <c r="M346" s="17"/>
      <c r="N346" s="17"/>
      <c r="O346" s="17"/>
      <c r="P346" s="17"/>
      <c r="Q346" s="17"/>
    </row>
    <row r="347">
      <c r="A347" s="17"/>
      <c r="B347" s="17"/>
      <c r="C347" s="17"/>
      <c r="D347" s="17"/>
      <c r="E347" s="17"/>
      <c r="F347" s="17"/>
      <c r="G347" s="17"/>
      <c r="H347" s="17"/>
      <c r="I347" s="17"/>
      <c r="J347" s="17"/>
      <c r="K347" s="17"/>
      <c r="L347" s="17"/>
      <c r="M347" s="17"/>
      <c r="N347" s="17"/>
      <c r="O347" s="17"/>
      <c r="P347" s="17"/>
      <c r="Q347" s="17"/>
    </row>
    <row r="348">
      <c r="A348" s="17"/>
      <c r="B348" s="17"/>
      <c r="C348" s="17"/>
      <c r="D348" s="17"/>
      <c r="E348" s="17"/>
      <c r="F348" s="17"/>
      <c r="G348" s="17"/>
      <c r="H348" s="17"/>
      <c r="I348" s="17"/>
      <c r="J348" s="17"/>
      <c r="K348" s="17"/>
      <c r="L348" s="17"/>
      <c r="M348" s="17"/>
      <c r="N348" s="17"/>
      <c r="O348" s="17"/>
      <c r="P348" s="17"/>
      <c r="Q348" s="17"/>
    </row>
    <row r="349">
      <c r="A349" s="17"/>
      <c r="B349" s="17"/>
      <c r="C349" s="17"/>
      <c r="D349" s="17"/>
      <c r="E349" s="17"/>
      <c r="F349" s="17"/>
      <c r="G349" s="17"/>
      <c r="H349" s="17"/>
      <c r="I349" s="17"/>
      <c r="J349" s="17"/>
      <c r="K349" s="17"/>
      <c r="L349" s="17"/>
      <c r="M349" s="17"/>
      <c r="N349" s="17"/>
      <c r="O349" s="17"/>
      <c r="P349" s="17"/>
      <c r="Q349" s="17"/>
    </row>
    <row r="350">
      <c r="A350" s="17"/>
      <c r="B350" s="17"/>
      <c r="C350" s="17"/>
      <c r="D350" s="17"/>
      <c r="E350" s="17"/>
      <c r="F350" s="17"/>
      <c r="G350" s="17"/>
      <c r="H350" s="17"/>
      <c r="I350" s="17"/>
      <c r="J350" s="17"/>
      <c r="K350" s="17"/>
      <c r="L350" s="17"/>
      <c r="M350" s="17"/>
      <c r="N350" s="17"/>
      <c r="O350" s="17"/>
      <c r="P350" s="17"/>
      <c r="Q350" s="17"/>
    </row>
    <row r="351">
      <c r="A351" s="17"/>
      <c r="B351" s="17"/>
      <c r="C351" s="17"/>
      <c r="D351" s="17"/>
      <c r="E351" s="17"/>
      <c r="F351" s="17"/>
      <c r="G351" s="17"/>
      <c r="H351" s="17"/>
      <c r="I351" s="17"/>
      <c r="J351" s="17"/>
      <c r="K351" s="17"/>
      <c r="L351" s="17"/>
      <c r="M351" s="17"/>
      <c r="N351" s="17"/>
      <c r="O351" s="17"/>
      <c r="P351" s="17"/>
      <c r="Q351" s="17"/>
    </row>
    <row r="352">
      <c r="A352" s="17"/>
      <c r="B352" s="17"/>
      <c r="C352" s="17"/>
      <c r="D352" s="17"/>
      <c r="E352" s="17"/>
      <c r="F352" s="17"/>
      <c r="G352" s="17"/>
      <c r="H352" s="17"/>
      <c r="I352" s="17"/>
      <c r="J352" s="17"/>
      <c r="K352" s="17"/>
      <c r="L352" s="17"/>
      <c r="M352" s="17"/>
      <c r="N352" s="17"/>
      <c r="O352" s="17"/>
      <c r="P352" s="17"/>
      <c r="Q352" s="17"/>
    </row>
    <row r="353">
      <c r="A353" s="17"/>
      <c r="B353" s="17"/>
      <c r="C353" s="17"/>
      <c r="D353" s="17"/>
      <c r="E353" s="17"/>
      <c r="F353" s="17"/>
      <c r="G353" s="17"/>
      <c r="H353" s="17"/>
      <c r="I353" s="17"/>
      <c r="J353" s="17"/>
      <c r="K353" s="17"/>
      <c r="L353" s="17"/>
      <c r="M353" s="17"/>
      <c r="N353" s="17"/>
      <c r="O353" s="17"/>
      <c r="P353" s="17"/>
      <c r="Q353" s="17"/>
    </row>
    <row r="354">
      <c r="A354" s="17"/>
      <c r="B354" s="17"/>
      <c r="C354" s="17"/>
      <c r="D354" s="17"/>
      <c r="E354" s="17"/>
      <c r="F354" s="17"/>
      <c r="G354" s="17"/>
      <c r="H354" s="17"/>
      <c r="I354" s="17"/>
      <c r="J354" s="17"/>
      <c r="K354" s="17"/>
      <c r="L354" s="17"/>
      <c r="M354" s="17"/>
      <c r="N354" s="17"/>
      <c r="O354" s="17"/>
      <c r="P354" s="17"/>
      <c r="Q354" s="17"/>
    </row>
    <row r="355">
      <c r="A355" s="17"/>
      <c r="B355" s="17"/>
      <c r="C355" s="17"/>
      <c r="D355" s="17"/>
      <c r="E355" s="17"/>
      <c r="F355" s="17"/>
      <c r="G355" s="17"/>
      <c r="H355" s="17"/>
      <c r="I355" s="17"/>
      <c r="J355" s="17"/>
      <c r="K355" s="17"/>
      <c r="L355" s="17"/>
      <c r="M355" s="17"/>
      <c r="N355" s="17"/>
      <c r="O355" s="17"/>
      <c r="P355" s="17"/>
      <c r="Q355" s="17"/>
    </row>
    <row r="356">
      <c r="A356" s="17"/>
      <c r="B356" s="17"/>
      <c r="C356" s="17"/>
      <c r="D356" s="17"/>
      <c r="E356" s="17"/>
      <c r="F356" s="17"/>
      <c r="G356" s="17"/>
      <c r="H356" s="17"/>
      <c r="I356" s="17"/>
      <c r="J356" s="17"/>
      <c r="K356" s="17"/>
      <c r="L356" s="17"/>
      <c r="M356" s="17"/>
      <c r="N356" s="17"/>
      <c r="O356" s="17"/>
      <c r="P356" s="17"/>
      <c r="Q356" s="17"/>
    </row>
    <row r="357">
      <c r="A357" s="17"/>
      <c r="B357" s="17"/>
      <c r="C357" s="17"/>
      <c r="D357" s="17"/>
      <c r="E357" s="17"/>
      <c r="F357" s="17"/>
      <c r="G357" s="17"/>
      <c r="H357" s="17"/>
      <c r="I357" s="17"/>
      <c r="J357" s="17"/>
      <c r="K357" s="17"/>
      <c r="L357" s="17"/>
      <c r="M357" s="17"/>
      <c r="N357" s="17"/>
      <c r="O357" s="17"/>
      <c r="P357" s="17"/>
      <c r="Q357" s="17"/>
    </row>
    <row r="358">
      <c r="A358" s="17"/>
      <c r="B358" s="17"/>
      <c r="C358" s="17"/>
      <c r="D358" s="17"/>
      <c r="E358" s="17"/>
      <c r="F358" s="17"/>
      <c r="G358" s="17"/>
      <c r="H358" s="17"/>
      <c r="I358" s="17"/>
      <c r="J358" s="17"/>
      <c r="K358" s="17"/>
      <c r="L358" s="17"/>
      <c r="M358" s="17"/>
      <c r="N358" s="17"/>
      <c r="O358" s="17"/>
      <c r="P358" s="17"/>
      <c r="Q358" s="17"/>
    </row>
    <row r="359">
      <c r="A359" s="17"/>
      <c r="B359" s="17"/>
      <c r="C359" s="17"/>
      <c r="D359" s="17"/>
      <c r="E359" s="17"/>
      <c r="F359" s="17"/>
      <c r="G359" s="17"/>
      <c r="H359" s="17"/>
      <c r="I359" s="17"/>
      <c r="J359" s="17"/>
      <c r="K359" s="17"/>
      <c r="L359" s="17"/>
      <c r="M359" s="17"/>
      <c r="N359" s="17"/>
      <c r="O359" s="17"/>
      <c r="P359" s="17"/>
      <c r="Q359" s="17"/>
    </row>
    <row r="360">
      <c r="A360" s="17"/>
      <c r="B360" s="17"/>
      <c r="C360" s="17"/>
      <c r="D360" s="17"/>
      <c r="E360" s="17"/>
      <c r="F360" s="17"/>
      <c r="G360" s="17"/>
      <c r="H360" s="17"/>
      <c r="I360" s="17"/>
      <c r="J360" s="17"/>
      <c r="K360" s="17"/>
      <c r="L360" s="17"/>
      <c r="M360" s="17"/>
      <c r="N360" s="17"/>
      <c r="O360" s="17"/>
      <c r="P360" s="17"/>
      <c r="Q360" s="17"/>
    </row>
    <row r="361">
      <c r="A361" s="17"/>
      <c r="B361" s="17"/>
      <c r="C361" s="17"/>
      <c r="D361" s="17"/>
      <c r="E361" s="17"/>
      <c r="F361" s="17"/>
      <c r="G361" s="17"/>
      <c r="H361" s="17"/>
      <c r="I361" s="17"/>
      <c r="J361" s="17"/>
      <c r="K361" s="17"/>
      <c r="L361" s="17"/>
      <c r="M361" s="17"/>
      <c r="N361" s="17"/>
      <c r="O361" s="17"/>
      <c r="P361" s="17"/>
      <c r="Q361" s="17"/>
    </row>
    <row r="362">
      <c r="A362" s="17"/>
      <c r="B362" s="17"/>
      <c r="C362" s="17"/>
      <c r="D362" s="17"/>
      <c r="E362" s="17"/>
      <c r="F362" s="17"/>
      <c r="G362" s="17"/>
      <c r="H362" s="17"/>
      <c r="I362" s="17"/>
      <c r="J362" s="17"/>
      <c r="K362" s="17"/>
      <c r="L362" s="17"/>
      <c r="M362" s="17"/>
      <c r="N362" s="17"/>
      <c r="O362" s="17"/>
      <c r="P362" s="17"/>
      <c r="Q362" s="17"/>
    </row>
    <row r="363">
      <c r="A363" s="17"/>
      <c r="B363" s="17"/>
      <c r="C363" s="17"/>
      <c r="D363" s="17"/>
      <c r="E363" s="17"/>
      <c r="F363" s="17"/>
      <c r="G363" s="17"/>
      <c r="H363" s="17"/>
      <c r="I363" s="17"/>
      <c r="J363" s="17"/>
      <c r="K363" s="17"/>
      <c r="L363" s="17"/>
      <c r="M363" s="17"/>
      <c r="N363" s="17"/>
      <c r="O363" s="17"/>
      <c r="P363" s="17"/>
      <c r="Q363" s="17"/>
    </row>
    <row r="364">
      <c r="A364" s="17"/>
      <c r="B364" s="17"/>
      <c r="C364" s="17"/>
      <c r="D364" s="17"/>
      <c r="E364" s="17"/>
      <c r="F364" s="17"/>
      <c r="G364" s="17"/>
      <c r="H364" s="17"/>
      <c r="I364" s="17"/>
      <c r="J364" s="17"/>
      <c r="K364" s="17"/>
      <c r="L364" s="17"/>
      <c r="M364" s="17"/>
      <c r="N364" s="17"/>
      <c r="O364" s="17"/>
      <c r="P364" s="17"/>
      <c r="Q364" s="17"/>
    </row>
    <row r="365">
      <c r="A365" s="17"/>
      <c r="B365" s="17"/>
      <c r="C365" s="17"/>
      <c r="D365" s="17"/>
      <c r="E365" s="17"/>
      <c r="F365" s="17"/>
      <c r="G365" s="17"/>
      <c r="H365" s="17"/>
      <c r="I365" s="17"/>
      <c r="J365" s="17"/>
      <c r="K365" s="17"/>
      <c r="L365" s="17"/>
      <c r="M365" s="17"/>
      <c r="N365" s="17"/>
      <c r="O365" s="17"/>
      <c r="P365" s="17"/>
      <c r="Q365" s="17"/>
    </row>
    <row r="366">
      <c r="A366" s="17"/>
      <c r="B366" s="17"/>
      <c r="C366" s="17"/>
      <c r="D366" s="17"/>
      <c r="E366" s="17"/>
      <c r="F366" s="17"/>
      <c r="G366" s="17"/>
      <c r="H366" s="17"/>
      <c r="I366" s="17"/>
      <c r="J366" s="17"/>
      <c r="K366" s="17"/>
      <c r="L366" s="17"/>
      <c r="M366" s="17"/>
      <c r="N366" s="17"/>
      <c r="O366" s="17"/>
      <c r="P366" s="17"/>
      <c r="Q366" s="17"/>
    </row>
    <row r="367">
      <c r="A367" s="17"/>
      <c r="B367" s="17"/>
      <c r="C367" s="17"/>
      <c r="D367" s="17"/>
      <c r="E367" s="17"/>
      <c r="F367" s="17"/>
      <c r="G367" s="17"/>
      <c r="H367" s="17"/>
      <c r="I367" s="17"/>
      <c r="J367" s="17"/>
      <c r="K367" s="17"/>
      <c r="L367" s="17"/>
      <c r="M367" s="17"/>
      <c r="N367" s="17"/>
      <c r="O367" s="17"/>
      <c r="P367" s="17"/>
      <c r="Q367" s="17"/>
    </row>
    <row r="368">
      <c r="A368" s="17"/>
      <c r="B368" s="17"/>
      <c r="C368" s="17"/>
      <c r="D368" s="17"/>
      <c r="E368" s="17"/>
      <c r="F368" s="17"/>
      <c r="G368" s="17"/>
      <c r="H368" s="17"/>
      <c r="I368" s="17"/>
      <c r="J368" s="17"/>
      <c r="K368" s="17"/>
      <c r="L368" s="17"/>
      <c r="M368" s="17"/>
      <c r="N368" s="17"/>
      <c r="O368" s="17"/>
      <c r="P368" s="17"/>
      <c r="Q368" s="17"/>
    </row>
    <row r="369">
      <c r="A369" s="17"/>
      <c r="B369" s="17"/>
      <c r="C369" s="17"/>
      <c r="D369" s="17"/>
      <c r="E369" s="17"/>
      <c r="F369" s="17"/>
      <c r="G369" s="17"/>
      <c r="H369" s="17"/>
      <c r="I369" s="17"/>
      <c r="J369" s="17"/>
      <c r="K369" s="17"/>
      <c r="L369" s="17"/>
      <c r="M369" s="17"/>
      <c r="N369" s="17"/>
      <c r="O369" s="17"/>
      <c r="P369" s="17"/>
      <c r="Q369" s="17"/>
    </row>
    <row r="370">
      <c r="A370" s="17"/>
      <c r="B370" s="17"/>
      <c r="C370" s="17"/>
      <c r="D370" s="17"/>
      <c r="E370" s="17"/>
      <c r="F370" s="17"/>
      <c r="G370" s="17"/>
      <c r="H370" s="17"/>
      <c r="I370" s="17"/>
      <c r="J370" s="17"/>
      <c r="K370" s="17"/>
      <c r="L370" s="17"/>
      <c r="M370" s="17"/>
      <c r="N370" s="17"/>
      <c r="O370" s="17"/>
      <c r="P370" s="17"/>
      <c r="Q370" s="17"/>
    </row>
    <row r="371">
      <c r="A371" s="17"/>
      <c r="B371" s="17"/>
      <c r="C371" s="17"/>
      <c r="D371" s="17"/>
      <c r="E371" s="17"/>
      <c r="F371" s="17"/>
      <c r="G371" s="17"/>
      <c r="H371" s="17"/>
      <c r="I371" s="17"/>
      <c r="J371" s="17"/>
      <c r="K371" s="17"/>
      <c r="L371" s="17"/>
      <c r="M371" s="17"/>
      <c r="N371" s="17"/>
      <c r="O371" s="17"/>
      <c r="P371" s="17"/>
      <c r="Q371" s="17"/>
    </row>
    <row r="372">
      <c r="A372" s="17"/>
      <c r="B372" s="17"/>
      <c r="C372" s="17"/>
      <c r="D372" s="17"/>
      <c r="E372" s="17"/>
      <c r="F372" s="17"/>
      <c r="G372" s="17"/>
      <c r="H372" s="17"/>
      <c r="I372" s="17"/>
      <c r="J372" s="17"/>
      <c r="K372" s="17"/>
      <c r="L372" s="17"/>
      <c r="M372" s="17"/>
      <c r="N372" s="17"/>
      <c r="O372" s="17"/>
      <c r="P372" s="17"/>
      <c r="Q372" s="17"/>
    </row>
    <row r="373">
      <c r="A373" s="17"/>
      <c r="B373" s="17"/>
      <c r="C373" s="17"/>
      <c r="D373" s="17"/>
      <c r="E373" s="17"/>
      <c r="F373" s="17"/>
      <c r="G373" s="17"/>
      <c r="H373" s="17"/>
      <c r="I373" s="17"/>
      <c r="J373" s="17"/>
      <c r="K373" s="17"/>
      <c r="L373" s="17"/>
      <c r="M373" s="17"/>
      <c r="N373" s="17"/>
      <c r="O373" s="17"/>
      <c r="P373" s="17"/>
      <c r="Q373" s="17"/>
    </row>
    <row r="374">
      <c r="A374" s="17"/>
      <c r="B374" s="17"/>
      <c r="C374" s="17"/>
      <c r="D374" s="17"/>
      <c r="E374" s="17"/>
      <c r="F374" s="17"/>
      <c r="G374" s="17"/>
      <c r="H374" s="17"/>
      <c r="I374" s="17"/>
      <c r="J374" s="17"/>
      <c r="K374" s="17"/>
      <c r="L374" s="17"/>
      <c r="M374" s="17"/>
      <c r="N374" s="17"/>
      <c r="O374" s="17"/>
      <c r="P374" s="17"/>
      <c r="Q374" s="17"/>
    </row>
    <row r="375">
      <c r="A375" s="17"/>
      <c r="B375" s="17"/>
      <c r="C375" s="17"/>
      <c r="D375" s="17"/>
      <c r="E375" s="17"/>
      <c r="F375" s="17"/>
      <c r="G375" s="17"/>
      <c r="H375" s="17"/>
      <c r="I375" s="17"/>
      <c r="J375" s="17"/>
      <c r="K375" s="17"/>
      <c r="L375" s="17"/>
      <c r="M375" s="17"/>
      <c r="N375" s="17"/>
      <c r="O375" s="17"/>
      <c r="P375" s="17"/>
      <c r="Q375" s="17"/>
    </row>
    <row r="376">
      <c r="A376" s="17"/>
      <c r="B376" s="17"/>
      <c r="C376" s="17"/>
      <c r="D376" s="17"/>
      <c r="E376" s="17"/>
      <c r="F376" s="17"/>
      <c r="G376" s="17"/>
      <c r="H376" s="17"/>
      <c r="I376" s="17"/>
      <c r="J376" s="17"/>
      <c r="K376" s="17"/>
      <c r="L376" s="17"/>
      <c r="M376" s="17"/>
      <c r="N376" s="17"/>
      <c r="O376" s="17"/>
      <c r="P376" s="17"/>
      <c r="Q376" s="17"/>
    </row>
    <row r="377">
      <c r="A377" s="17"/>
      <c r="B377" s="17"/>
      <c r="C377" s="17"/>
      <c r="D377" s="17"/>
      <c r="E377" s="17"/>
      <c r="F377" s="17"/>
      <c r="G377" s="17"/>
      <c r="H377" s="17"/>
      <c r="I377" s="17"/>
      <c r="J377" s="17"/>
      <c r="K377" s="17"/>
      <c r="L377" s="17"/>
      <c r="M377" s="17"/>
      <c r="N377" s="17"/>
      <c r="O377" s="17"/>
      <c r="P377" s="17"/>
      <c r="Q377" s="17"/>
    </row>
    <row r="378">
      <c r="A378" s="17"/>
      <c r="B378" s="17"/>
      <c r="C378" s="17"/>
      <c r="D378" s="17"/>
      <c r="E378" s="17"/>
      <c r="F378" s="17"/>
      <c r="G378" s="17"/>
      <c r="H378" s="17"/>
      <c r="I378" s="17"/>
      <c r="J378" s="17"/>
      <c r="K378" s="17"/>
      <c r="L378" s="17"/>
      <c r="M378" s="17"/>
      <c r="N378" s="17"/>
      <c r="O378" s="17"/>
      <c r="P378" s="17"/>
      <c r="Q378" s="17"/>
    </row>
    <row r="379">
      <c r="A379" s="17"/>
      <c r="B379" s="17"/>
      <c r="C379" s="17"/>
      <c r="D379" s="17"/>
      <c r="E379" s="17"/>
      <c r="F379" s="17"/>
      <c r="G379" s="17"/>
      <c r="H379" s="17"/>
      <c r="I379" s="17"/>
      <c r="J379" s="17"/>
      <c r="K379" s="17"/>
      <c r="L379" s="17"/>
      <c r="M379" s="17"/>
      <c r="N379" s="17"/>
      <c r="O379" s="17"/>
      <c r="P379" s="17"/>
      <c r="Q379" s="17"/>
    </row>
    <row r="380">
      <c r="A380" s="17"/>
      <c r="B380" s="17"/>
      <c r="C380" s="17"/>
      <c r="D380" s="17"/>
      <c r="E380" s="17"/>
      <c r="F380" s="17"/>
      <c r="G380" s="17"/>
      <c r="H380" s="17"/>
      <c r="I380" s="17"/>
      <c r="J380" s="17"/>
      <c r="K380" s="17"/>
      <c r="L380" s="17"/>
      <c r="M380" s="17"/>
      <c r="N380" s="17"/>
      <c r="O380" s="17"/>
      <c r="P380" s="17"/>
      <c r="Q380" s="17"/>
    </row>
    <row r="381">
      <c r="A381" s="17"/>
      <c r="B381" s="17"/>
      <c r="C381" s="17"/>
      <c r="D381" s="17"/>
      <c r="E381" s="17"/>
      <c r="F381" s="17"/>
      <c r="G381" s="17"/>
      <c r="H381" s="17"/>
      <c r="I381" s="17"/>
      <c r="J381" s="17"/>
      <c r="K381" s="17"/>
      <c r="L381" s="17"/>
      <c r="M381" s="17"/>
      <c r="N381" s="17"/>
      <c r="O381" s="17"/>
      <c r="P381" s="17"/>
      <c r="Q381" s="17"/>
    </row>
    <row r="382">
      <c r="A382" s="17"/>
      <c r="B382" s="17"/>
      <c r="C382" s="17"/>
      <c r="D382" s="17"/>
      <c r="E382" s="17"/>
      <c r="F382" s="17"/>
      <c r="G382" s="17"/>
      <c r="H382" s="17"/>
      <c r="I382" s="17"/>
      <c r="J382" s="17"/>
      <c r="K382" s="17"/>
      <c r="L382" s="17"/>
      <c r="M382" s="17"/>
      <c r="N382" s="17"/>
      <c r="O382" s="17"/>
      <c r="P382" s="17"/>
      <c r="Q382" s="17"/>
    </row>
    <row r="383">
      <c r="A383" s="17"/>
      <c r="B383" s="17"/>
      <c r="C383" s="17"/>
      <c r="D383" s="17"/>
      <c r="E383" s="17"/>
      <c r="F383" s="17"/>
      <c r="G383" s="17"/>
      <c r="H383" s="17"/>
      <c r="I383" s="17"/>
      <c r="J383" s="17"/>
      <c r="K383" s="17"/>
      <c r="L383" s="17"/>
      <c r="M383" s="17"/>
      <c r="N383" s="17"/>
      <c r="O383" s="17"/>
      <c r="P383" s="17"/>
      <c r="Q383" s="17"/>
    </row>
    <row r="384">
      <c r="A384" s="17"/>
      <c r="B384" s="17"/>
      <c r="C384" s="17"/>
      <c r="D384" s="17"/>
      <c r="E384" s="17"/>
      <c r="F384" s="17"/>
      <c r="G384" s="17"/>
      <c r="H384" s="17"/>
      <c r="I384" s="17"/>
      <c r="J384" s="17"/>
      <c r="K384" s="17"/>
      <c r="L384" s="17"/>
      <c r="M384" s="17"/>
      <c r="N384" s="17"/>
      <c r="O384" s="17"/>
      <c r="P384" s="17"/>
      <c r="Q384" s="17"/>
    </row>
    <row r="385">
      <c r="A385" s="17"/>
      <c r="B385" s="17"/>
      <c r="C385" s="17"/>
      <c r="D385" s="17"/>
      <c r="E385" s="17"/>
      <c r="F385" s="17"/>
      <c r="G385" s="17"/>
      <c r="H385" s="17"/>
      <c r="I385" s="17"/>
      <c r="J385" s="17"/>
      <c r="K385" s="17"/>
      <c r="L385" s="17"/>
      <c r="M385" s="17"/>
      <c r="N385" s="17"/>
      <c r="O385" s="17"/>
      <c r="P385" s="17"/>
      <c r="Q385" s="17"/>
    </row>
    <row r="386">
      <c r="A386" s="17"/>
      <c r="B386" s="17"/>
      <c r="C386" s="17"/>
      <c r="D386" s="17"/>
      <c r="E386" s="17"/>
      <c r="F386" s="17"/>
      <c r="G386" s="17"/>
      <c r="H386" s="17"/>
      <c r="I386" s="17"/>
      <c r="J386" s="17"/>
      <c r="K386" s="17"/>
      <c r="L386" s="17"/>
      <c r="M386" s="17"/>
      <c r="N386" s="17"/>
      <c r="O386" s="17"/>
      <c r="P386" s="17"/>
      <c r="Q386" s="17"/>
    </row>
    <row r="387">
      <c r="A387" s="17"/>
      <c r="B387" s="17"/>
      <c r="C387" s="17"/>
      <c r="D387" s="17"/>
      <c r="E387" s="17"/>
      <c r="F387" s="17"/>
      <c r="G387" s="17"/>
      <c r="H387" s="17"/>
      <c r="I387" s="17"/>
      <c r="J387" s="17"/>
      <c r="K387" s="17"/>
      <c r="L387" s="17"/>
      <c r="M387" s="17"/>
      <c r="N387" s="17"/>
      <c r="O387" s="17"/>
      <c r="P387" s="17"/>
      <c r="Q387" s="17"/>
    </row>
    <row r="388">
      <c r="A388" s="17"/>
      <c r="B388" s="17"/>
      <c r="C388" s="17"/>
      <c r="D388" s="17"/>
      <c r="E388" s="17"/>
      <c r="F388" s="17"/>
      <c r="G388" s="17"/>
      <c r="H388" s="17"/>
      <c r="I388" s="17"/>
      <c r="J388" s="17"/>
      <c r="K388" s="17"/>
      <c r="L388" s="17"/>
      <c r="M388" s="17"/>
      <c r="N388" s="17"/>
      <c r="O388" s="17"/>
      <c r="P388" s="17"/>
      <c r="Q388" s="17"/>
    </row>
    <row r="389">
      <c r="A389" s="17"/>
      <c r="B389" s="17"/>
      <c r="C389" s="17"/>
      <c r="D389" s="17"/>
      <c r="E389" s="17"/>
      <c r="F389" s="17"/>
      <c r="G389" s="17"/>
      <c r="H389" s="17"/>
      <c r="I389" s="17"/>
      <c r="J389" s="17"/>
      <c r="K389" s="17"/>
      <c r="L389" s="17"/>
      <c r="M389" s="17"/>
      <c r="N389" s="17"/>
      <c r="O389" s="17"/>
      <c r="P389" s="17"/>
      <c r="Q389" s="17"/>
    </row>
    <row r="390">
      <c r="A390" s="17"/>
      <c r="B390" s="17"/>
      <c r="C390" s="17"/>
      <c r="D390" s="17"/>
      <c r="E390" s="17"/>
      <c r="F390" s="17"/>
      <c r="G390" s="17"/>
      <c r="H390" s="17"/>
      <c r="I390" s="17"/>
      <c r="J390" s="17"/>
      <c r="K390" s="17"/>
      <c r="L390" s="17"/>
      <c r="M390" s="17"/>
      <c r="N390" s="17"/>
      <c r="O390" s="17"/>
      <c r="P390" s="17"/>
      <c r="Q390" s="17"/>
    </row>
    <row r="391">
      <c r="A391" s="17"/>
      <c r="B391" s="17"/>
      <c r="C391" s="17"/>
      <c r="D391" s="17"/>
      <c r="E391" s="17"/>
      <c r="F391" s="17"/>
      <c r="G391" s="17"/>
      <c r="H391" s="17"/>
      <c r="I391" s="17"/>
      <c r="J391" s="17"/>
      <c r="K391" s="17"/>
      <c r="L391" s="17"/>
      <c r="M391" s="17"/>
      <c r="N391" s="17"/>
      <c r="O391" s="17"/>
      <c r="P391" s="17"/>
      <c r="Q391" s="17"/>
    </row>
    <row r="392">
      <c r="A392" s="17"/>
      <c r="B392" s="17"/>
      <c r="C392" s="17"/>
      <c r="D392" s="17"/>
      <c r="E392" s="17"/>
      <c r="F392" s="17"/>
      <c r="G392" s="17"/>
      <c r="H392" s="17"/>
      <c r="I392" s="17"/>
      <c r="J392" s="17"/>
      <c r="K392" s="17"/>
      <c r="L392" s="17"/>
      <c r="M392" s="17"/>
      <c r="N392" s="17"/>
      <c r="O392" s="17"/>
      <c r="P392" s="17"/>
      <c r="Q392" s="17"/>
    </row>
    <row r="393">
      <c r="A393" s="17"/>
      <c r="B393" s="17"/>
      <c r="C393" s="17"/>
      <c r="D393" s="17"/>
      <c r="E393" s="17"/>
      <c r="F393" s="17"/>
      <c r="G393" s="17"/>
      <c r="H393" s="17"/>
      <c r="I393" s="17"/>
      <c r="J393" s="17"/>
      <c r="K393" s="17"/>
      <c r="L393" s="17"/>
      <c r="M393" s="17"/>
      <c r="N393" s="17"/>
      <c r="O393" s="17"/>
      <c r="P393" s="17"/>
      <c r="Q393" s="17"/>
    </row>
    <row r="394">
      <c r="A394" s="17"/>
      <c r="B394" s="17"/>
      <c r="C394" s="17"/>
      <c r="D394" s="17"/>
      <c r="E394" s="17"/>
      <c r="F394" s="17"/>
      <c r="G394" s="17"/>
      <c r="H394" s="17"/>
      <c r="I394" s="17"/>
      <c r="J394" s="17"/>
      <c r="K394" s="17"/>
      <c r="L394" s="17"/>
      <c r="M394" s="17"/>
      <c r="N394" s="17"/>
      <c r="O394" s="17"/>
      <c r="P394" s="17"/>
      <c r="Q394" s="17"/>
    </row>
    <row r="395">
      <c r="A395" s="17"/>
      <c r="B395" s="17"/>
      <c r="C395" s="17"/>
      <c r="D395" s="17"/>
      <c r="E395" s="17"/>
      <c r="F395" s="17"/>
      <c r="G395" s="17"/>
      <c r="H395" s="17"/>
      <c r="I395" s="17"/>
      <c r="J395" s="17"/>
      <c r="K395" s="17"/>
      <c r="L395" s="17"/>
      <c r="M395" s="17"/>
      <c r="N395" s="17"/>
      <c r="O395" s="17"/>
      <c r="P395" s="17"/>
      <c r="Q395" s="17"/>
    </row>
    <row r="396">
      <c r="A396" s="17"/>
      <c r="B396" s="17"/>
      <c r="C396" s="17"/>
      <c r="D396" s="17"/>
      <c r="E396" s="17"/>
      <c r="F396" s="17"/>
      <c r="G396" s="17"/>
      <c r="H396" s="17"/>
      <c r="I396" s="17"/>
      <c r="J396" s="17"/>
      <c r="K396" s="17"/>
      <c r="L396" s="17"/>
      <c r="M396" s="17"/>
      <c r="N396" s="17"/>
      <c r="O396" s="17"/>
      <c r="P396" s="17"/>
      <c r="Q396" s="17"/>
    </row>
    <row r="397">
      <c r="A397" s="17"/>
      <c r="B397" s="17"/>
      <c r="C397" s="17"/>
      <c r="D397" s="17"/>
      <c r="E397" s="17"/>
      <c r="F397" s="17"/>
      <c r="G397" s="17"/>
      <c r="H397" s="17"/>
      <c r="I397" s="17"/>
      <c r="J397" s="17"/>
      <c r="K397" s="17"/>
      <c r="L397" s="17"/>
      <c r="M397" s="17"/>
      <c r="N397" s="17"/>
      <c r="O397" s="17"/>
      <c r="P397" s="17"/>
      <c r="Q397" s="17"/>
    </row>
    <row r="398">
      <c r="A398" s="17"/>
      <c r="B398" s="17"/>
      <c r="C398" s="17"/>
      <c r="D398" s="17"/>
      <c r="E398" s="17"/>
      <c r="F398" s="17"/>
      <c r="G398" s="17"/>
      <c r="H398" s="17"/>
      <c r="I398" s="17"/>
      <c r="J398" s="17"/>
      <c r="K398" s="17"/>
      <c r="L398" s="17"/>
      <c r="M398" s="17"/>
      <c r="N398" s="17"/>
      <c r="O398" s="17"/>
      <c r="P398" s="17"/>
      <c r="Q398" s="17"/>
    </row>
    <row r="399">
      <c r="A399" s="17"/>
      <c r="B399" s="17"/>
      <c r="C399" s="17"/>
      <c r="D399" s="17"/>
      <c r="E399" s="17"/>
      <c r="F399" s="17"/>
      <c r="G399" s="17"/>
      <c r="H399" s="17"/>
      <c r="I399" s="17"/>
      <c r="J399" s="17"/>
      <c r="K399" s="17"/>
      <c r="L399" s="17"/>
      <c r="M399" s="17"/>
      <c r="N399" s="17"/>
      <c r="O399" s="17"/>
      <c r="P399" s="17"/>
      <c r="Q399" s="17"/>
    </row>
    <row r="400">
      <c r="A400" s="17"/>
      <c r="B400" s="17"/>
      <c r="C400" s="17"/>
      <c r="D400" s="17"/>
      <c r="E400" s="17"/>
      <c r="F400" s="17"/>
      <c r="G400" s="17"/>
      <c r="H400" s="17"/>
      <c r="I400" s="17"/>
      <c r="J400" s="17"/>
      <c r="K400" s="17"/>
      <c r="L400" s="17"/>
      <c r="M400" s="17"/>
      <c r="N400" s="17"/>
      <c r="O400" s="17"/>
      <c r="P400" s="17"/>
      <c r="Q400" s="17"/>
    </row>
    <row r="401">
      <c r="A401" s="17"/>
      <c r="B401" s="17"/>
      <c r="C401" s="17"/>
      <c r="D401" s="17"/>
      <c r="E401" s="17"/>
      <c r="F401" s="17"/>
      <c r="G401" s="17"/>
      <c r="H401" s="17"/>
      <c r="I401" s="17"/>
      <c r="J401" s="17"/>
      <c r="K401" s="17"/>
      <c r="L401" s="17"/>
      <c r="M401" s="17"/>
      <c r="N401" s="17"/>
      <c r="O401" s="17"/>
      <c r="P401" s="17"/>
      <c r="Q401" s="17"/>
    </row>
    <row r="402">
      <c r="A402" s="17"/>
      <c r="B402" s="17"/>
      <c r="C402" s="17"/>
      <c r="D402" s="17"/>
      <c r="E402" s="17"/>
      <c r="F402" s="17"/>
      <c r="G402" s="17"/>
      <c r="H402" s="17"/>
      <c r="I402" s="17"/>
      <c r="J402" s="17"/>
      <c r="K402" s="17"/>
      <c r="L402" s="17"/>
      <c r="M402" s="17"/>
      <c r="N402" s="17"/>
      <c r="O402" s="17"/>
      <c r="P402" s="17"/>
      <c r="Q402" s="17"/>
    </row>
    <row r="403">
      <c r="A403" s="17"/>
      <c r="B403" s="17"/>
      <c r="C403" s="17"/>
      <c r="D403" s="17"/>
      <c r="E403" s="17"/>
      <c r="F403" s="17"/>
      <c r="G403" s="17"/>
      <c r="H403" s="17"/>
      <c r="I403" s="17"/>
      <c r="J403" s="17"/>
      <c r="K403" s="17"/>
      <c r="L403" s="17"/>
      <c r="M403" s="17"/>
      <c r="N403" s="17"/>
      <c r="O403" s="17"/>
      <c r="P403" s="17"/>
      <c r="Q403" s="17"/>
    </row>
    <row r="404">
      <c r="A404" s="17"/>
      <c r="B404" s="17"/>
      <c r="C404" s="17"/>
      <c r="D404" s="17"/>
      <c r="E404" s="17"/>
      <c r="F404" s="17"/>
      <c r="G404" s="17"/>
      <c r="H404" s="17"/>
      <c r="I404" s="17"/>
      <c r="J404" s="17"/>
      <c r="K404" s="17"/>
      <c r="L404" s="17"/>
      <c r="M404" s="17"/>
      <c r="N404" s="17"/>
      <c r="O404" s="17"/>
      <c r="P404" s="17"/>
      <c r="Q404" s="17"/>
    </row>
    <row r="405">
      <c r="A405" s="17"/>
      <c r="B405" s="17"/>
      <c r="C405" s="17"/>
      <c r="D405" s="17"/>
      <c r="E405" s="17"/>
      <c r="F405" s="17"/>
      <c r="G405" s="17"/>
      <c r="H405" s="17"/>
      <c r="I405" s="17"/>
      <c r="J405" s="17"/>
      <c r="K405" s="17"/>
      <c r="L405" s="17"/>
      <c r="M405" s="17"/>
      <c r="N405" s="17"/>
      <c r="O405" s="17"/>
      <c r="P405" s="17"/>
      <c r="Q405" s="17"/>
    </row>
    <row r="406">
      <c r="A406" s="17"/>
      <c r="B406" s="17"/>
      <c r="C406" s="17"/>
      <c r="D406" s="17"/>
      <c r="E406" s="17"/>
      <c r="F406" s="17"/>
      <c r="G406" s="17"/>
      <c r="H406" s="17"/>
      <c r="I406" s="17"/>
      <c r="J406" s="17"/>
      <c r="K406" s="17"/>
      <c r="L406" s="17"/>
      <c r="M406" s="17"/>
      <c r="N406" s="17"/>
      <c r="O406" s="17"/>
      <c r="P406" s="17"/>
      <c r="Q406" s="17"/>
    </row>
    <row r="407">
      <c r="A407" s="17"/>
      <c r="B407" s="17"/>
      <c r="C407" s="17"/>
      <c r="D407" s="17"/>
      <c r="E407" s="17"/>
      <c r="F407" s="17"/>
      <c r="G407" s="17"/>
      <c r="H407" s="17"/>
      <c r="I407" s="17"/>
      <c r="J407" s="17"/>
      <c r="K407" s="17"/>
      <c r="L407" s="17"/>
      <c r="M407" s="17"/>
      <c r="N407" s="17"/>
      <c r="O407" s="17"/>
      <c r="P407" s="17"/>
      <c r="Q407" s="17"/>
    </row>
    <row r="408">
      <c r="A408" s="17"/>
      <c r="B408" s="17"/>
      <c r="C408" s="17"/>
      <c r="D408" s="17"/>
      <c r="E408" s="17"/>
      <c r="F408" s="17"/>
      <c r="G408" s="17"/>
      <c r="H408" s="17"/>
      <c r="I408" s="17"/>
      <c r="J408" s="17"/>
      <c r="K408" s="17"/>
      <c r="L408" s="17"/>
      <c r="M408" s="17"/>
      <c r="N408" s="17"/>
      <c r="O408" s="17"/>
      <c r="P408" s="17"/>
      <c r="Q408" s="17"/>
    </row>
    <row r="409">
      <c r="A409" s="17"/>
      <c r="B409" s="17"/>
      <c r="C409" s="17"/>
      <c r="D409" s="17"/>
      <c r="E409" s="17"/>
      <c r="F409" s="17"/>
      <c r="G409" s="17"/>
      <c r="H409" s="17"/>
      <c r="I409" s="17"/>
      <c r="J409" s="17"/>
      <c r="K409" s="17"/>
      <c r="L409" s="17"/>
      <c r="M409" s="17"/>
      <c r="N409" s="17"/>
      <c r="O409" s="17"/>
      <c r="P409" s="17"/>
      <c r="Q409" s="17"/>
    </row>
    <row r="410">
      <c r="A410" s="17"/>
      <c r="B410" s="17"/>
      <c r="C410" s="17"/>
      <c r="D410" s="17"/>
      <c r="E410" s="17"/>
      <c r="F410" s="17"/>
      <c r="G410" s="17"/>
      <c r="H410" s="17"/>
      <c r="I410" s="17"/>
      <c r="J410" s="17"/>
      <c r="K410" s="17"/>
      <c r="L410" s="17"/>
      <c r="M410" s="17"/>
      <c r="N410" s="17"/>
      <c r="O410" s="17"/>
      <c r="P410" s="17"/>
      <c r="Q410" s="17"/>
    </row>
    <row r="411">
      <c r="A411" s="17"/>
      <c r="B411" s="17"/>
      <c r="C411" s="17"/>
      <c r="D411" s="17"/>
      <c r="E411" s="17"/>
      <c r="F411" s="17"/>
      <c r="G411" s="17"/>
      <c r="H411" s="17"/>
      <c r="I411" s="17"/>
      <c r="J411" s="17"/>
      <c r="K411" s="17"/>
      <c r="L411" s="17"/>
      <c r="M411" s="17"/>
      <c r="N411" s="17"/>
      <c r="O411" s="17"/>
      <c r="P411" s="17"/>
      <c r="Q411" s="17"/>
    </row>
    <row r="412">
      <c r="A412" s="17"/>
      <c r="B412" s="17"/>
      <c r="C412" s="17"/>
      <c r="D412" s="17"/>
      <c r="E412" s="17"/>
      <c r="F412" s="17"/>
      <c r="G412" s="17"/>
      <c r="H412" s="17"/>
      <c r="I412" s="17"/>
      <c r="J412" s="17"/>
      <c r="K412" s="17"/>
      <c r="L412" s="17"/>
      <c r="M412" s="17"/>
      <c r="N412" s="17"/>
      <c r="O412" s="17"/>
      <c r="P412" s="17"/>
      <c r="Q412" s="17"/>
    </row>
    <row r="413">
      <c r="A413" s="17"/>
      <c r="B413" s="17"/>
      <c r="C413" s="17"/>
      <c r="D413" s="17"/>
      <c r="E413" s="17"/>
      <c r="F413" s="17"/>
      <c r="G413" s="17"/>
      <c r="H413" s="17"/>
      <c r="I413" s="17"/>
      <c r="J413" s="17"/>
      <c r="K413" s="17"/>
      <c r="L413" s="17"/>
      <c r="M413" s="17"/>
      <c r="N413" s="17"/>
      <c r="O413" s="17"/>
      <c r="P413" s="17"/>
      <c r="Q413" s="17"/>
    </row>
    <row r="414">
      <c r="A414" s="17"/>
      <c r="B414" s="17"/>
      <c r="C414" s="17"/>
      <c r="D414" s="17"/>
      <c r="E414" s="17"/>
      <c r="F414" s="17"/>
      <c r="G414" s="17"/>
      <c r="H414" s="17"/>
      <c r="I414" s="17"/>
      <c r="J414" s="17"/>
      <c r="K414" s="17"/>
      <c r="L414" s="17"/>
      <c r="M414" s="17"/>
      <c r="N414" s="17"/>
      <c r="O414" s="17"/>
      <c r="P414" s="17"/>
      <c r="Q414" s="17"/>
    </row>
    <row r="415">
      <c r="A415" s="17"/>
      <c r="B415" s="17"/>
      <c r="C415" s="17"/>
      <c r="D415" s="17"/>
      <c r="E415" s="17"/>
      <c r="F415" s="17"/>
      <c r="G415" s="17"/>
      <c r="H415" s="17"/>
      <c r="I415" s="17"/>
      <c r="J415" s="17"/>
      <c r="K415" s="17"/>
      <c r="L415" s="17"/>
      <c r="M415" s="17"/>
      <c r="N415" s="17"/>
      <c r="O415" s="17"/>
      <c r="P415" s="17"/>
      <c r="Q415" s="17"/>
    </row>
    <row r="416">
      <c r="A416" s="17"/>
      <c r="B416" s="17"/>
      <c r="C416" s="17"/>
      <c r="D416" s="17"/>
      <c r="E416" s="17"/>
      <c r="F416" s="17"/>
      <c r="G416" s="17"/>
      <c r="H416" s="17"/>
      <c r="I416" s="17"/>
      <c r="J416" s="17"/>
      <c r="K416" s="17"/>
      <c r="L416" s="17"/>
      <c r="M416" s="17"/>
      <c r="N416" s="17"/>
      <c r="O416" s="17"/>
      <c r="P416" s="17"/>
      <c r="Q416" s="17"/>
    </row>
    <row r="417">
      <c r="A417" s="17"/>
      <c r="B417" s="17"/>
      <c r="C417" s="17"/>
      <c r="D417" s="17"/>
      <c r="E417" s="17"/>
      <c r="F417" s="17"/>
      <c r="G417" s="17"/>
      <c r="H417" s="17"/>
      <c r="I417" s="17"/>
      <c r="J417" s="17"/>
      <c r="K417" s="17"/>
      <c r="L417" s="17"/>
      <c r="M417" s="17"/>
      <c r="N417" s="17"/>
      <c r="O417" s="17"/>
      <c r="P417" s="17"/>
      <c r="Q417" s="17"/>
    </row>
    <row r="418">
      <c r="A418" s="17"/>
      <c r="B418" s="17"/>
      <c r="C418" s="17"/>
      <c r="D418" s="17"/>
      <c r="E418" s="17"/>
      <c r="F418" s="17"/>
      <c r="G418" s="17"/>
      <c r="H418" s="17"/>
      <c r="I418" s="17"/>
      <c r="J418" s="17"/>
      <c r="K418" s="17"/>
      <c r="L418" s="17"/>
      <c r="M418" s="17"/>
      <c r="N418" s="17"/>
      <c r="O418" s="17"/>
      <c r="P418" s="17"/>
      <c r="Q418" s="17"/>
    </row>
    <row r="419">
      <c r="A419" s="17"/>
      <c r="B419" s="17"/>
      <c r="C419" s="17"/>
      <c r="D419" s="17"/>
      <c r="E419" s="17"/>
      <c r="F419" s="17"/>
      <c r="G419" s="17"/>
      <c r="H419" s="17"/>
      <c r="I419" s="17"/>
      <c r="J419" s="17"/>
      <c r="K419" s="17"/>
      <c r="L419" s="17"/>
      <c r="M419" s="17"/>
      <c r="N419" s="17"/>
      <c r="O419" s="17"/>
      <c r="P419" s="17"/>
      <c r="Q419" s="17"/>
    </row>
    <row r="420">
      <c r="A420" s="17"/>
      <c r="B420" s="17"/>
      <c r="C420" s="17"/>
      <c r="D420" s="17"/>
      <c r="E420" s="17"/>
      <c r="F420" s="17"/>
      <c r="G420" s="17"/>
      <c r="H420" s="17"/>
      <c r="I420" s="17"/>
      <c r="J420" s="17"/>
      <c r="K420" s="17"/>
      <c r="L420" s="17"/>
      <c r="M420" s="17"/>
      <c r="N420" s="17"/>
      <c r="O420" s="17"/>
      <c r="P420" s="17"/>
      <c r="Q420" s="17"/>
    </row>
    <row r="421">
      <c r="A421" s="17"/>
      <c r="B421" s="17"/>
      <c r="C421" s="17"/>
      <c r="D421" s="17"/>
      <c r="E421" s="17"/>
      <c r="F421" s="17"/>
      <c r="G421" s="17"/>
      <c r="H421" s="17"/>
      <c r="I421" s="17"/>
      <c r="J421" s="17"/>
      <c r="K421" s="17"/>
      <c r="L421" s="17"/>
      <c r="M421" s="17"/>
      <c r="N421" s="17"/>
      <c r="O421" s="17"/>
      <c r="P421" s="17"/>
      <c r="Q421" s="17"/>
    </row>
    <row r="422">
      <c r="A422" s="17"/>
      <c r="B422" s="17"/>
      <c r="C422" s="17"/>
      <c r="D422" s="17"/>
      <c r="E422" s="17"/>
      <c r="F422" s="17"/>
      <c r="G422" s="17"/>
      <c r="H422" s="17"/>
      <c r="I422" s="17"/>
      <c r="J422" s="17"/>
      <c r="K422" s="17"/>
      <c r="L422" s="17"/>
      <c r="M422" s="17"/>
      <c r="N422" s="17"/>
      <c r="O422" s="17"/>
      <c r="P422" s="17"/>
      <c r="Q422" s="17"/>
    </row>
    <row r="423">
      <c r="A423" s="17"/>
      <c r="B423" s="17"/>
      <c r="C423" s="17"/>
      <c r="D423" s="17"/>
      <c r="E423" s="17"/>
      <c r="F423" s="17"/>
      <c r="G423" s="17"/>
      <c r="H423" s="17"/>
      <c r="I423" s="17"/>
      <c r="J423" s="17"/>
      <c r="K423" s="17"/>
      <c r="L423" s="17"/>
      <c r="M423" s="17"/>
      <c r="N423" s="17"/>
      <c r="O423" s="17"/>
      <c r="P423" s="17"/>
      <c r="Q423" s="17"/>
    </row>
    <row r="424">
      <c r="A424" s="17"/>
      <c r="B424" s="17"/>
      <c r="C424" s="17"/>
      <c r="D424" s="17"/>
      <c r="E424" s="17"/>
      <c r="F424" s="17"/>
      <c r="G424" s="17"/>
      <c r="H424" s="17"/>
      <c r="I424" s="17"/>
      <c r="J424" s="17"/>
      <c r="K424" s="17"/>
      <c r="L424" s="17"/>
      <c r="M424" s="17"/>
      <c r="N424" s="17"/>
      <c r="O424" s="17"/>
      <c r="P424" s="17"/>
      <c r="Q424" s="17"/>
    </row>
    <row r="425">
      <c r="A425" s="17"/>
      <c r="B425" s="17"/>
      <c r="C425" s="17"/>
      <c r="D425" s="17"/>
      <c r="E425" s="17"/>
      <c r="F425" s="17"/>
      <c r="G425" s="17"/>
      <c r="H425" s="17"/>
      <c r="I425" s="17"/>
      <c r="J425" s="17"/>
      <c r="K425" s="17"/>
      <c r="L425" s="17"/>
      <c r="M425" s="17"/>
      <c r="N425" s="17"/>
      <c r="O425" s="17"/>
      <c r="P425" s="17"/>
      <c r="Q425" s="17"/>
    </row>
    <row r="426">
      <c r="A426" s="17"/>
      <c r="B426" s="17"/>
      <c r="C426" s="17"/>
      <c r="D426" s="17"/>
      <c r="E426" s="17"/>
      <c r="F426" s="17"/>
      <c r="G426" s="17"/>
      <c r="H426" s="17"/>
      <c r="I426" s="17"/>
      <c r="J426" s="17"/>
      <c r="K426" s="17"/>
      <c r="L426" s="17"/>
      <c r="M426" s="17"/>
      <c r="N426" s="17"/>
      <c r="O426" s="17"/>
      <c r="P426" s="17"/>
      <c r="Q426" s="17"/>
    </row>
    <row r="427">
      <c r="A427" s="17"/>
      <c r="B427" s="17"/>
      <c r="C427" s="17"/>
      <c r="D427" s="17"/>
      <c r="E427" s="17"/>
      <c r="F427" s="17"/>
      <c r="G427" s="17"/>
      <c r="H427" s="17"/>
      <c r="I427" s="17"/>
      <c r="J427" s="17"/>
      <c r="K427" s="17"/>
      <c r="L427" s="17"/>
      <c r="M427" s="17"/>
      <c r="N427" s="17"/>
      <c r="O427" s="17"/>
      <c r="P427" s="17"/>
      <c r="Q427" s="17"/>
    </row>
    <row r="428">
      <c r="A428" s="17"/>
      <c r="B428" s="17"/>
      <c r="C428" s="17"/>
      <c r="D428" s="17"/>
      <c r="E428" s="17"/>
      <c r="F428" s="17"/>
      <c r="G428" s="17"/>
      <c r="H428" s="17"/>
      <c r="I428" s="17"/>
      <c r="J428" s="17"/>
      <c r="K428" s="17"/>
      <c r="L428" s="17"/>
      <c r="M428" s="17"/>
      <c r="N428" s="17"/>
      <c r="O428" s="17"/>
      <c r="P428" s="17"/>
      <c r="Q428" s="17"/>
    </row>
    <row r="429">
      <c r="A429" s="17"/>
      <c r="B429" s="17"/>
      <c r="C429" s="17"/>
      <c r="D429" s="17"/>
      <c r="E429" s="17"/>
      <c r="F429" s="17"/>
      <c r="G429" s="17"/>
      <c r="H429" s="17"/>
      <c r="I429" s="17"/>
      <c r="J429" s="17"/>
      <c r="K429" s="17"/>
      <c r="L429" s="17"/>
      <c r="M429" s="17"/>
      <c r="N429" s="17"/>
      <c r="O429" s="17"/>
      <c r="P429" s="17"/>
      <c r="Q429" s="17"/>
    </row>
    <row r="430">
      <c r="A430" s="17"/>
      <c r="B430" s="17"/>
      <c r="C430" s="17"/>
      <c r="D430" s="17"/>
      <c r="E430" s="17"/>
      <c r="F430" s="17"/>
      <c r="G430" s="17"/>
      <c r="H430" s="17"/>
      <c r="I430" s="17"/>
      <c r="J430" s="17"/>
      <c r="K430" s="17"/>
      <c r="L430" s="17"/>
      <c r="M430" s="17"/>
      <c r="N430" s="17"/>
      <c r="O430" s="17"/>
      <c r="P430" s="17"/>
      <c r="Q430" s="17"/>
    </row>
    <row r="431">
      <c r="A431" s="17"/>
      <c r="B431" s="17"/>
      <c r="C431" s="17"/>
      <c r="D431" s="17"/>
      <c r="E431" s="17"/>
      <c r="F431" s="17"/>
      <c r="G431" s="17"/>
      <c r="H431" s="17"/>
      <c r="I431" s="17"/>
      <c r="J431" s="17"/>
      <c r="K431" s="17"/>
      <c r="L431" s="17"/>
      <c r="M431" s="17"/>
      <c r="N431" s="17"/>
      <c r="O431" s="17"/>
      <c r="P431" s="17"/>
      <c r="Q431" s="17"/>
    </row>
    <row r="432">
      <c r="A432" s="17"/>
      <c r="B432" s="17"/>
      <c r="C432" s="17"/>
      <c r="D432" s="17"/>
      <c r="E432" s="17"/>
      <c r="F432" s="17"/>
      <c r="G432" s="17"/>
      <c r="H432" s="17"/>
      <c r="I432" s="17"/>
      <c r="J432" s="17"/>
      <c r="K432" s="17"/>
      <c r="L432" s="17"/>
      <c r="M432" s="17"/>
      <c r="N432" s="17"/>
      <c r="O432" s="17"/>
      <c r="P432" s="17"/>
      <c r="Q432" s="17"/>
    </row>
    <row r="433">
      <c r="A433" s="17"/>
      <c r="B433" s="17"/>
      <c r="C433" s="17"/>
      <c r="D433" s="17"/>
      <c r="E433" s="17"/>
      <c r="F433" s="17"/>
      <c r="G433" s="17"/>
      <c r="H433" s="17"/>
      <c r="I433" s="17"/>
      <c r="J433" s="17"/>
      <c r="K433" s="17"/>
      <c r="L433" s="17"/>
      <c r="M433" s="17"/>
      <c r="N433" s="17"/>
      <c r="O433" s="17"/>
      <c r="P433" s="17"/>
      <c r="Q433" s="17"/>
    </row>
    <row r="434">
      <c r="A434" s="17"/>
      <c r="B434" s="17"/>
      <c r="C434" s="17"/>
      <c r="D434" s="17"/>
      <c r="E434" s="17"/>
      <c r="F434" s="17"/>
      <c r="G434" s="17"/>
      <c r="H434" s="17"/>
      <c r="I434" s="17"/>
      <c r="J434" s="17"/>
      <c r="K434" s="17"/>
      <c r="L434" s="17"/>
      <c r="M434" s="17"/>
      <c r="N434" s="17"/>
      <c r="O434" s="17"/>
      <c r="P434" s="17"/>
      <c r="Q434" s="17"/>
    </row>
    <row r="435">
      <c r="A435" s="17"/>
      <c r="B435" s="17"/>
      <c r="C435" s="17"/>
      <c r="D435" s="17"/>
      <c r="E435" s="17"/>
      <c r="F435" s="17"/>
      <c r="G435" s="17"/>
      <c r="H435" s="17"/>
      <c r="I435" s="17"/>
      <c r="J435" s="17"/>
      <c r="K435" s="17"/>
      <c r="L435" s="17"/>
      <c r="M435" s="17"/>
      <c r="N435" s="17"/>
      <c r="O435" s="17"/>
      <c r="P435" s="17"/>
      <c r="Q435" s="17"/>
    </row>
    <row r="436">
      <c r="A436" s="17"/>
      <c r="B436" s="17"/>
      <c r="C436" s="17"/>
      <c r="D436" s="17"/>
      <c r="E436" s="17"/>
      <c r="F436" s="17"/>
      <c r="G436" s="17"/>
      <c r="H436" s="17"/>
      <c r="I436" s="17"/>
      <c r="J436" s="17"/>
      <c r="K436" s="17"/>
      <c r="L436" s="17"/>
      <c r="M436" s="17"/>
      <c r="N436" s="17"/>
      <c r="O436" s="17"/>
      <c r="P436" s="17"/>
      <c r="Q436" s="17"/>
    </row>
    <row r="437">
      <c r="A437" s="17"/>
      <c r="B437" s="17"/>
      <c r="C437" s="17"/>
      <c r="D437" s="17"/>
      <c r="E437" s="17"/>
      <c r="F437" s="17"/>
      <c r="G437" s="17"/>
      <c r="H437" s="17"/>
      <c r="I437" s="17"/>
      <c r="J437" s="17"/>
      <c r="K437" s="17"/>
      <c r="L437" s="17"/>
      <c r="M437" s="17"/>
      <c r="N437" s="17"/>
      <c r="O437" s="17"/>
      <c r="P437" s="17"/>
      <c r="Q437" s="17"/>
    </row>
    <row r="438">
      <c r="A438" s="17"/>
      <c r="B438" s="17"/>
      <c r="C438" s="17"/>
      <c r="D438" s="17"/>
      <c r="E438" s="17"/>
      <c r="F438" s="17"/>
      <c r="G438" s="17"/>
      <c r="H438" s="17"/>
      <c r="I438" s="17"/>
      <c r="J438" s="17"/>
      <c r="K438" s="17"/>
      <c r="L438" s="17"/>
      <c r="M438" s="17"/>
      <c r="N438" s="17"/>
      <c r="O438" s="17"/>
      <c r="P438" s="17"/>
      <c r="Q438" s="17"/>
    </row>
    <row r="439">
      <c r="A439" s="17"/>
      <c r="B439" s="17"/>
      <c r="C439" s="17"/>
      <c r="D439" s="17"/>
      <c r="E439" s="17"/>
      <c r="F439" s="17"/>
      <c r="G439" s="17"/>
      <c r="H439" s="17"/>
      <c r="I439" s="17"/>
      <c r="J439" s="17"/>
      <c r="K439" s="17"/>
      <c r="L439" s="17"/>
      <c r="M439" s="17"/>
      <c r="N439" s="17"/>
      <c r="O439" s="17"/>
      <c r="P439" s="17"/>
      <c r="Q439" s="17"/>
    </row>
    <row r="440">
      <c r="A440" s="17"/>
      <c r="B440" s="17"/>
      <c r="C440" s="17"/>
      <c r="D440" s="17"/>
      <c r="E440" s="17"/>
      <c r="F440" s="17"/>
      <c r="G440" s="17"/>
      <c r="H440" s="17"/>
      <c r="I440" s="17"/>
      <c r="J440" s="17"/>
      <c r="K440" s="17"/>
      <c r="L440" s="17"/>
      <c r="M440" s="17"/>
      <c r="N440" s="17"/>
      <c r="O440" s="17"/>
      <c r="P440" s="17"/>
      <c r="Q440" s="17"/>
    </row>
    <row r="441">
      <c r="A441" s="17"/>
      <c r="B441" s="17"/>
      <c r="C441" s="17"/>
      <c r="D441" s="17"/>
      <c r="E441" s="17"/>
      <c r="F441" s="17"/>
      <c r="G441" s="17"/>
      <c r="H441" s="17"/>
      <c r="I441" s="17"/>
      <c r="J441" s="17"/>
      <c r="K441" s="17"/>
      <c r="L441" s="17"/>
      <c r="M441" s="17"/>
      <c r="N441" s="17"/>
      <c r="O441" s="17"/>
      <c r="P441" s="17"/>
      <c r="Q441" s="17"/>
    </row>
    <row r="442">
      <c r="A442" s="17"/>
      <c r="B442" s="17"/>
      <c r="C442" s="17"/>
      <c r="D442" s="17"/>
      <c r="E442" s="17"/>
      <c r="F442" s="17"/>
      <c r="G442" s="17"/>
      <c r="H442" s="17"/>
      <c r="I442" s="17"/>
      <c r="J442" s="17"/>
      <c r="K442" s="17"/>
      <c r="L442" s="17"/>
      <c r="M442" s="17"/>
      <c r="N442" s="17"/>
      <c r="O442" s="17"/>
      <c r="P442" s="17"/>
      <c r="Q442" s="17"/>
    </row>
    <row r="443">
      <c r="A443" s="17"/>
      <c r="B443" s="17"/>
      <c r="C443" s="17"/>
      <c r="D443" s="17"/>
      <c r="E443" s="17"/>
      <c r="F443" s="17"/>
      <c r="G443" s="17"/>
      <c r="H443" s="17"/>
      <c r="I443" s="17"/>
      <c r="J443" s="17"/>
      <c r="K443" s="17"/>
      <c r="L443" s="17"/>
      <c r="M443" s="17"/>
      <c r="N443" s="17"/>
      <c r="O443" s="17"/>
      <c r="P443" s="17"/>
      <c r="Q443" s="17"/>
    </row>
    <row r="444">
      <c r="A444" s="17"/>
      <c r="B444" s="17"/>
      <c r="C444" s="17"/>
      <c r="D444" s="17"/>
      <c r="E444" s="17"/>
      <c r="F444" s="17"/>
      <c r="G444" s="17"/>
      <c r="H444" s="17"/>
      <c r="I444" s="17"/>
      <c r="J444" s="17"/>
      <c r="K444" s="17"/>
      <c r="L444" s="17"/>
      <c r="M444" s="17"/>
      <c r="N444" s="17"/>
      <c r="O444" s="17"/>
      <c r="P444" s="17"/>
      <c r="Q444" s="17"/>
    </row>
    <row r="445">
      <c r="A445" s="17"/>
      <c r="B445" s="17"/>
      <c r="C445" s="17"/>
      <c r="D445" s="17"/>
      <c r="E445" s="17"/>
      <c r="F445" s="17"/>
      <c r="G445" s="17"/>
      <c r="H445" s="17"/>
      <c r="I445" s="17"/>
      <c r="J445" s="17"/>
      <c r="K445" s="17"/>
      <c r="L445" s="17"/>
      <c r="M445" s="17"/>
      <c r="N445" s="17"/>
      <c r="O445" s="17"/>
      <c r="P445" s="17"/>
      <c r="Q445" s="17"/>
    </row>
    <row r="446">
      <c r="A446" s="17"/>
      <c r="B446" s="17"/>
      <c r="C446" s="17"/>
      <c r="D446" s="17"/>
      <c r="E446" s="17"/>
      <c r="F446" s="17"/>
      <c r="G446" s="17"/>
      <c r="H446" s="17"/>
      <c r="I446" s="17"/>
      <c r="J446" s="17"/>
      <c r="K446" s="17"/>
      <c r="L446" s="17"/>
      <c r="M446" s="17"/>
      <c r="N446" s="17"/>
      <c r="O446" s="17"/>
      <c r="P446" s="17"/>
      <c r="Q446" s="17"/>
    </row>
    <row r="447">
      <c r="A447" s="17"/>
      <c r="B447" s="17"/>
      <c r="C447" s="17"/>
      <c r="D447" s="17"/>
      <c r="E447" s="17"/>
      <c r="F447" s="17"/>
      <c r="G447" s="17"/>
      <c r="H447" s="17"/>
      <c r="I447" s="17"/>
      <c r="J447" s="17"/>
      <c r="K447" s="17"/>
      <c r="L447" s="17"/>
      <c r="M447" s="17"/>
      <c r="N447" s="17"/>
      <c r="O447" s="17"/>
      <c r="P447" s="17"/>
      <c r="Q447" s="17"/>
    </row>
    <row r="448">
      <c r="A448" s="17"/>
      <c r="B448" s="17"/>
      <c r="C448" s="17"/>
      <c r="D448" s="17"/>
      <c r="E448" s="17"/>
      <c r="F448" s="17"/>
      <c r="G448" s="17"/>
      <c r="H448" s="17"/>
      <c r="I448" s="17"/>
      <c r="J448" s="17"/>
      <c r="K448" s="17"/>
      <c r="L448" s="17"/>
      <c r="M448" s="17"/>
      <c r="N448" s="17"/>
      <c r="O448" s="17"/>
      <c r="P448" s="17"/>
      <c r="Q448" s="17"/>
    </row>
    <row r="449">
      <c r="A449" s="17"/>
      <c r="B449" s="17"/>
      <c r="C449" s="17"/>
      <c r="D449" s="17"/>
      <c r="E449" s="17"/>
      <c r="F449" s="17"/>
      <c r="G449" s="17"/>
      <c r="H449" s="17"/>
      <c r="I449" s="17"/>
      <c r="J449" s="17"/>
      <c r="K449" s="17"/>
      <c r="L449" s="17"/>
      <c r="M449" s="17"/>
      <c r="N449" s="17"/>
      <c r="O449" s="17"/>
      <c r="P449" s="17"/>
      <c r="Q449" s="17"/>
    </row>
    <row r="450">
      <c r="A450" s="17"/>
      <c r="B450" s="17"/>
      <c r="C450" s="17"/>
      <c r="D450" s="17"/>
      <c r="E450" s="17"/>
      <c r="F450" s="17"/>
      <c r="G450" s="17"/>
      <c r="H450" s="17"/>
      <c r="I450" s="17"/>
      <c r="J450" s="17"/>
      <c r="K450" s="17"/>
      <c r="L450" s="17"/>
      <c r="M450" s="17"/>
      <c r="N450" s="17"/>
      <c r="O450" s="17"/>
      <c r="P450" s="17"/>
      <c r="Q450" s="17"/>
    </row>
    <row r="451">
      <c r="A451" s="17"/>
      <c r="B451" s="17"/>
      <c r="C451" s="17"/>
      <c r="D451" s="17"/>
      <c r="E451" s="17"/>
      <c r="F451" s="17"/>
      <c r="G451" s="17"/>
      <c r="H451" s="17"/>
      <c r="I451" s="17"/>
      <c r="J451" s="17"/>
      <c r="K451" s="17"/>
      <c r="L451" s="17"/>
      <c r="M451" s="17"/>
      <c r="N451" s="17"/>
      <c r="O451" s="17"/>
      <c r="P451" s="17"/>
      <c r="Q451" s="17"/>
    </row>
    <row r="452">
      <c r="A452" s="17"/>
      <c r="B452" s="17"/>
      <c r="C452" s="17"/>
      <c r="D452" s="17"/>
      <c r="E452" s="17"/>
      <c r="F452" s="17"/>
      <c r="G452" s="17"/>
      <c r="H452" s="17"/>
      <c r="I452" s="17"/>
      <c r="J452" s="17"/>
      <c r="K452" s="17"/>
      <c r="L452" s="17"/>
      <c r="M452" s="17"/>
      <c r="N452" s="17"/>
      <c r="O452" s="17"/>
      <c r="P452" s="17"/>
      <c r="Q452" s="17"/>
    </row>
    <row r="453">
      <c r="A453" s="17"/>
      <c r="B453" s="17"/>
      <c r="C453" s="17"/>
      <c r="D453" s="17"/>
      <c r="E453" s="17"/>
      <c r="F453" s="17"/>
      <c r="G453" s="17"/>
      <c r="H453" s="17"/>
      <c r="I453" s="17"/>
      <c r="J453" s="17"/>
      <c r="K453" s="17"/>
      <c r="L453" s="17"/>
      <c r="M453" s="17"/>
      <c r="N453" s="17"/>
      <c r="O453" s="17"/>
      <c r="P453" s="17"/>
      <c r="Q453" s="17"/>
    </row>
    <row r="454">
      <c r="A454" s="17"/>
      <c r="B454" s="17"/>
      <c r="C454" s="17"/>
      <c r="D454" s="17"/>
      <c r="E454" s="17"/>
      <c r="F454" s="17"/>
      <c r="G454" s="17"/>
      <c r="H454" s="17"/>
      <c r="I454" s="17"/>
      <c r="J454" s="17"/>
      <c r="K454" s="17"/>
      <c r="L454" s="17"/>
      <c r="M454" s="17"/>
      <c r="N454" s="17"/>
      <c r="O454" s="17"/>
      <c r="P454" s="17"/>
      <c r="Q454" s="17"/>
    </row>
    <row r="455">
      <c r="A455" s="17"/>
      <c r="B455" s="17"/>
      <c r="C455" s="17"/>
      <c r="D455" s="17"/>
      <c r="E455" s="17"/>
      <c r="F455" s="17"/>
      <c r="G455" s="17"/>
      <c r="H455" s="17"/>
      <c r="I455" s="17"/>
      <c r="J455" s="17"/>
      <c r="K455" s="17"/>
      <c r="L455" s="17"/>
      <c r="M455" s="17"/>
      <c r="N455" s="17"/>
      <c r="O455" s="17"/>
      <c r="P455" s="17"/>
      <c r="Q455" s="17"/>
    </row>
    <row r="456">
      <c r="A456" s="17"/>
      <c r="B456" s="17"/>
      <c r="C456" s="17"/>
      <c r="D456" s="17"/>
      <c r="E456" s="17"/>
      <c r="F456" s="17"/>
      <c r="G456" s="17"/>
      <c r="H456" s="17"/>
      <c r="I456" s="17"/>
      <c r="J456" s="17"/>
      <c r="K456" s="17"/>
      <c r="L456" s="17"/>
      <c r="M456" s="17"/>
      <c r="N456" s="17"/>
      <c r="O456" s="17"/>
      <c r="P456" s="17"/>
      <c r="Q456" s="17"/>
    </row>
    <row r="457">
      <c r="A457" s="17"/>
      <c r="B457" s="17"/>
      <c r="C457" s="17"/>
      <c r="D457" s="17"/>
      <c r="E457" s="17"/>
      <c r="F457" s="17"/>
      <c r="G457" s="17"/>
      <c r="H457" s="17"/>
      <c r="I457" s="17"/>
      <c r="J457" s="17"/>
      <c r="K457" s="17"/>
      <c r="L457" s="17"/>
      <c r="M457" s="17"/>
      <c r="N457" s="17"/>
      <c r="O457" s="17"/>
      <c r="P457" s="17"/>
      <c r="Q457" s="17"/>
    </row>
    <row r="458">
      <c r="A458" s="17"/>
      <c r="B458" s="17"/>
      <c r="C458" s="17"/>
      <c r="D458" s="17"/>
      <c r="E458" s="17"/>
      <c r="F458" s="17"/>
      <c r="G458" s="17"/>
      <c r="H458" s="17"/>
      <c r="I458" s="17"/>
      <c r="J458" s="17"/>
      <c r="K458" s="17"/>
      <c r="L458" s="17"/>
      <c r="M458" s="17"/>
      <c r="N458" s="17"/>
      <c r="O458" s="17"/>
      <c r="P458" s="17"/>
      <c r="Q458" s="17"/>
    </row>
    <row r="459">
      <c r="A459" s="17"/>
      <c r="B459" s="17"/>
      <c r="C459" s="17"/>
      <c r="D459" s="17"/>
      <c r="E459" s="17"/>
      <c r="F459" s="17"/>
      <c r="G459" s="17"/>
      <c r="H459" s="17"/>
      <c r="I459" s="17"/>
      <c r="J459" s="17"/>
      <c r="K459" s="17"/>
      <c r="L459" s="17"/>
      <c r="M459" s="17"/>
      <c r="N459" s="17"/>
      <c r="O459" s="17"/>
      <c r="P459" s="17"/>
      <c r="Q459" s="17"/>
    </row>
    <row r="460">
      <c r="A460" s="17"/>
      <c r="B460" s="17"/>
      <c r="C460" s="17"/>
      <c r="D460" s="17"/>
      <c r="E460" s="17"/>
      <c r="F460" s="17"/>
      <c r="G460" s="17"/>
      <c r="H460" s="17"/>
      <c r="I460" s="17"/>
      <c r="J460" s="17"/>
      <c r="K460" s="17"/>
      <c r="L460" s="17"/>
      <c r="M460" s="17"/>
      <c r="N460" s="17"/>
      <c r="O460" s="17"/>
      <c r="P460" s="17"/>
      <c r="Q460" s="17"/>
    </row>
    <row r="461">
      <c r="A461" s="17"/>
      <c r="B461" s="17"/>
      <c r="C461" s="17"/>
      <c r="D461" s="17"/>
      <c r="E461" s="17"/>
      <c r="F461" s="17"/>
      <c r="G461" s="17"/>
      <c r="H461" s="17"/>
      <c r="I461" s="17"/>
      <c r="J461" s="17"/>
      <c r="K461" s="17"/>
      <c r="L461" s="17"/>
      <c r="M461" s="17"/>
      <c r="N461" s="17"/>
      <c r="O461" s="17"/>
      <c r="P461" s="17"/>
      <c r="Q461" s="17"/>
    </row>
    <row r="462">
      <c r="A462" s="17"/>
      <c r="B462" s="17"/>
      <c r="C462" s="17"/>
      <c r="D462" s="17"/>
      <c r="E462" s="17"/>
      <c r="F462" s="17"/>
      <c r="G462" s="17"/>
      <c r="H462" s="17"/>
      <c r="I462" s="17"/>
      <c r="J462" s="17"/>
      <c r="K462" s="17"/>
      <c r="L462" s="17"/>
      <c r="M462" s="17"/>
      <c r="N462" s="17"/>
      <c r="O462" s="17"/>
      <c r="P462" s="17"/>
      <c r="Q462" s="17"/>
    </row>
    <row r="463">
      <c r="A463" s="17"/>
      <c r="B463" s="17"/>
      <c r="C463" s="17"/>
      <c r="D463" s="17"/>
      <c r="E463" s="17"/>
      <c r="F463" s="17"/>
      <c r="G463" s="17"/>
      <c r="H463" s="17"/>
      <c r="I463" s="17"/>
      <c r="J463" s="17"/>
      <c r="K463" s="17"/>
      <c r="L463" s="17"/>
      <c r="M463" s="17"/>
      <c r="N463" s="17"/>
      <c r="O463" s="17"/>
      <c r="P463" s="17"/>
      <c r="Q463" s="17"/>
    </row>
    <row r="464">
      <c r="A464" s="17"/>
      <c r="B464" s="17"/>
      <c r="C464" s="17"/>
      <c r="D464" s="17"/>
      <c r="E464" s="17"/>
      <c r="F464" s="17"/>
      <c r="G464" s="17"/>
      <c r="H464" s="17"/>
      <c r="I464" s="17"/>
      <c r="J464" s="17"/>
      <c r="K464" s="17"/>
      <c r="L464" s="17"/>
      <c r="M464" s="17"/>
      <c r="N464" s="17"/>
      <c r="O464" s="17"/>
      <c r="P464" s="17"/>
      <c r="Q464" s="17"/>
    </row>
    <row r="465">
      <c r="A465" s="17"/>
      <c r="B465" s="17"/>
      <c r="C465" s="17"/>
      <c r="D465" s="17"/>
      <c r="E465" s="17"/>
      <c r="F465" s="17"/>
      <c r="G465" s="17"/>
      <c r="H465" s="17"/>
      <c r="I465" s="17"/>
      <c r="J465" s="17"/>
      <c r="K465" s="17"/>
      <c r="L465" s="17"/>
      <c r="M465" s="17"/>
      <c r="N465" s="17"/>
      <c r="O465" s="17"/>
      <c r="P465" s="17"/>
      <c r="Q465" s="17"/>
    </row>
    <row r="466">
      <c r="A466" s="17"/>
      <c r="B466" s="17"/>
      <c r="C466" s="17"/>
      <c r="D466" s="17"/>
      <c r="E466" s="17"/>
      <c r="F466" s="17"/>
      <c r="G466" s="17"/>
      <c r="H466" s="17"/>
      <c r="I466" s="17"/>
      <c r="J466" s="17"/>
      <c r="K466" s="17"/>
      <c r="L466" s="17"/>
      <c r="M466" s="17"/>
      <c r="N466" s="17"/>
      <c r="O466" s="17"/>
      <c r="P466" s="17"/>
      <c r="Q466" s="17"/>
    </row>
    <row r="467">
      <c r="A467" s="17"/>
      <c r="B467" s="17"/>
      <c r="C467" s="17"/>
      <c r="D467" s="17"/>
      <c r="E467" s="17"/>
      <c r="F467" s="17"/>
      <c r="G467" s="17"/>
      <c r="H467" s="17"/>
      <c r="I467" s="17"/>
      <c r="J467" s="17"/>
      <c r="K467" s="17"/>
      <c r="L467" s="17"/>
      <c r="M467" s="17"/>
      <c r="N467" s="17"/>
      <c r="O467" s="17"/>
      <c r="P467" s="17"/>
      <c r="Q467" s="17"/>
    </row>
    <row r="468">
      <c r="A468" s="17"/>
      <c r="B468" s="17"/>
      <c r="C468" s="17"/>
      <c r="D468" s="17"/>
      <c r="E468" s="17"/>
      <c r="F468" s="17"/>
      <c r="G468" s="17"/>
      <c r="H468" s="17"/>
      <c r="I468" s="17"/>
      <c r="J468" s="17"/>
      <c r="K468" s="17"/>
      <c r="L468" s="17"/>
      <c r="M468" s="17"/>
      <c r="N468" s="17"/>
      <c r="O468" s="17"/>
      <c r="P468" s="17"/>
      <c r="Q468" s="17"/>
    </row>
    <row r="469">
      <c r="A469" s="17"/>
      <c r="B469" s="17"/>
      <c r="C469" s="17"/>
      <c r="D469" s="17"/>
      <c r="E469" s="17"/>
      <c r="F469" s="17"/>
      <c r="G469" s="17"/>
      <c r="H469" s="17"/>
      <c r="I469" s="17"/>
      <c r="J469" s="17"/>
      <c r="K469" s="17"/>
      <c r="L469" s="17"/>
      <c r="M469" s="17"/>
      <c r="N469" s="17"/>
      <c r="O469" s="17"/>
      <c r="P469" s="17"/>
      <c r="Q469" s="17"/>
    </row>
    <row r="470">
      <c r="A470" s="17"/>
      <c r="B470" s="17"/>
      <c r="C470" s="17"/>
      <c r="D470" s="17"/>
      <c r="E470" s="17"/>
      <c r="F470" s="17"/>
      <c r="G470" s="17"/>
      <c r="H470" s="17"/>
      <c r="I470" s="17"/>
      <c r="J470" s="17"/>
      <c r="K470" s="17"/>
      <c r="L470" s="17"/>
      <c r="M470" s="17"/>
      <c r="N470" s="17"/>
      <c r="O470" s="17"/>
      <c r="P470" s="17"/>
      <c r="Q470" s="17"/>
    </row>
    <row r="471">
      <c r="A471" s="17"/>
      <c r="B471" s="17"/>
      <c r="C471" s="17"/>
      <c r="D471" s="17"/>
      <c r="E471" s="17"/>
      <c r="F471" s="17"/>
      <c r="G471" s="17"/>
      <c r="H471" s="17"/>
      <c r="I471" s="17"/>
      <c r="J471" s="17"/>
      <c r="K471" s="17"/>
      <c r="L471" s="17"/>
      <c r="M471" s="17"/>
      <c r="N471" s="17"/>
      <c r="O471" s="17"/>
      <c r="P471" s="17"/>
      <c r="Q471" s="17"/>
    </row>
    <row r="472">
      <c r="A472" s="17"/>
      <c r="B472" s="17"/>
      <c r="C472" s="17"/>
      <c r="D472" s="17"/>
      <c r="E472" s="17"/>
      <c r="F472" s="17"/>
      <c r="G472" s="17"/>
      <c r="H472" s="17"/>
      <c r="I472" s="17"/>
      <c r="J472" s="17"/>
      <c r="K472" s="17"/>
      <c r="L472" s="17"/>
      <c r="M472" s="17"/>
      <c r="N472" s="17"/>
      <c r="O472" s="17"/>
      <c r="P472" s="17"/>
      <c r="Q472" s="17"/>
    </row>
    <row r="473">
      <c r="A473" s="17"/>
      <c r="B473" s="17"/>
      <c r="C473" s="17"/>
      <c r="D473" s="17"/>
      <c r="E473" s="17"/>
      <c r="F473" s="17"/>
      <c r="G473" s="17"/>
      <c r="H473" s="17"/>
      <c r="I473" s="17"/>
      <c r="J473" s="17"/>
      <c r="K473" s="17"/>
      <c r="L473" s="17"/>
      <c r="M473" s="17"/>
      <c r="N473" s="17"/>
      <c r="O473" s="17"/>
      <c r="P473" s="17"/>
      <c r="Q473" s="17"/>
    </row>
    <row r="474">
      <c r="A474" s="17"/>
      <c r="B474" s="17"/>
      <c r="C474" s="17"/>
      <c r="D474" s="17"/>
      <c r="E474" s="17"/>
      <c r="F474" s="17"/>
      <c r="G474" s="17"/>
      <c r="H474" s="17"/>
      <c r="I474" s="17"/>
      <c r="J474" s="17"/>
      <c r="K474" s="17"/>
      <c r="L474" s="17"/>
      <c r="M474" s="17"/>
      <c r="N474" s="17"/>
      <c r="O474" s="17"/>
      <c r="P474" s="17"/>
      <c r="Q474" s="17"/>
    </row>
    <row r="475">
      <c r="A475" s="17"/>
      <c r="B475" s="17"/>
      <c r="C475" s="17"/>
      <c r="D475" s="17"/>
      <c r="E475" s="17"/>
      <c r="F475" s="17"/>
      <c r="G475" s="17"/>
      <c r="H475" s="17"/>
      <c r="I475" s="17"/>
      <c r="J475" s="17"/>
      <c r="K475" s="17"/>
      <c r="L475" s="17"/>
      <c r="M475" s="17"/>
      <c r="N475" s="17"/>
      <c r="O475" s="17"/>
      <c r="P475" s="17"/>
      <c r="Q475" s="17"/>
    </row>
    <row r="476">
      <c r="A476" s="17"/>
      <c r="B476" s="17"/>
      <c r="C476" s="17"/>
      <c r="D476" s="17"/>
      <c r="E476" s="17"/>
      <c r="F476" s="17"/>
      <c r="G476" s="17"/>
      <c r="H476" s="17"/>
      <c r="I476" s="17"/>
      <c r="J476" s="17"/>
      <c r="K476" s="17"/>
      <c r="L476" s="17"/>
      <c r="M476" s="17"/>
      <c r="N476" s="17"/>
      <c r="O476" s="17"/>
      <c r="P476" s="17"/>
      <c r="Q476" s="17"/>
    </row>
    <row r="477">
      <c r="A477" s="17"/>
      <c r="B477" s="17"/>
      <c r="C477" s="17"/>
      <c r="D477" s="17"/>
      <c r="E477" s="17"/>
      <c r="F477" s="17"/>
      <c r="G477" s="17"/>
      <c r="H477" s="17"/>
      <c r="I477" s="17"/>
      <c r="J477" s="17"/>
      <c r="K477" s="17"/>
      <c r="L477" s="17"/>
      <c r="M477" s="17"/>
      <c r="N477" s="17"/>
      <c r="O477" s="17"/>
      <c r="P477" s="17"/>
      <c r="Q477" s="17"/>
    </row>
    <row r="478">
      <c r="A478" s="17"/>
      <c r="B478" s="17"/>
      <c r="C478" s="17"/>
      <c r="D478" s="17"/>
      <c r="E478" s="17"/>
      <c r="F478" s="17"/>
      <c r="G478" s="17"/>
      <c r="H478" s="17"/>
      <c r="I478" s="17"/>
      <c r="J478" s="17"/>
      <c r="K478" s="17"/>
      <c r="L478" s="17"/>
      <c r="M478" s="17"/>
      <c r="N478" s="17"/>
      <c r="O478" s="17"/>
      <c r="P478" s="17"/>
      <c r="Q478" s="17"/>
    </row>
    <row r="479">
      <c r="A479" s="17"/>
      <c r="B479" s="17"/>
      <c r="C479" s="17"/>
      <c r="D479" s="17"/>
      <c r="E479" s="17"/>
      <c r="F479" s="17"/>
      <c r="G479" s="17"/>
      <c r="H479" s="17"/>
      <c r="I479" s="17"/>
      <c r="J479" s="17"/>
      <c r="K479" s="17"/>
      <c r="L479" s="17"/>
      <c r="M479" s="17"/>
      <c r="N479" s="17"/>
      <c r="O479" s="17"/>
      <c r="P479" s="17"/>
      <c r="Q479" s="17"/>
    </row>
    <row r="480">
      <c r="A480" s="17"/>
      <c r="B480" s="17"/>
      <c r="C480" s="17"/>
      <c r="D480" s="17"/>
      <c r="E480" s="17"/>
      <c r="F480" s="17"/>
      <c r="G480" s="17"/>
      <c r="H480" s="17"/>
      <c r="I480" s="17"/>
      <c r="J480" s="17"/>
      <c r="K480" s="17"/>
      <c r="L480" s="17"/>
      <c r="M480" s="17"/>
      <c r="N480" s="17"/>
      <c r="O480" s="17"/>
      <c r="P480" s="17"/>
      <c r="Q480" s="17"/>
    </row>
    <row r="481">
      <c r="A481" s="17"/>
      <c r="B481" s="17"/>
      <c r="C481" s="17"/>
      <c r="D481" s="17"/>
      <c r="E481" s="17"/>
      <c r="F481" s="17"/>
      <c r="G481" s="17"/>
      <c r="H481" s="17"/>
      <c r="I481" s="17"/>
      <c r="J481" s="17"/>
      <c r="K481" s="17"/>
      <c r="L481" s="17"/>
      <c r="M481" s="17"/>
      <c r="N481" s="17"/>
      <c r="O481" s="17"/>
      <c r="P481" s="17"/>
      <c r="Q481" s="17"/>
    </row>
    <row r="482">
      <c r="A482" s="17"/>
      <c r="B482" s="17"/>
      <c r="C482" s="17"/>
      <c r="D482" s="17"/>
      <c r="E482" s="17"/>
      <c r="F482" s="17"/>
      <c r="G482" s="17"/>
      <c r="H482" s="17"/>
      <c r="I482" s="17"/>
      <c r="J482" s="17"/>
      <c r="K482" s="17"/>
      <c r="L482" s="17"/>
      <c r="M482" s="17"/>
      <c r="N482" s="17"/>
      <c r="O482" s="17"/>
      <c r="P482" s="17"/>
      <c r="Q482" s="17"/>
    </row>
    <row r="483">
      <c r="A483" s="17"/>
      <c r="B483" s="17"/>
      <c r="C483" s="17"/>
      <c r="D483" s="17"/>
      <c r="E483" s="17"/>
      <c r="F483" s="17"/>
      <c r="G483" s="17"/>
      <c r="H483" s="17"/>
      <c r="I483" s="17"/>
      <c r="J483" s="17"/>
      <c r="K483" s="17"/>
      <c r="L483" s="17"/>
      <c r="M483" s="17"/>
      <c r="N483" s="17"/>
      <c r="O483" s="17"/>
      <c r="P483" s="17"/>
      <c r="Q483" s="17"/>
    </row>
    <row r="484">
      <c r="A484" s="17"/>
      <c r="B484" s="17"/>
      <c r="C484" s="17"/>
      <c r="D484" s="17"/>
      <c r="E484" s="17"/>
      <c r="F484" s="17"/>
      <c r="G484" s="17"/>
      <c r="H484" s="17"/>
      <c r="I484" s="17"/>
      <c r="J484" s="17"/>
      <c r="K484" s="17"/>
      <c r="L484" s="17"/>
      <c r="M484" s="17"/>
      <c r="N484" s="17"/>
      <c r="O484" s="17"/>
      <c r="P484" s="17"/>
      <c r="Q484" s="17"/>
    </row>
    <row r="485">
      <c r="A485" s="17"/>
      <c r="B485" s="17"/>
      <c r="C485" s="17"/>
      <c r="D485" s="17"/>
      <c r="E485" s="17"/>
      <c r="F485" s="17"/>
      <c r="G485" s="17"/>
      <c r="H485" s="17"/>
      <c r="I485" s="17"/>
      <c r="J485" s="17"/>
      <c r="K485" s="17"/>
      <c r="L485" s="17"/>
      <c r="M485" s="17"/>
      <c r="N485" s="17"/>
      <c r="O485" s="17"/>
      <c r="P485" s="17"/>
      <c r="Q485" s="17"/>
    </row>
    <row r="486">
      <c r="A486" s="17"/>
      <c r="B486" s="17"/>
      <c r="C486" s="17"/>
      <c r="D486" s="17"/>
      <c r="E486" s="17"/>
      <c r="F486" s="17"/>
      <c r="G486" s="17"/>
      <c r="H486" s="17"/>
      <c r="I486" s="17"/>
      <c r="J486" s="17"/>
      <c r="K486" s="17"/>
      <c r="L486" s="17"/>
      <c r="M486" s="17"/>
      <c r="N486" s="17"/>
      <c r="O486" s="17"/>
      <c r="P486" s="17"/>
      <c r="Q486" s="17"/>
    </row>
    <row r="487">
      <c r="A487" s="17"/>
      <c r="B487" s="17"/>
      <c r="C487" s="17"/>
      <c r="D487" s="17"/>
      <c r="E487" s="17"/>
      <c r="F487" s="17"/>
      <c r="G487" s="17"/>
      <c r="H487" s="17"/>
      <c r="I487" s="17"/>
      <c r="J487" s="17"/>
      <c r="K487" s="17"/>
      <c r="L487" s="17"/>
      <c r="M487" s="17"/>
      <c r="N487" s="17"/>
      <c r="O487" s="17"/>
      <c r="P487" s="17"/>
      <c r="Q487" s="17"/>
    </row>
    <row r="488">
      <c r="A488" s="17"/>
      <c r="B488" s="17"/>
      <c r="C488" s="17"/>
      <c r="D488" s="17"/>
      <c r="E488" s="17"/>
      <c r="F488" s="17"/>
      <c r="G488" s="17"/>
      <c r="H488" s="17"/>
      <c r="I488" s="17"/>
      <c r="J488" s="17"/>
      <c r="K488" s="17"/>
      <c r="L488" s="17"/>
      <c r="M488" s="17"/>
      <c r="N488" s="17"/>
      <c r="O488" s="17"/>
      <c r="P488" s="17"/>
      <c r="Q488" s="17"/>
    </row>
    <row r="489">
      <c r="A489" s="17"/>
      <c r="B489" s="17"/>
      <c r="C489" s="17"/>
      <c r="D489" s="17"/>
      <c r="E489" s="17"/>
      <c r="F489" s="17"/>
      <c r="G489" s="17"/>
      <c r="H489" s="17"/>
      <c r="I489" s="17"/>
      <c r="J489" s="17"/>
      <c r="K489" s="17"/>
      <c r="L489" s="17"/>
      <c r="M489" s="17"/>
      <c r="N489" s="17"/>
      <c r="O489" s="17"/>
      <c r="P489" s="17"/>
      <c r="Q489" s="17"/>
    </row>
    <row r="490">
      <c r="A490" s="17"/>
      <c r="B490" s="17"/>
      <c r="C490" s="17"/>
      <c r="D490" s="17"/>
      <c r="E490" s="17"/>
      <c r="F490" s="17"/>
      <c r="G490" s="17"/>
      <c r="H490" s="17"/>
      <c r="I490" s="17"/>
      <c r="J490" s="17"/>
      <c r="K490" s="17"/>
      <c r="L490" s="17"/>
      <c r="M490" s="17"/>
      <c r="N490" s="17"/>
      <c r="O490" s="17"/>
      <c r="P490" s="17"/>
      <c r="Q490" s="17"/>
    </row>
    <row r="491">
      <c r="A491" s="17"/>
      <c r="B491" s="17"/>
      <c r="C491" s="17"/>
      <c r="D491" s="17"/>
      <c r="E491" s="17"/>
      <c r="F491" s="17"/>
      <c r="G491" s="17"/>
      <c r="H491" s="17"/>
      <c r="I491" s="17"/>
      <c r="J491" s="17"/>
      <c r="K491" s="17"/>
      <c r="L491" s="17"/>
      <c r="M491" s="17"/>
      <c r="N491" s="17"/>
      <c r="O491" s="17"/>
      <c r="P491" s="17"/>
      <c r="Q491" s="17"/>
    </row>
    <row r="492">
      <c r="A492" s="17"/>
      <c r="B492" s="17"/>
      <c r="C492" s="17"/>
      <c r="D492" s="17"/>
      <c r="E492" s="17"/>
      <c r="F492" s="17"/>
      <c r="G492" s="17"/>
      <c r="H492" s="17"/>
      <c r="I492" s="17"/>
      <c r="J492" s="17"/>
      <c r="K492" s="17"/>
      <c r="L492" s="17"/>
      <c r="M492" s="17"/>
      <c r="N492" s="17"/>
      <c r="O492" s="17"/>
      <c r="P492" s="17"/>
      <c r="Q492" s="17"/>
    </row>
    <row r="493">
      <c r="A493" s="17"/>
      <c r="B493" s="17"/>
      <c r="C493" s="17"/>
      <c r="D493" s="17"/>
      <c r="E493" s="17"/>
      <c r="F493" s="17"/>
      <c r="G493" s="17"/>
      <c r="H493" s="17"/>
      <c r="I493" s="17"/>
      <c r="J493" s="17"/>
      <c r="K493" s="17"/>
      <c r="L493" s="17"/>
      <c r="M493" s="17"/>
      <c r="N493" s="17"/>
      <c r="O493" s="17"/>
      <c r="P493" s="17"/>
      <c r="Q493" s="17"/>
    </row>
    <row r="494">
      <c r="A494" s="17"/>
      <c r="B494" s="17"/>
      <c r="C494" s="17"/>
      <c r="D494" s="17"/>
      <c r="E494" s="17"/>
      <c r="F494" s="17"/>
      <c r="G494" s="17"/>
      <c r="H494" s="17"/>
      <c r="I494" s="17"/>
      <c r="J494" s="17"/>
      <c r="K494" s="17"/>
      <c r="L494" s="17"/>
      <c r="M494" s="17"/>
      <c r="N494" s="17"/>
      <c r="O494" s="17"/>
      <c r="P494" s="17"/>
      <c r="Q494" s="17"/>
    </row>
    <row r="495">
      <c r="A495" s="17"/>
      <c r="B495" s="17"/>
      <c r="C495" s="17"/>
      <c r="D495" s="17"/>
      <c r="E495" s="17"/>
      <c r="F495" s="17"/>
      <c r="G495" s="17"/>
      <c r="H495" s="17"/>
      <c r="I495" s="17"/>
      <c r="J495" s="17"/>
      <c r="K495" s="17"/>
      <c r="L495" s="17"/>
      <c r="M495" s="17"/>
      <c r="N495" s="17"/>
      <c r="O495" s="17"/>
      <c r="P495" s="17"/>
      <c r="Q495" s="17"/>
    </row>
    <row r="496">
      <c r="A496" s="17"/>
      <c r="B496" s="17"/>
      <c r="C496" s="17"/>
      <c r="D496" s="17"/>
      <c r="E496" s="17"/>
      <c r="F496" s="17"/>
      <c r="G496" s="17"/>
      <c r="H496" s="17"/>
      <c r="I496" s="17"/>
      <c r="J496" s="17"/>
      <c r="K496" s="17"/>
      <c r="L496" s="17"/>
      <c r="M496" s="17"/>
      <c r="N496" s="17"/>
      <c r="O496" s="17"/>
      <c r="P496" s="17"/>
      <c r="Q496" s="17"/>
    </row>
    <row r="497">
      <c r="A497" s="17"/>
      <c r="B497" s="17"/>
      <c r="C497" s="17"/>
      <c r="D497" s="17"/>
      <c r="E497" s="17"/>
      <c r="F497" s="17"/>
      <c r="G497" s="17"/>
      <c r="H497" s="17"/>
      <c r="I497" s="17"/>
      <c r="J497" s="17"/>
      <c r="K497" s="17"/>
      <c r="L497" s="17"/>
      <c r="M497" s="17"/>
      <c r="N497" s="17"/>
      <c r="O497" s="17"/>
      <c r="P497" s="17"/>
      <c r="Q497" s="17"/>
    </row>
    <row r="498">
      <c r="A498" s="17"/>
      <c r="B498" s="17"/>
      <c r="C498" s="17"/>
      <c r="D498" s="17"/>
      <c r="E498" s="17"/>
      <c r="F498" s="17"/>
      <c r="G498" s="17"/>
      <c r="H498" s="17"/>
      <c r="I498" s="17"/>
      <c r="J498" s="17"/>
      <c r="K498" s="17"/>
      <c r="L498" s="17"/>
      <c r="M498" s="17"/>
      <c r="N498" s="17"/>
      <c r="O498" s="17"/>
      <c r="P498" s="17"/>
      <c r="Q498" s="17"/>
    </row>
    <row r="499">
      <c r="A499" s="17"/>
      <c r="B499" s="17"/>
      <c r="C499" s="17"/>
      <c r="D499" s="17"/>
      <c r="E499" s="17"/>
      <c r="F499" s="17"/>
      <c r="G499" s="17"/>
      <c r="H499" s="17"/>
      <c r="I499" s="17"/>
      <c r="J499" s="17"/>
      <c r="K499" s="17"/>
      <c r="L499" s="17"/>
      <c r="M499" s="17"/>
      <c r="N499" s="17"/>
      <c r="O499" s="17"/>
      <c r="P499" s="17"/>
      <c r="Q499" s="17"/>
    </row>
    <row r="500">
      <c r="A500" s="17"/>
      <c r="B500" s="17"/>
      <c r="C500" s="17"/>
      <c r="D500" s="17"/>
      <c r="E500" s="17"/>
      <c r="F500" s="17"/>
      <c r="G500" s="17"/>
      <c r="H500" s="17"/>
      <c r="I500" s="17"/>
      <c r="J500" s="17"/>
      <c r="K500" s="17"/>
      <c r="L500" s="17"/>
      <c r="M500" s="17"/>
      <c r="N500" s="17"/>
      <c r="O500" s="17"/>
      <c r="P500" s="17"/>
      <c r="Q500" s="17"/>
    </row>
    <row r="501">
      <c r="A501" s="17"/>
      <c r="B501" s="17"/>
      <c r="C501" s="17"/>
      <c r="D501" s="17"/>
      <c r="E501" s="17"/>
      <c r="F501" s="17"/>
      <c r="G501" s="17"/>
      <c r="H501" s="17"/>
      <c r="I501" s="17"/>
      <c r="J501" s="17"/>
      <c r="K501" s="17"/>
      <c r="L501" s="17"/>
      <c r="M501" s="17"/>
      <c r="N501" s="17"/>
      <c r="O501" s="17"/>
      <c r="P501" s="17"/>
      <c r="Q501" s="17"/>
    </row>
    <row r="502">
      <c r="A502" s="17"/>
      <c r="B502" s="17"/>
      <c r="C502" s="17"/>
      <c r="D502" s="17"/>
      <c r="E502" s="17"/>
      <c r="F502" s="17"/>
      <c r="G502" s="17"/>
      <c r="H502" s="17"/>
      <c r="I502" s="17"/>
      <c r="J502" s="17"/>
      <c r="K502" s="17"/>
      <c r="L502" s="17"/>
      <c r="M502" s="17"/>
      <c r="N502" s="17"/>
      <c r="O502" s="17"/>
      <c r="P502" s="17"/>
      <c r="Q502" s="17"/>
    </row>
    <row r="503">
      <c r="A503" s="17"/>
      <c r="B503" s="17"/>
      <c r="C503" s="17"/>
      <c r="D503" s="17"/>
      <c r="E503" s="17"/>
      <c r="F503" s="17"/>
      <c r="G503" s="17"/>
      <c r="H503" s="17"/>
      <c r="I503" s="17"/>
      <c r="J503" s="17"/>
      <c r="K503" s="17"/>
      <c r="L503" s="17"/>
      <c r="M503" s="17"/>
      <c r="N503" s="17"/>
      <c r="O503" s="17"/>
      <c r="P503" s="17"/>
      <c r="Q503" s="17"/>
    </row>
    <row r="504">
      <c r="A504" s="17"/>
      <c r="B504" s="17"/>
      <c r="C504" s="17"/>
      <c r="D504" s="17"/>
      <c r="E504" s="17"/>
      <c r="F504" s="17"/>
      <c r="G504" s="17"/>
      <c r="H504" s="17"/>
      <c r="I504" s="17"/>
      <c r="J504" s="17"/>
      <c r="K504" s="17"/>
      <c r="L504" s="17"/>
      <c r="M504" s="17"/>
      <c r="N504" s="17"/>
      <c r="O504" s="17"/>
      <c r="P504" s="17"/>
      <c r="Q504" s="17"/>
    </row>
    <row r="505">
      <c r="A505" s="17"/>
      <c r="B505" s="17"/>
      <c r="C505" s="17"/>
      <c r="D505" s="17"/>
      <c r="E505" s="17"/>
      <c r="F505" s="17"/>
      <c r="G505" s="17"/>
      <c r="H505" s="17"/>
      <c r="I505" s="17"/>
      <c r="J505" s="17"/>
      <c r="K505" s="17"/>
      <c r="L505" s="17"/>
      <c r="M505" s="17"/>
      <c r="N505" s="17"/>
      <c r="O505" s="17"/>
      <c r="P505" s="17"/>
      <c r="Q505" s="17"/>
    </row>
    <row r="506">
      <c r="A506" s="17"/>
      <c r="B506" s="17"/>
      <c r="C506" s="17"/>
      <c r="D506" s="17"/>
      <c r="E506" s="17"/>
      <c r="F506" s="17"/>
      <c r="G506" s="17"/>
      <c r="H506" s="17"/>
      <c r="I506" s="17"/>
      <c r="J506" s="17"/>
      <c r="K506" s="17"/>
      <c r="L506" s="17"/>
      <c r="M506" s="17"/>
      <c r="N506" s="17"/>
      <c r="O506" s="17"/>
      <c r="P506" s="17"/>
      <c r="Q506" s="17"/>
    </row>
    <row r="507">
      <c r="A507" s="17"/>
      <c r="B507" s="17"/>
      <c r="C507" s="17"/>
      <c r="D507" s="17"/>
      <c r="E507" s="17"/>
      <c r="F507" s="17"/>
      <c r="G507" s="17"/>
      <c r="H507" s="17"/>
      <c r="I507" s="17"/>
      <c r="J507" s="17"/>
      <c r="K507" s="17"/>
      <c r="L507" s="17"/>
      <c r="M507" s="17"/>
      <c r="N507" s="17"/>
      <c r="O507" s="17"/>
      <c r="P507" s="17"/>
      <c r="Q507" s="17"/>
    </row>
    <row r="508">
      <c r="A508" s="17"/>
      <c r="B508" s="17"/>
      <c r="C508" s="17"/>
      <c r="D508" s="17"/>
      <c r="E508" s="17"/>
      <c r="F508" s="17"/>
      <c r="G508" s="17"/>
      <c r="H508" s="17"/>
      <c r="I508" s="17"/>
      <c r="J508" s="17"/>
      <c r="K508" s="17"/>
      <c r="L508" s="17"/>
      <c r="M508" s="17"/>
      <c r="N508" s="17"/>
      <c r="O508" s="17"/>
      <c r="P508" s="17"/>
      <c r="Q508" s="17"/>
    </row>
    <row r="509">
      <c r="A509" s="17"/>
      <c r="B509" s="17"/>
      <c r="C509" s="17"/>
      <c r="D509" s="17"/>
      <c r="E509" s="17"/>
      <c r="F509" s="17"/>
      <c r="G509" s="17"/>
      <c r="H509" s="17"/>
      <c r="I509" s="17"/>
      <c r="J509" s="17"/>
      <c r="K509" s="17"/>
      <c r="L509" s="17"/>
      <c r="M509" s="17"/>
      <c r="N509" s="17"/>
      <c r="O509" s="17"/>
      <c r="P509" s="17"/>
      <c r="Q509" s="17"/>
    </row>
    <row r="510">
      <c r="A510" s="17"/>
      <c r="B510" s="17"/>
      <c r="C510" s="17"/>
      <c r="D510" s="17"/>
      <c r="E510" s="17"/>
      <c r="F510" s="17"/>
      <c r="G510" s="17"/>
      <c r="H510" s="17"/>
      <c r="I510" s="17"/>
      <c r="J510" s="17"/>
      <c r="K510" s="17"/>
      <c r="L510" s="17"/>
      <c r="M510" s="17"/>
      <c r="N510" s="17"/>
      <c r="O510" s="17"/>
      <c r="P510" s="17"/>
      <c r="Q510" s="17"/>
    </row>
    <row r="511">
      <c r="A511" s="17"/>
      <c r="B511" s="17"/>
      <c r="C511" s="17"/>
      <c r="D511" s="17"/>
      <c r="E511" s="17"/>
      <c r="F511" s="17"/>
      <c r="G511" s="17"/>
      <c r="H511" s="17"/>
      <c r="I511" s="17"/>
      <c r="J511" s="17"/>
      <c r="K511" s="17"/>
      <c r="L511" s="17"/>
      <c r="M511" s="17"/>
      <c r="N511" s="17"/>
      <c r="O511" s="17"/>
      <c r="P511" s="17"/>
      <c r="Q511" s="17"/>
    </row>
    <row r="512">
      <c r="A512" s="17"/>
      <c r="B512" s="17"/>
      <c r="C512" s="17"/>
      <c r="D512" s="17"/>
      <c r="E512" s="17"/>
      <c r="F512" s="17"/>
      <c r="G512" s="17"/>
      <c r="H512" s="17"/>
      <c r="I512" s="17"/>
      <c r="J512" s="17"/>
      <c r="K512" s="17"/>
      <c r="L512" s="17"/>
      <c r="M512" s="17"/>
      <c r="N512" s="17"/>
      <c r="O512" s="17"/>
      <c r="P512" s="17"/>
      <c r="Q512" s="17"/>
    </row>
    <row r="513">
      <c r="A513" s="17"/>
      <c r="B513" s="17"/>
      <c r="C513" s="17"/>
      <c r="D513" s="17"/>
      <c r="E513" s="17"/>
      <c r="F513" s="17"/>
      <c r="G513" s="17"/>
      <c r="H513" s="17"/>
      <c r="I513" s="17"/>
      <c r="J513" s="17"/>
      <c r="K513" s="17"/>
      <c r="L513" s="17"/>
      <c r="M513" s="17"/>
      <c r="N513" s="17"/>
      <c r="O513" s="17"/>
      <c r="P513" s="17"/>
      <c r="Q513" s="17"/>
    </row>
    <row r="514">
      <c r="A514" s="17"/>
      <c r="B514" s="17"/>
      <c r="C514" s="17"/>
      <c r="D514" s="17"/>
      <c r="E514" s="17"/>
      <c r="F514" s="17"/>
      <c r="G514" s="17"/>
      <c r="H514" s="17"/>
      <c r="I514" s="17"/>
      <c r="J514" s="17"/>
      <c r="K514" s="17"/>
      <c r="L514" s="17"/>
      <c r="M514" s="17"/>
      <c r="N514" s="17"/>
      <c r="O514" s="17"/>
      <c r="P514" s="17"/>
      <c r="Q514" s="17"/>
    </row>
    <row r="515">
      <c r="A515" s="17"/>
      <c r="B515" s="17"/>
      <c r="C515" s="17"/>
      <c r="D515" s="17"/>
      <c r="E515" s="17"/>
      <c r="F515" s="17"/>
      <c r="G515" s="17"/>
      <c r="H515" s="17"/>
      <c r="I515" s="17"/>
      <c r="J515" s="17"/>
      <c r="K515" s="17"/>
      <c r="L515" s="17"/>
      <c r="M515" s="17"/>
      <c r="N515" s="17"/>
      <c r="O515" s="17"/>
      <c r="P515" s="17"/>
      <c r="Q515" s="17"/>
    </row>
    <row r="516">
      <c r="A516" s="17"/>
      <c r="B516" s="17"/>
      <c r="C516" s="17"/>
      <c r="D516" s="17"/>
      <c r="E516" s="17"/>
      <c r="F516" s="17"/>
      <c r="G516" s="17"/>
      <c r="H516" s="17"/>
      <c r="I516" s="17"/>
      <c r="J516" s="17"/>
      <c r="K516" s="17"/>
      <c r="L516" s="17"/>
      <c r="M516" s="17"/>
      <c r="N516" s="17"/>
      <c r="O516" s="17"/>
      <c r="P516" s="17"/>
      <c r="Q516" s="17"/>
    </row>
    <row r="517">
      <c r="A517" s="17"/>
      <c r="B517" s="17"/>
      <c r="C517" s="17"/>
      <c r="D517" s="17"/>
      <c r="E517" s="17"/>
      <c r="F517" s="17"/>
      <c r="G517" s="17"/>
      <c r="H517" s="17"/>
      <c r="I517" s="17"/>
      <c r="J517" s="17"/>
      <c r="K517" s="17"/>
      <c r="L517" s="17"/>
      <c r="M517" s="17"/>
      <c r="N517" s="17"/>
      <c r="O517" s="17"/>
      <c r="P517" s="17"/>
      <c r="Q517" s="17"/>
    </row>
    <row r="518">
      <c r="A518" s="17"/>
      <c r="B518" s="17"/>
      <c r="C518" s="17"/>
      <c r="D518" s="17"/>
      <c r="E518" s="17"/>
      <c r="F518" s="17"/>
      <c r="G518" s="17"/>
      <c r="H518" s="17"/>
      <c r="I518" s="17"/>
      <c r="J518" s="17"/>
      <c r="K518" s="17"/>
      <c r="L518" s="17"/>
      <c r="M518" s="17"/>
      <c r="N518" s="17"/>
      <c r="O518" s="17"/>
      <c r="P518" s="17"/>
      <c r="Q518" s="17"/>
    </row>
    <row r="519">
      <c r="A519" s="17"/>
      <c r="B519" s="17"/>
      <c r="C519" s="17"/>
      <c r="D519" s="17"/>
      <c r="E519" s="17"/>
      <c r="F519" s="17"/>
      <c r="G519" s="17"/>
      <c r="H519" s="17"/>
      <c r="I519" s="17"/>
      <c r="J519" s="17"/>
      <c r="K519" s="17"/>
      <c r="L519" s="17"/>
      <c r="M519" s="17"/>
      <c r="N519" s="17"/>
      <c r="O519" s="17"/>
      <c r="P519" s="17"/>
      <c r="Q519" s="17"/>
    </row>
    <row r="520">
      <c r="A520" s="17"/>
      <c r="B520" s="17"/>
      <c r="C520" s="17"/>
      <c r="D520" s="17"/>
      <c r="E520" s="17"/>
      <c r="F520" s="17"/>
      <c r="G520" s="17"/>
      <c r="H520" s="17"/>
      <c r="I520" s="17"/>
      <c r="J520" s="17"/>
      <c r="K520" s="17"/>
      <c r="L520" s="17"/>
      <c r="M520" s="17"/>
      <c r="N520" s="17"/>
      <c r="O520" s="17"/>
      <c r="P520" s="17"/>
      <c r="Q520" s="17"/>
    </row>
    <row r="521">
      <c r="A521" s="17"/>
      <c r="B521" s="17"/>
      <c r="C521" s="17"/>
      <c r="D521" s="17"/>
      <c r="E521" s="17"/>
      <c r="F521" s="17"/>
      <c r="G521" s="17"/>
      <c r="H521" s="17"/>
      <c r="I521" s="17"/>
      <c r="J521" s="17"/>
      <c r="K521" s="17"/>
      <c r="L521" s="17"/>
      <c r="M521" s="17"/>
      <c r="N521" s="17"/>
      <c r="O521" s="17"/>
      <c r="P521" s="17"/>
      <c r="Q521" s="17"/>
    </row>
    <row r="522">
      <c r="A522" s="17"/>
      <c r="B522" s="17"/>
      <c r="C522" s="17"/>
      <c r="D522" s="17"/>
      <c r="E522" s="17"/>
      <c r="F522" s="17"/>
      <c r="G522" s="17"/>
      <c r="H522" s="17"/>
      <c r="I522" s="17"/>
      <c r="J522" s="17"/>
      <c r="K522" s="17"/>
      <c r="L522" s="17"/>
      <c r="M522" s="17"/>
      <c r="N522" s="17"/>
      <c r="O522" s="17"/>
      <c r="P522" s="17"/>
      <c r="Q522" s="17"/>
    </row>
    <row r="523">
      <c r="A523" s="17"/>
      <c r="B523" s="17"/>
      <c r="C523" s="17"/>
      <c r="D523" s="17"/>
      <c r="E523" s="17"/>
      <c r="F523" s="17"/>
      <c r="G523" s="17"/>
      <c r="H523" s="17"/>
      <c r="I523" s="17"/>
      <c r="J523" s="17"/>
      <c r="K523" s="17"/>
      <c r="L523" s="17"/>
      <c r="M523" s="17"/>
      <c r="N523" s="17"/>
      <c r="O523" s="17"/>
      <c r="P523" s="17"/>
      <c r="Q523" s="17"/>
    </row>
    <row r="524">
      <c r="A524" s="17"/>
      <c r="B524" s="17"/>
      <c r="C524" s="17"/>
      <c r="D524" s="17"/>
      <c r="E524" s="17"/>
      <c r="F524" s="17"/>
      <c r="G524" s="17"/>
      <c r="H524" s="17"/>
      <c r="I524" s="17"/>
      <c r="J524" s="17"/>
      <c r="K524" s="17"/>
      <c r="L524" s="17"/>
      <c r="M524" s="17"/>
      <c r="N524" s="17"/>
      <c r="O524" s="17"/>
      <c r="P524" s="17"/>
      <c r="Q524" s="17"/>
    </row>
    <row r="525">
      <c r="A525" s="17"/>
      <c r="B525" s="17"/>
      <c r="C525" s="17"/>
      <c r="D525" s="17"/>
      <c r="E525" s="17"/>
      <c r="F525" s="17"/>
      <c r="G525" s="17"/>
      <c r="H525" s="17"/>
      <c r="I525" s="17"/>
      <c r="J525" s="17"/>
      <c r="K525" s="17"/>
      <c r="L525" s="17"/>
      <c r="M525" s="17"/>
      <c r="N525" s="17"/>
      <c r="O525" s="17"/>
      <c r="P525" s="17"/>
      <c r="Q525" s="17"/>
    </row>
    <row r="526">
      <c r="A526" s="17"/>
      <c r="B526" s="17"/>
      <c r="C526" s="17"/>
      <c r="D526" s="17"/>
      <c r="E526" s="17"/>
      <c r="F526" s="17"/>
      <c r="G526" s="17"/>
      <c r="H526" s="17"/>
      <c r="I526" s="17"/>
      <c r="J526" s="17"/>
      <c r="K526" s="17"/>
      <c r="L526" s="17"/>
      <c r="M526" s="17"/>
      <c r="N526" s="17"/>
      <c r="O526" s="17"/>
      <c r="P526" s="17"/>
      <c r="Q526" s="17"/>
    </row>
    <row r="527">
      <c r="A527" s="17"/>
      <c r="B527" s="17"/>
      <c r="C527" s="17"/>
      <c r="D527" s="17"/>
      <c r="E527" s="17"/>
      <c r="F527" s="17"/>
      <c r="G527" s="17"/>
      <c r="H527" s="17"/>
      <c r="I527" s="17"/>
      <c r="J527" s="17"/>
      <c r="K527" s="17"/>
      <c r="L527" s="17"/>
      <c r="M527" s="17"/>
      <c r="N527" s="17"/>
      <c r="O527" s="17"/>
      <c r="P527" s="17"/>
      <c r="Q527" s="17"/>
    </row>
    <row r="528">
      <c r="A528" s="17"/>
      <c r="B528" s="17"/>
      <c r="C528" s="17"/>
      <c r="D528" s="17"/>
      <c r="E528" s="17"/>
      <c r="F528" s="17"/>
      <c r="G528" s="17"/>
      <c r="H528" s="17"/>
      <c r="I528" s="17"/>
      <c r="J528" s="17"/>
      <c r="K528" s="17"/>
      <c r="L528" s="17"/>
      <c r="M528" s="17"/>
      <c r="N528" s="17"/>
      <c r="O528" s="17"/>
      <c r="P528" s="17"/>
      <c r="Q528" s="17"/>
    </row>
    <row r="529">
      <c r="A529" s="17"/>
      <c r="B529" s="17"/>
      <c r="C529" s="17"/>
      <c r="D529" s="17"/>
      <c r="E529" s="17"/>
      <c r="F529" s="17"/>
      <c r="G529" s="17"/>
      <c r="H529" s="17"/>
      <c r="I529" s="17"/>
      <c r="J529" s="17"/>
      <c r="K529" s="17"/>
      <c r="L529" s="17"/>
      <c r="M529" s="17"/>
      <c r="N529" s="17"/>
      <c r="O529" s="17"/>
      <c r="P529" s="17"/>
      <c r="Q529" s="17"/>
    </row>
    <row r="530">
      <c r="A530" s="17"/>
      <c r="B530" s="17"/>
      <c r="C530" s="17"/>
      <c r="D530" s="17"/>
      <c r="E530" s="17"/>
      <c r="F530" s="17"/>
      <c r="G530" s="17"/>
      <c r="H530" s="17"/>
      <c r="I530" s="17"/>
      <c r="J530" s="17"/>
      <c r="K530" s="17"/>
      <c r="L530" s="17"/>
      <c r="M530" s="17"/>
      <c r="N530" s="17"/>
      <c r="O530" s="17"/>
      <c r="P530" s="17"/>
      <c r="Q530" s="17"/>
    </row>
    <row r="531">
      <c r="A531" s="17"/>
      <c r="B531" s="17"/>
      <c r="C531" s="17"/>
      <c r="D531" s="17"/>
      <c r="E531" s="17"/>
      <c r="F531" s="17"/>
      <c r="G531" s="17"/>
      <c r="H531" s="17"/>
      <c r="I531" s="17"/>
      <c r="J531" s="17"/>
      <c r="K531" s="17"/>
      <c r="L531" s="17"/>
      <c r="M531" s="17"/>
      <c r="N531" s="17"/>
      <c r="O531" s="17"/>
      <c r="P531" s="17"/>
      <c r="Q531" s="17"/>
    </row>
    <row r="532">
      <c r="A532" s="17"/>
      <c r="B532" s="17"/>
      <c r="C532" s="17"/>
      <c r="D532" s="17"/>
      <c r="E532" s="17"/>
      <c r="F532" s="17"/>
      <c r="G532" s="17"/>
      <c r="H532" s="17"/>
      <c r="I532" s="17"/>
      <c r="J532" s="17"/>
      <c r="K532" s="17"/>
      <c r="L532" s="17"/>
      <c r="M532" s="17"/>
      <c r="N532" s="17"/>
      <c r="O532" s="17"/>
      <c r="P532" s="17"/>
      <c r="Q532" s="17"/>
    </row>
    <row r="533">
      <c r="A533" s="17"/>
      <c r="B533" s="17"/>
      <c r="C533" s="17"/>
      <c r="D533" s="17"/>
      <c r="E533" s="17"/>
      <c r="F533" s="17"/>
      <c r="G533" s="17"/>
      <c r="H533" s="17"/>
      <c r="I533" s="17"/>
      <c r="J533" s="17"/>
      <c r="K533" s="17"/>
      <c r="L533" s="17"/>
      <c r="M533" s="17"/>
      <c r="N533" s="17"/>
      <c r="O533" s="17"/>
      <c r="P533" s="17"/>
      <c r="Q533" s="17"/>
    </row>
    <row r="534">
      <c r="A534" s="17"/>
      <c r="B534" s="17"/>
      <c r="C534" s="17"/>
      <c r="D534" s="17"/>
      <c r="E534" s="17"/>
      <c r="F534" s="17"/>
      <c r="G534" s="17"/>
      <c r="H534" s="17"/>
      <c r="I534" s="17"/>
      <c r="J534" s="17"/>
      <c r="K534" s="17"/>
      <c r="L534" s="17"/>
      <c r="M534" s="17"/>
      <c r="N534" s="17"/>
      <c r="O534" s="17"/>
      <c r="P534" s="17"/>
      <c r="Q534" s="17"/>
    </row>
    <row r="535">
      <c r="A535" s="17"/>
      <c r="B535" s="17"/>
      <c r="C535" s="17"/>
      <c r="D535" s="17"/>
      <c r="E535" s="17"/>
      <c r="F535" s="17"/>
      <c r="G535" s="17"/>
      <c r="H535" s="17"/>
      <c r="I535" s="17"/>
      <c r="J535" s="17"/>
      <c r="K535" s="17"/>
      <c r="L535" s="17"/>
      <c r="M535" s="17"/>
      <c r="N535" s="17"/>
      <c r="O535" s="17"/>
      <c r="P535" s="17"/>
      <c r="Q535" s="17"/>
    </row>
    <row r="536">
      <c r="A536" s="17"/>
      <c r="B536" s="17"/>
      <c r="C536" s="17"/>
      <c r="D536" s="17"/>
      <c r="E536" s="17"/>
      <c r="F536" s="17"/>
      <c r="G536" s="17"/>
      <c r="H536" s="17"/>
      <c r="I536" s="17"/>
      <c r="J536" s="17"/>
      <c r="K536" s="17"/>
      <c r="L536" s="17"/>
      <c r="M536" s="17"/>
      <c r="N536" s="17"/>
      <c r="O536" s="17"/>
      <c r="P536" s="17"/>
      <c r="Q536" s="17"/>
    </row>
    <row r="537">
      <c r="A537" s="17"/>
      <c r="B537" s="17"/>
      <c r="C537" s="17"/>
      <c r="D537" s="17"/>
      <c r="E537" s="17"/>
      <c r="F537" s="17"/>
      <c r="G537" s="17"/>
      <c r="H537" s="17"/>
      <c r="I537" s="17"/>
      <c r="J537" s="17"/>
      <c r="K537" s="17"/>
      <c r="L537" s="17"/>
      <c r="M537" s="17"/>
      <c r="N537" s="17"/>
      <c r="O537" s="17"/>
      <c r="P537" s="17"/>
      <c r="Q537" s="17"/>
    </row>
    <row r="538">
      <c r="A538" s="17"/>
      <c r="B538" s="17"/>
      <c r="C538" s="17"/>
      <c r="D538" s="17"/>
      <c r="E538" s="17"/>
      <c r="F538" s="17"/>
      <c r="G538" s="17"/>
      <c r="H538" s="17"/>
      <c r="I538" s="17"/>
      <c r="J538" s="17"/>
      <c r="K538" s="17"/>
      <c r="L538" s="17"/>
      <c r="M538" s="17"/>
      <c r="N538" s="17"/>
      <c r="O538" s="17"/>
      <c r="P538" s="17"/>
      <c r="Q538" s="17"/>
    </row>
    <row r="539">
      <c r="A539" s="17"/>
      <c r="B539" s="17"/>
      <c r="C539" s="17"/>
      <c r="D539" s="17"/>
      <c r="E539" s="17"/>
      <c r="F539" s="17"/>
      <c r="G539" s="17"/>
      <c r="H539" s="17"/>
      <c r="I539" s="17"/>
      <c r="J539" s="17"/>
      <c r="K539" s="17"/>
      <c r="L539" s="17"/>
      <c r="M539" s="17"/>
      <c r="N539" s="17"/>
      <c r="O539" s="17"/>
      <c r="P539" s="17"/>
      <c r="Q539" s="17"/>
    </row>
    <row r="540">
      <c r="A540" s="17"/>
      <c r="B540" s="17"/>
      <c r="C540" s="17"/>
      <c r="D540" s="17"/>
      <c r="E540" s="17"/>
      <c r="F540" s="17"/>
      <c r="G540" s="17"/>
      <c r="H540" s="17"/>
      <c r="I540" s="17"/>
      <c r="J540" s="17"/>
      <c r="K540" s="17"/>
      <c r="L540" s="17"/>
      <c r="M540" s="17"/>
      <c r="N540" s="17"/>
      <c r="O540" s="17"/>
      <c r="P540" s="17"/>
      <c r="Q540" s="17"/>
    </row>
    <row r="541">
      <c r="A541" s="17"/>
      <c r="B541" s="17"/>
      <c r="C541" s="17"/>
      <c r="D541" s="17"/>
      <c r="E541" s="17"/>
      <c r="F541" s="17"/>
      <c r="G541" s="17"/>
      <c r="H541" s="17"/>
      <c r="I541" s="17"/>
      <c r="J541" s="17"/>
      <c r="K541" s="17"/>
      <c r="L541" s="17"/>
      <c r="M541" s="17"/>
      <c r="N541" s="17"/>
      <c r="O541" s="17"/>
      <c r="P541" s="17"/>
      <c r="Q541" s="17"/>
    </row>
    <row r="542">
      <c r="A542" s="17"/>
      <c r="B542" s="17"/>
      <c r="C542" s="17"/>
      <c r="D542" s="17"/>
      <c r="E542" s="17"/>
      <c r="F542" s="17"/>
      <c r="G542" s="17"/>
      <c r="H542" s="17"/>
      <c r="I542" s="17"/>
      <c r="J542" s="17"/>
      <c r="K542" s="17"/>
      <c r="L542" s="17"/>
      <c r="M542" s="17"/>
      <c r="N542" s="17"/>
      <c r="O542" s="17"/>
      <c r="P542" s="17"/>
      <c r="Q542" s="17"/>
    </row>
    <row r="543">
      <c r="A543" s="17"/>
      <c r="B543" s="17"/>
      <c r="C543" s="17"/>
      <c r="D543" s="17"/>
      <c r="E543" s="17"/>
      <c r="F543" s="17"/>
      <c r="G543" s="17"/>
      <c r="H543" s="17"/>
      <c r="I543" s="17"/>
      <c r="J543" s="17"/>
      <c r="K543" s="17"/>
      <c r="L543" s="17"/>
      <c r="M543" s="17"/>
      <c r="N543" s="17"/>
      <c r="O543" s="17"/>
      <c r="P543" s="17"/>
      <c r="Q543" s="17"/>
    </row>
    <row r="544">
      <c r="A544" s="17"/>
      <c r="B544" s="17"/>
      <c r="C544" s="17"/>
      <c r="D544" s="17"/>
      <c r="E544" s="17"/>
      <c r="F544" s="17"/>
      <c r="G544" s="17"/>
      <c r="H544" s="17"/>
      <c r="I544" s="17"/>
      <c r="J544" s="17"/>
      <c r="K544" s="17"/>
      <c r="L544" s="17"/>
      <c r="M544" s="17"/>
      <c r="N544" s="17"/>
      <c r="O544" s="17"/>
      <c r="P544" s="17"/>
      <c r="Q544" s="17"/>
    </row>
    <row r="545">
      <c r="A545" s="17"/>
      <c r="B545" s="17"/>
      <c r="C545" s="17"/>
      <c r="D545" s="17"/>
      <c r="E545" s="17"/>
      <c r="F545" s="17"/>
      <c r="G545" s="17"/>
      <c r="H545" s="17"/>
      <c r="I545" s="17"/>
      <c r="J545" s="17"/>
      <c r="K545" s="17"/>
      <c r="L545" s="17"/>
      <c r="M545" s="17"/>
      <c r="N545" s="17"/>
      <c r="O545" s="17"/>
      <c r="P545" s="17"/>
      <c r="Q545" s="17"/>
    </row>
    <row r="546">
      <c r="A546" s="17"/>
      <c r="B546" s="17"/>
      <c r="C546" s="17"/>
      <c r="D546" s="17"/>
      <c r="E546" s="17"/>
      <c r="F546" s="17"/>
      <c r="G546" s="17"/>
      <c r="H546" s="17"/>
      <c r="I546" s="17"/>
      <c r="J546" s="17"/>
      <c r="K546" s="17"/>
      <c r="L546" s="17"/>
      <c r="M546" s="17"/>
      <c r="N546" s="17"/>
      <c r="O546" s="17"/>
      <c r="P546" s="17"/>
      <c r="Q546" s="17"/>
    </row>
    <row r="547">
      <c r="A547" s="17"/>
      <c r="B547" s="17"/>
      <c r="C547" s="17"/>
      <c r="D547" s="17"/>
      <c r="E547" s="17"/>
      <c r="F547" s="17"/>
      <c r="G547" s="17"/>
      <c r="H547" s="17"/>
      <c r="I547" s="17"/>
      <c r="J547" s="17"/>
      <c r="K547" s="17"/>
      <c r="L547" s="17"/>
      <c r="M547" s="17"/>
      <c r="N547" s="17"/>
      <c r="O547" s="17"/>
      <c r="P547" s="17"/>
      <c r="Q547" s="17"/>
    </row>
    <row r="548">
      <c r="A548" s="17"/>
      <c r="B548" s="17"/>
      <c r="C548" s="17"/>
      <c r="D548" s="17"/>
      <c r="E548" s="17"/>
      <c r="F548" s="17"/>
      <c r="G548" s="17"/>
      <c r="H548" s="17"/>
      <c r="I548" s="17"/>
      <c r="J548" s="17"/>
      <c r="K548" s="17"/>
      <c r="L548" s="17"/>
      <c r="M548" s="17"/>
      <c r="N548" s="17"/>
      <c r="O548" s="17"/>
      <c r="P548" s="17"/>
      <c r="Q548" s="17"/>
    </row>
    <row r="549">
      <c r="A549" s="17"/>
      <c r="B549" s="17"/>
      <c r="C549" s="17"/>
      <c r="D549" s="17"/>
      <c r="E549" s="17"/>
      <c r="F549" s="17"/>
      <c r="G549" s="17"/>
      <c r="H549" s="17"/>
      <c r="I549" s="17"/>
      <c r="J549" s="17"/>
      <c r="K549" s="17"/>
      <c r="L549" s="17"/>
      <c r="M549" s="17"/>
      <c r="N549" s="17"/>
      <c r="O549" s="17"/>
      <c r="P549" s="17"/>
      <c r="Q549" s="17"/>
    </row>
    <row r="550">
      <c r="A550" s="17"/>
      <c r="B550" s="17"/>
      <c r="C550" s="17"/>
      <c r="D550" s="17"/>
      <c r="E550" s="17"/>
      <c r="F550" s="17"/>
      <c r="G550" s="17"/>
      <c r="H550" s="17"/>
      <c r="I550" s="17"/>
      <c r="J550" s="17"/>
      <c r="K550" s="17"/>
      <c r="L550" s="17"/>
      <c r="M550" s="17"/>
      <c r="N550" s="17"/>
      <c r="O550" s="17"/>
      <c r="P550" s="17"/>
      <c r="Q550" s="17"/>
    </row>
    <row r="551">
      <c r="A551" s="17"/>
      <c r="B551" s="17"/>
      <c r="C551" s="17"/>
      <c r="D551" s="17"/>
      <c r="E551" s="17"/>
      <c r="F551" s="17"/>
      <c r="G551" s="17"/>
      <c r="H551" s="17"/>
      <c r="I551" s="17"/>
      <c r="J551" s="17"/>
      <c r="K551" s="17"/>
      <c r="L551" s="17"/>
      <c r="M551" s="17"/>
      <c r="N551" s="17"/>
      <c r="O551" s="17"/>
      <c r="P551" s="17"/>
      <c r="Q551" s="17"/>
    </row>
    <row r="552">
      <c r="A552" s="17"/>
      <c r="B552" s="17"/>
      <c r="C552" s="17"/>
      <c r="D552" s="17"/>
      <c r="E552" s="17"/>
      <c r="F552" s="17"/>
      <c r="G552" s="17"/>
      <c r="H552" s="17"/>
      <c r="I552" s="17"/>
      <c r="J552" s="17"/>
      <c r="K552" s="17"/>
      <c r="L552" s="17"/>
      <c r="M552" s="17"/>
      <c r="N552" s="17"/>
      <c r="O552" s="17"/>
      <c r="P552" s="17"/>
      <c r="Q552" s="17"/>
    </row>
    <row r="553">
      <c r="A553" s="17"/>
      <c r="B553" s="17"/>
      <c r="C553" s="17"/>
      <c r="D553" s="17"/>
      <c r="E553" s="17"/>
      <c r="F553" s="17"/>
      <c r="G553" s="17"/>
      <c r="H553" s="17"/>
      <c r="I553" s="17"/>
      <c r="J553" s="17"/>
      <c r="K553" s="17"/>
      <c r="L553" s="17"/>
      <c r="M553" s="17"/>
      <c r="N553" s="17"/>
      <c r="O553" s="17"/>
      <c r="P553" s="17"/>
      <c r="Q553" s="17"/>
    </row>
    <row r="554">
      <c r="A554" s="17"/>
      <c r="B554" s="17"/>
      <c r="C554" s="17"/>
      <c r="D554" s="17"/>
      <c r="E554" s="17"/>
      <c r="F554" s="17"/>
      <c r="G554" s="17"/>
      <c r="H554" s="17"/>
      <c r="I554" s="17"/>
      <c r="J554" s="17"/>
      <c r="K554" s="17"/>
      <c r="L554" s="17"/>
      <c r="M554" s="17"/>
      <c r="N554" s="17"/>
      <c r="O554" s="17"/>
      <c r="P554" s="17"/>
      <c r="Q554" s="17"/>
    </row>
    <row r="555">
      <c r="A555" s="17"/>
      <c r="B555" s="17"/>
      <c r="C555" s="17"/>
      <c r="D555" s="17"/>
      <c r="E555" s="17"/>
      <c r="F555" s="17"/>
      <c r="G555" s="17"/>
      <c r="H555" s="17"/>
      <c r="I555" s="17"/>
      <c r="J555" s="17"/>
      <c r="K555" s="17"/>
      <c r="L555" s="17"/>
      <c r="M555" s="17"/>
      <c r="N555" s="17"/>
      <c r="O555" s="17"/>
      <c r="P555" s="17"/>
      <c r="Q555" s="17"/>
    </row>
    <row r="556">
      <c r="A556" s="17"/>
      <c r="B556" s="17"/>
      <c r="C556" s="17"/>
      <c r="D556" s="17"/>
      <c r="E556" s="17"/>
      <c r="F556" s="17"/>
      <c r="G556" s="17"/>
      <c r="H556" s="17"/>
      <c r="I556" s="17"/>
      <c r="J556" s="17"/>
      <c r="K556" s="17"/>
      <c r="L556" s="17"/>
      <c r="M556" s="17"/>
      <c r="N556" s="17"/>
      <c r="O556" s="17"/>
      <c r="P556" s="17"/>
      <c r="Q556" s="17"/>
    </row>
    <row r="557">
      <c r="A557" s="17"/>
      <c r="B557" s="17"/>
      <c r="C557" s="17"/>
      <c r="D557" s="17"/>
      <c r="E557" s="17"/>
      <c r="F557" s="17"/>
      <c r="G557" s="17"/>
      <c r="H557" s="17"/>
      <c r="I557" s="17"/>
      <c r="J557" s="17"/>
      <c r="K557" s="17"/>
      <c r="L557" s="17"/>
      <c r="M557" s="17"/>
      <c r="N557" s="17"/>
      <c r="O557" s="17"/>
      <c r="P557" s="17"/>
      <c r="Q557" s="17"/>
    </row>
    <row r="558">
      <c r="A558" s="17"/>
      <c r="B558" s="17"/>
      <c r="C558" s="17"/>
      <c r="D558" s="17"/>
      <c r="E558" s="17"/>
      <c r="F558" s="17"/>
      <c r="G558" s="17"/>
      <c r="H558" s="17"/>
      <c r="I558" s="17"/>
      <c r="J558" s="17"/>
      <c r="K558" s="17"/>
      <c r="L558" s="17"/>
      <c r="M558" s="17"/>
      <c r="N558" s="17"/>
      <c r="O558" s="17"/>
      <c r="P558" s="17"/>
      <c r="Q558" s="17"/>
    </row>
    <row r="559">
      <c r="A559" s="17"/>
      <c r="B559" s="17"/>
      <c r="C559" s="17"/>
      <c r="D559" s="17"/>
      <c r="E559" s="17"/>
      <c r="F559" s="17"/>
      <c r="G559" s="17"/>
      <c r="H559" s="17"/>
      <c r="I559" s="17"/>
      <c r="J559" s="17"/>
      <c r="K559" s="17"/>
      <c r="L559" s="17"/>
      <c r="M559" s="17"/>
      <c r="N559" s="17"/>
      <c r="O559" s="17"/>
      <c r="P559" s="17"/>
      <c r="Q559" s="17"/>
    </row>
    <row r="560">
      <c r="A560" s="17"/>
      <c r="B560" s="17"/>
      <c r="C560" s="17"/>
      <c r="D560" s="17"/>
      <c r="E560" s="17"/>
      <c r="F560" s="17"/>
      <c r="G560" s="17"/>
      <c r="H560" s="17"/>
      <c r="I560" s="17"/>
      <c r="J560" s="17"/>
      <c r="K560" s="17"/>
      <c r="L560" s="17"/>
      <c r="M560" s="17"/>
      <c r="N560" s="17"/>
      <c r="O560" s="17"/>
      <c r="P560" s="17"/>
      <c r="Q560" s="17"/>
    </row>
    <row r="561">
      <c r="A561" s="17"/>
      <c r="B561" s="17"/>
      <c r="C561" s="17"/>
      <c r="D561" s="17"/>
      <c r="E561" s="17"/>
      <c r="F561" s="17"/>
      <c r="G561" s="17"/>
      <c r="H561" s="17"/>
      <c r="I561" s="17"/>
      <c r="J561" s="17"/>
      <c r="K561" s="17"/>
      <c r="L561" s="17"/>
      <c r="M561" s="17"/>
      <c r="N561" s="17"/>
      <c r="O561" s="17"/>
      <c r="P561" s="17"/>
      <c r="Q561" s="17"/>
    </row>
    <row r="562">
      <c r="A562" s="17"/>
      <c r="B562" s="17"/>
      <c r="C562" s="17"/>
      <c r="D562" s="17"/>
      <c r="E562" s="17"/>
      <c r="F562" s="17"/>
      <c r="G562" s="17"/>
      <c r="H562" s="17"/>
      <c r="I562" s="17"/>
      <c r="J562" s="17"/>
      <c r="K562" s="17"/>
      <c r="L562" s="17"/>
      <c r="M562" s="17"/>
      <c r="N562" s="17"/>
      <c r="O562" s="17"/>
      <c r="P562" s="17"/>
      <c r="Q562" s="17"/>
    </row>
    <row r="563">
      <c r="A563" s="17"/>
      <c r="B563" s="17"/>
      <c r="C563" s="17"/>
      <c r="D563" s="17"/>
      <c r="E563" s="17"/>
      <c r="F563" s="17"/>
      <c r="G563" s="17"/>
      <c r="H563" s="17"/>
      <c r="I563" s="17"/>
      <c r="J563" s="17"/>
      <c r="K563" s="17"/>
      <c r="L563" s="17"/>
      <c r="M563" s="17"/>
      <c r="N563" s="17"/>
      <c r="O563" s="17"/>
      <c r="P563" s="17"/>
      <c r="Q563" s="17"/>
    </row>
    <row r="564">
      <c r="A564" s="17"/>
      <c r="B564" s="17"/>
      <c r="C564" s="17"/>
      <c r="D564" s="17"/>
      <c r="E564" s="17"/>
      <c r="F564" s="17"/>
      <c r="G564" s="17"/>
      <c r="H564" s="17"/>
      <c r="I564" s="17"/>
      <c r="J564" s="17"/>
      <c r="K564" s="17"/>
      <c r="L564" s="17"/>
      <c r="M564" s="17"/>
      <c r="N564" s="17"/>
      <c r="O564" s="17"/>
      <c r="P564" s="17"/>
      <c r="Q564" s="17"/>
    </row>
    <row r="565">
      <c r="A565" s="17"/>
      <c r="B565" s="17"/>
      <c r="C565" s="17"/>
      <c r="D565" s="17"/>
      <c r="E565" s="17"/>
      <c r="F565" s="17"/>
      <c r="G565" s="17"/>
      <c r="H565" s="17"/>
      <c r="I565" s="17"/>
      <c r="J565" s="17"/>
      <c r="K565" s="17"/>
      <c r="L565" s="17"/>
      <c r="M565" s="17"/>
      <c r="N565" s="17"/>
      <c r="O565" s="17"/>
      <c r="P565" s="17"/>
      <c r="Q565" s="17"/>
    </row>
    <row r="566">
      <c r="A566" s="17"/>
      <c r="B566" s="17"/>
      <c r="C566" s="17"/>
      <c r="D566" s="17"/>
      <c r="E566" s="17"/>
      <c r="F566" s="17"/>
      <c r="G566" s="17"/>
      <c r="H566" s="17"/>
      <c r="I566" s="17"/>
      <c r="J566" s="17"/>
      <c r="K566" s="17"/>
      <c r="L566" s="17"/>
      <c r="M566" s="17"/>
      <c r="N566" s="17"/>
      <c r="O566" s="17"/>
      <c r="P566" s="17"/>
      <c r="Q566" s="17"/>
    </row>
    <row r="567">
      <c r="A567" s="17"/>
      <c r="B567" s="17"/>
      <c r="C567" s="17"/>
      <c r="D567" s="17"/>
      <c r="E567" s="17"/>
      <c r="F567" s="17"/>
      <c r="G567" s="17"/>
      <c r="H567" s="17"/>
      <c r="I567" s="17"/>
      <c r="J567" s="17"/>
      <c r="K567" s="17"/>
      <c r="L567" s="17"/>
      <c r="M567" s="17"/>
      <c r="N567" s="17"/>
      <c r="O567" s="17"/>
      <c r="P567" s="17"/>
      <c r="Q567" s="17"/>
    </row>
    <row r="568">
      <c r="A568" s="17"/>
      <c r="B568" s="17"/>
      <c r="C568" s="17"/>
      <c r="D568" s="17"/>
      <c r="E568" s="17"/>
      <c r="F568" s="17"/>
      <c r="G568" s="17"/>
      <c r="H568" s="17"/>
      <c r="I568" s="17"/>
      <c r="J568" s="17"/>
      <c r="K568" s="17"/>
      <c r="L568" s="17"/>
      <c r="M568" s="17"/>
      <c r="N568" s="17"/>
      <c r="O568" s="17"/>
      <c r="P568" s="17"/>
      <c r="Q568" s="17"/>
    </row>
    <row r="569">
      <c r="A569" s="17"/>
      <c r="B569" s="17"/>
      <c r="C569" s="17"/>
      <c r="D569" s="17"/>
      <c r="E569" s="17"/>
      <c r="F569" s="17"/>
      <c r="G569" s="17"/>
      <c r="H569" s="17"/>
      <c r="I569" s="17"/>
      <c r="J569" s="17"/>
      <c r="K569" s="17"/>
      <c r="L569" s="17"/>
      <c r="M569" s="17"/>
      <c r="N569" s="17"/>
      <c r="O569" s="17"/>
      <c r="P569" s="17"/>
      <c r="Q569" s="17"/>
    </row>
    <row r="570">
      <c r="A570" s="17"/>
      <c r="B570" s="17"/>
      <c r="C570" s="17"/>
      <c r="D570" s="17"/>
      <c r="E570" s="17"/>
      <c r="F570" s="17"/>
      <c r="G570" s="17"/>
      <c r="H570" s="17"/>
      <c r="I570" s="17"/>
      <c r="J570" s="17"/>
      <c r="K570" s="17"/>
      <c r="L570" s="17"/>
      <c r="M570" s="17"/>
      <c r="N570" s="17"/>
      <c r="O570" s="17"/>
      <c r="P570" s="17"/>
      <c r="Q570" s="17"/>
    </row>
    <row r="571">
      <c r="A571" s="17"/>
      <c r="B571" s="17"/>
      <c r="C571" s="17"/>
      <c r="D571" s="17"/>
      <c r="E571" s="17"/>
      <c r="F571" s="17"/>
      <c r="G571" s="17"/>
      <c r="H571" s="17"/>
      <c r="I571" s="17"/>
      <c r="J571" s="17"/>
      <c r="K571" s="17"/>
      <c r="L571" s="17"/>
      <c r="M571" s="17"/>
      <c r="N571" s="17"/>
      <c r="O571" s="17"/>
      <c r="P571" s="17"/>
      <c r="Q571" s="17"/>
    </row>
    <row r="572">
      <c r="A572" s="17"/>
      <c r="B572" s="17"/>
      <c r="C572" s="17"/>
      <c r="D572" s="17"/>
      <c r="E572" s="17"/>
      <c r="F572" s="17"/>
      <c r="G572" s="17"/>
      <c r="H572" s="17"/>
      <c r="I572" s="17"/>
      <c r="J572" s="17"/>
      <c r="K572" s="17"/>
      <c r="L572" s="17"/>
      <c r="M572" s="17"/>
      <c r="N572" s="17"/>
      <c r="O572" s="17"/>
      <c r="P572" s="17"/>
      <c r="Q572" s="17"/>
    </row>
    <row r="573">
      <c r="A573" s="17"/>
      <c r="B573" s="17"/>
      <c r="C573" s="17"/>
      <c r="D573" s="17"/>
      <c r="E573" s="17"/>
      <c r="F573" s="17"/>
      <c r="G573" s="17"/>
      <c r="H573" s="17"/>
      <c r="I573" s="17"/>
      <c r="J573" s="17"/>
      <c r="K573" s="17"/>
      <c r="L573" s="17"/>
      <c r="M573" s="17"/>
      <c r="N573" s="17"/>
      <c r="O573" s="17"/>
      <c r="P573" s="17"/>
      <c r="Q573" s="17"/>
    </row>
    <row r="574">
      <c r="A574" s="17"/>
      <c r="B574" s="17"/>
      <c r="C574" s="17"/>
      <c r="D574" s="17"/>
      <c r="E574" s="17"/>
      <c r="F574" s="17"/>
      <c r="G574" s="17"/>
      <c r="H574" s="17"/>
      <c r="I574" s="17"/>
      <c r="J574" s="17"/>
      <c r="K574" s="17"/>
      <c r="L574" s="17"/>
      <c r="M574" s="17"/>
      <c r="N574" s="17"/>
      <c r="O574" s="17"/>
      <c r="P574" s="17"/>
      <c r="Q574" s="17"/>
    </row>
    <row r="575">
      <c r="A575" s="17"/>
      <c r="B575" s="17"/>
      <c r="C575" s="17"/>
      <c r="D575" s="17"/>
      <c r="E575" s="17"/>
      <c r="F575" s="17"/>
      <c r="G575" s="17"/>
      <c r="H575" s="17"/>
      <c r="I575" s="17"/>
      <c r="J575" s="17"/>
      <c r="K575" s="17"/>
      <c r="L575" s="17"/>
      <c r="M575" s="17"/>
      <c r="N575" s="17"/>
      <c r="O575" s="17"/>
      <c r="P575" s="17"/>
      <c r="Q575" s="17"/>
    </row>
    <row r="576">
      <c r="A576" s="17"/>
      <c r="B576" s="17"/>
      <c r="C576" s="17"/>
      <c r="D576" s="17"/>
      <c r="E576" s="17"/>
      <c r="F576" s="17"/>
      <c r="G576" s="17"/>
      <c r="H576" s="17"/>
      <c r="I576" s="17"/>
      <c r="J576" s="17"/>
      <c r="K576" s="17"/>
      <c r="L576" s="17"/>
      <c r="M576" s="17"/>
      <c r="N576" s="17"/>
      <c r="O576" s="17"/>
      <c r="P576" s="17"/>
      <c r="Q576" s="17"/>
    </row>
    <row r="577">
      <c r="A577" s="17"/>
      <c r="B577" s="17"/>
      <c r="C577" s="17"/>
      <c r="D577" s="17"/>
      <c r="E577" s="17"/>
      <c r="F577" s="17"/>
      <c r="G577" s="17"/>
      <c r="H577" s="17"/>
      <c r="I577" s="17"/>
      <c r="J577" s="17"/>
      <c r="K577" s="17"/>
      <c r="L577" s="17"/>
      <c r="M577" s="17"/>
      <c r="N577" s="17"/>
      <c r="O577" s="17"/>
      <c r="P577" s="17"/>
      <c r="Q577" s="17"/>
    </row>
    <row r="578">
      <c r="A578" s="17"/>
      <c r="B578" s="17"/>
      <c r="C578" s="17"/>
      <c r="D578" s="17"/>
      <c r="E578" s="17"/>
      <c r="F578" s="17"/>
      <c r="G578" s="17"/>
      <c r="H578" s="17"/>
      <c r="I578" s="17"/>
      <c r="J578" s="17"/>
      <c r="K578" s="17"/>
      <c r="L578" s="17"/>
      <c r="M578" s="17"/>
      <c r="N578" s="17"/>
      <c r="O578" s="17"/>
      <c r="P578" s="17"/>
      <c r="Q578" s="17"/>
    </row>
    <row r="579">
      <c r="A579" s="17"/>
      <c r="B579" s="17"/>
      <c r="C579" s="17"/>
      <c r="D579" s="17"/>
      <c r="E579" s="17"/>
      <c r="F579" s="17"/>
      <c r="G579" s="17"/>
      <c r="H579" s="17"/>
      <c r="I579" s="17"/>
      <c r="J579" s="17"/>
      <c r="K579" s="17"/>
      <c r="L579" s="17"/>
      <c r="M579" s="17"/>
      <c r="N579" s="17"/>
      <c r="O579" s="17"/>
      <c r="P579" s="17"/>
      <c r="Q579" s="17"/>
    </row>
    <row r="580">
      <c r="A580" s="17"/>
      <c r="B580" s="17"/>
      <c r="C580" s="17"/>
      <c r="D580" s="17"/>
      <c r="E580" s="17"/>
      <c r="F580" s="17"/>
      <c r="G580" s="17"/>
      <c r="H580" s="17"/>
      <c r="I580" s="17"/>
      <c r="J580" s="17"/>
      <c r="K580" s="17"/>
      <c r="L580" s="17"/>
      <c r="M580" s="17"/>
      <c r="N580" s="17"/>
      <c r="O580" s="17"/>
      <c r="P580" s="17"/>
      <c r="Q580" s="17"/>
    </row>
    <row r="581">
      <c r="A581" s="17"/>
      <c r="B581" s="17"/>
      <c r="C581" s="17"/>
      <c r="D581" s="17"/>
      <c r="E581" s="17"/>
      <c r="F581" s="17"/>
      <c r="G581" s="17"/>
      <c r="H581" s="17"/>
      <c r="I581" s="17"/>
      <c r="J581" s="17"/>
      <c r="K581" s="17"/>
      <c r="L581" s="17"/>
      <c r="M581" s="17"/>
      <c r="N581" s="17"/>
      <c r="O581" s="17"/>
      <c r="P581" s="17"/>
      <c r="Q581" s="17"/>
    </row>
    <row r="582">
      <c r="A582" s="17"/>
      <c r="B582" s="17"/>
      <c r="C582" s="17"/>
      <c r="D582" s="17"/>
      <c r="E582" s="17"/>
      <c r="F582" s="17"/>
      <c r="G582" s="17"/>
      <c r="H582" s="17"/>
      <c r="I582" s="17"/>
      <c r="J582" s="17"/>
      <c r="K582" s="17"/>
      <c r="L582" s="17"/>
      <c r="M582" s="17"/>
      <c r="N582" s="17"/>
      <c r="O582" s="17"/>
      <c r="P582" s="17"/>
      <c r="Q582" s="17"/>
    </row>
    <row r="583">
      <c r="A583" s="17"/>
      <c r="B583" s="17"/>
      <c r="C583" s="17"/>
      <c r="D583" s="17"/>
      <c r="E583" s="17"/>
      <c r="F583" s="17"/>
      <c r="G583" s="17"/>
      <c r="H583" s="17"/>
      <c r="I583" s="17"/>
      <c r="J583" s="17"/>
      <c r="K583" s="17"/>
      <c r="L583" s="17"/>
      <c r="M583" s="17"/>
      <c r="N583" s="17"/>
      <c r="O583" s="17"/>
      <c r="P583" s="17"/>
      <c r="Q583" s="17"/>
    </row>
    <row r="584">
      <c r="A584" s="17"/>
      <c r="B584" s="17"/>
      <c r="C584" s="17"/>
      <c r="D584" s="17"/>
      <c r="E584" s="17"/>
      <c r="F584" s="17"/>
      <c r="G584" s="17"/>
      <c r="H584" s="17"/>
      <c r="I584" s="17"/>
      <c r="J584" s="17"/>
      <c r="K584" s="17"/>
      <c r="L584" s="17"/>
      <c r="M584" s="17"/>
      <c r="N584" s="17"/>
      <c r="O584" s="17"/>
      <c r="P584" s="17"/>
      <c r="Q584" s="17"/>
    </row>
    <row r="585">
      <c r="A585" s="17"/>
      <c r="B585" s="17"/>
      <c r="C585" s="17"/>
      <c r="D585" s="17"/>
      <c r="E585" s="17"/>
      <c r="F585" s="17"/>
      <c r="G585" s="17"/>
      <c r="H585" s="17"/>
      <c r="I585" s="17"/>
      <c r="J585" s="17"/>
      <c r="K585" s="17"/>
      <c r="L585" s="17"/>
      <c r="M585" s="17"/>
      <c r="N585" s="17"/>
      <c r="O585" s="17"/>
      <c r="P585" s="17"/>
      <c r="Q585" s="17"/>
    </row>
    <row r="586">
      <c r="A586" s="17"/>
      <c r="B586" s="17"/>
      <c r="C586" s="17"/>
      <c r="D586" s="17"/>
      <c r="E586" s="17"/>
      <c r="F586" s="17"/>
      <c r="G586" s="17"/>
      <c r="H586" s="17"/>
      <c r="I586" s="17"/>
      <c r="J586" s="17"/>
      <c r="K586" s="17"/>
      <c r="L586" s="17"/>
      <c r="M586" s="17"/>
      <c r="N586" s="17"/>
      <c r="O586" s="17"/>
      <c r="P586" s="17"/>
      <c r="Q586" s="17"/>
    </row>
    <row r="587">
      <c r="A587" s="17"/>
      <c r="B587" s="17"/>
      <c r="C587" s="17"/>
      <c r="D587" s="17"/>
      <c r="E587" s="17"/>
      <c r="F587" s="17"/>
      <c r="G587" s="17"/>
      <c r="H587" s="17"/>
      <c r="I587" s="17"/>
      <c r="J587" s="17"/>
      <c r="K587" s="17"/>
      <c r="L587" s="17"/>
      <c r="M587" s="17"/>
      <c r="N587" s="17"/>
      <c r="O587" s="17"/>
      <c r="P587" s="17"/>
      <c r="Q587" s="17"/>
    </row>
    <row r="588">
      <c r="A588" s="17"/>
      <c r="B588" s="17"/>
      <c r="C588" s="17"/>
      <c r="D588" s="17"/>
      <c r="E588" s="17"/>
      <c r="F588" s="17"/>
      <c r="G588" s="17"/>
      <c r="H588" s="17"/>
      <c r="I588" s="17"/>
      <c r="J588" s="17"/>
      <c r="K588" s="17"/>
      <c r="L588" s="17"/>
      <c r="M588" s="17"/>
      <c r="N588" s="17"/>
      <c r="O588" s="17"/>
      <c r="P588" s="17"/>
      <c r="Q588" s="17"/>
    </row>
    <row r="589">
      <c r="A589" s="17"/>
      <c r="B589" s="17"/>
      <c r="C589" s="17"/>
      <c r="D589" s="17"/>
      <c r="E589" s="17"/>
      <c r="F589" s="17"/>
      <c r="G589" s="17"/>
      <c r="H589" s="17"/>
      <c r="I589" s="17"/>
      <c r="J589" s="17"/>
      <c r="K589" s="17"/>
      <c r="L589" s="17"/>
      <c r="M589" s="17"/>
      <c r="N589" s="17"/>
      <c r="O589" s="17"/>
      <c r="P589" s="17"/>
      <c r="Q589" s="17"/>
    </row>
    <row r="590">
      <c r="A590" s="17"/>
      <c r="B590" s="17"/>
      <c r="C590" s="17"/>
      <c r="D590" s="17"/>
      <c r="E590" s="17"/>
      <c r="F590" s="17"/>
      <c r="G590" s="17"/>
      <c r="H590" s="17"/>
      <c r="I590" s="17"/>
      <c r="J590" s="17"/>
      <c r="K590" s="17"/>
      <c r="L590" s="17"/>
      <c r="M590" s="17"/>
      <c r="N590" s="17"/>
      <c r="O590" s="17"/>
      <c r="P590" s="17"/>
      <c r="Q590" s="17"/>
    </row>
    <row r="591">
      <c r="A591" s="17"/>
      <c r="B591" s="17"/>
      <c r="C591" s="17"/>
      <c r="D591" s="17"/>
      <c r="E591" s="17"/>
      <c r="F591" s="17"/>
      <c r="G591" s="17"/>
      <c r="H591" s="17"/>
      <c r="I591" s="17"/>
      <c r="J591" s="17"/>
      <c r="K591" s="17"/>
      <c r="L591" s="17"/>
      <c r="M591" s="17"/>
      <c r="N591" s="17"/>
      <c r="O591" s="17"/>
      <c r="P591" s="17"/>
      <c r="Q591" s="17"/>
    </row>
    <row r="592">
      <c r="A592" s="17"/>
      <c r="B592" s="17"/>
      <c r="C592" s="17"/>
      <c r="D592" s="17"/>
      <c r="E592" s="17"/>
      <c r="F592" s="17"/>
      <c r="G592" s="17"/>
      <c r="H592" s="17"/>
      <c r="I592" s="17"/>
      <c r="J592" s="17"/>
      <c r="K592" s="17"/>
      <c r="L592" s="17"/>
      <c r="M592" s="17"/>
      <c r="N592" s="17"/>
      <c r="O592" s="17"/>
      <c r="P592" s="17"/>
      <c r="Q592" s="17"/>
    </row>
    <row r="593">
      <c r="A593" s="17"/>
      <c r="B593" s="17"/>
      <c r="C593" s="17"/>
      <c r="D593" s="17"/>
      <c r="E593" s="17"/>
      <c r="F593" s="17"/>
      <c r="G593" s="17"/>
      <c r="H593" s="17"/>
      <c r="I593" s="17"/>
      <c r="J593" s="17"/>
      <c r="K593" s="17"/>
      <c r="L593" s="17"/>
      <c r="M593" s="17"/>
      <c r="N593" s="17"/>
      <c r="O593" s="17"/>
      <c r="P593" s="17"/>
      <c r="Q593" s="17"/>
    </row>
    <row r="594">
      <c r="A594" s="17"/>
      <c r="B594" s="17"/>
      <c r="C594" s="17"/>
      <c r="D594" s="17"/>
      <c r="E594" s="17"/>
      <c r="F594" s="17"/>
      <c r="G594" s="17"/>
      <c r="H594" s="17"/>
      <c r="I594" s="17"/>
      <c r="J594" s="17"/>
      <c r="K594" s="17"/>
      <c r="L594" s="17"/>
      <c r="M594" s="17"/>
      <c r="N594" s="17"/>
      <c r="O594" s="17"/>
      <c r="P594" s="17"/>
      <c r="Q594" s="17"/>
    </row>
    <row r="595">
      <c r="A595" s="17"/>
      <c r="B595" s="17"/>
      <c r="C595" s="17"/>
      <c r="D595" s="17"/>
      <c r="E595" s="17"/>
      <c r="F595" s="17"/>
      <c r="G595" s="17"/>
      <c r="H595" s="17"/>
      <c r="I595" s="17"/>
      <c r="J595" s="17"/>
      <c r="K595" s="17"/>
      <c r="L595" s="17"/>
      <c r="M595" s="17"/>
      <c r="N595" s="17"/>
      <c r="O595" s="17"/>
      <c r="P595" s="17"/>
      <c r="Q595" s="17"/>
    </row>
    <row r="596">
      <c r="A596" s="17"/>
      <c r="B596" s="17"/>
      <c r="C596" s="17"/>
      <c r="D596" s="17"/>
      <c r="E596" s="17"/>
      <c r="F596" s="17"/>
      <c r="G596" s="17"/>
      <c r="H596" s="17"/>
      <c r="I596" s="17"/>
      <c r="J596" s="17"/>
      <c r="K596" s="17"/>
      <c r="L596" s="17"/>
      <c r="M596" s="17"/>
      <c r="N596" s="17"/>
      <c r="O596" s="17"/>
      <c r="P596" s="17"/>
      <c r="Q596" s="17"/>
    </row>
    <row r="597">
      <c r="A597" s="17"/>
      <c r="B597" s="17"/>
      <c r="C597" s="17"/>
      <c r="D597" s="17"/>
      <c r="E597" s="17"/>
      <c r="F597" s="17"/>
      <c r="G597" s="17"/>
      <c r="H597" s="17"/>
      <c r="I597" s="17"/>
      <c r="J597" s="17"/>
      <c r="K597" s="17"/>
      <c r="L597" s="17"/>
      <c r="M597" s="17"/>
      <c r="N597" s="17"/>
      <c r="O597" s="17"/>
      <c r="P597" s="17"/>
      <c r="Q597" s="17"/>
    </row>
    <row r="598">
      <c r="A598" s="17"/>
      <c r="B598" s="17"/>
      <c r="C598" s="17"/>
      <c r="D598" s="17"/>
      <c r="E598" s="17"/>
      <c r="F598" s="17"/>
      <c r="G598" s="17"/>
      <c r="H598" s="17"/>
      <c r="I598" s="17"/>
      <c r="J598" s="17"/>
      <c r="K598" s="17"/>
      <c r="L598" s="17"/>
      <c r="M598" s="17"/>
      <c r="N598" s="17"/>
      <c r="O598" s="17"/>
      <c r="P598" s="17"/>
      <c r="Q598" s="17"/>
    </row>
    <row r="599">
      <c r="A599" s="17"/>
      <c r="B599" s="17"/>
      <c r="C599" s="17"/>
      <c r="D599" s="17"/>
      <c r="E599" s="17"/>
      <c r="F599" s="17"/>
      <c r="G599" s="17"/>
      <c r="H599" s="17"/>
      <c r="I599" s="17"/>
      <c r="J599" s="17"/>
      <c r="K599" s="17"/>
      <c r="L599" s="17"/>
      <c r="M599" s="17"/>
      <c r="N599" s="17"/>
      <c r="O599" s="17"/>
      <c r="P599" s="17"/>
      <c r="Q599" s="17"/>
    </row>
    <row r="600">
      <c r="A600" s="17"/>
      <c r="B600" s="17"/>
      <c r="C600" s="17"/>
      <c r="D600" s="17"/>
      <c r="E600" s="17"/>
      <c r="F600" s="17"/>
      <c r="G600" s="17"/>
      <c r="H600" s="17"/>
      <c r="I600" s="17"/>
      <c r="J600" s="17"/>
      <c r="K600" s="17"/>
      <c r="L600" s="17"/>
      <c r="M600" s="17"/>
      <c r="N600" s="17"/>
      <c r="O600" s="17"/>
      <c r="P600" s="17"/>
      <c r="Q600" s="17"/>
    </row>
    <row r="601">
      <c r="A601" s="17"/>
      <c r="B601" s="17"/>
      <c r="C601" s="17"/>
      <c r="D601" s="17"/>
      <c r="E601" s="17"/>
      <c r="F601" s="17"/>
      <c r="G601" s="17"/>
      <c r="H601" s="17"/>
      <c r="I601" s="17"/>
      <c r="J601" s="17"/>
      <c r="K601" s="17"/>
      <c r="L601" s="17"/>
      <c r="M601" s="17"/>
      <c r="N601" s="17"/>
      <c r="O601" s="17"/>
      <c r="P601" s="17"/>
      <c r="Q601" s="17"/>
    </row>
    <row r="602">
      <c r="A602" s="17"/>
      <c r="B602" s="17"/>
      <c r="C602" s="17"/>
      <c r="D602" s="17"/>
      <c r="E602" s="17"/>
      <c r="F602" s="17"/>
      <c r="G602" s="17"/>
      <c r="H602" s="17"/>
      <c r="I602" s="17"/>
      <c r="J602" s="17"/>
      <c r="K602" s="17"/>
      <c r="L602" s="17"/>
      <c r="M602" s="17"/>
      <c r="N602" s="17"/>
      <c r="O602" s="17"/>
      <c r="P602" s="17"/>
      <c r="Q602" s="17"/>
    </row>
    <row r="603">
      <c r="A603" s="17"/>
      <c r="B603" s="17"/>
      <c r="C603" s="17"/>
      <c r="D603" s="17"/>
      <c r="E603" s="17"/>
      <c r="F603" s="17"/>
      <c r="G603" s="17"/>
      <c r="H603" s="17"/>
      <c r="I603" s="17"/>
      <c r="J603" s="17"/>
      <c r="K603" s="17"/>
      <c r="L603" s="17"/>
      <c r="M603" s="17"/>
      <c r="N603" s="17"/>
      <c r="O603" s="17"/>
      <c r="P603" s="17"/>
      <c r="Q603" s="17"/>
    </row>
    <row r="604">
      <c r="A604" s="17"/>
      <c r="B604" s="17"/>
      <c r="C604" s="17"/>
      <c r="D604" s="17"/>
      <c r="E604" s="17"/>
      <c r="F604" s="17"/>
      <c r="G604" s="17"/>
      <c r="H604" s="17"/>
      <c r="I604" s="17"/>
      <c r="J604" s="17"/>
      <c r="K604" s="17"/>
      <c r="L604" s="17"/>
      <c r="M604" s="17"/>
      <c r="N604" s="17"/>
      <c r="O604" s="17"/>
      <c r="P604" s="17"/>
      <c r="Q604" s="17"/>
    </row>
    <row r="605">
      <c r="A605" s="17"/>
      <c r="B605" s="17"/>
      <c r="C605" s="17"/>
      <c r="D605" s="17"/>
      <c r="E605" s="17"/>
      <c r="F605" s="17"/>
      <c r="G605" s="17"/>
      <c r="H605" s="17"/>
      <c r="I605" s="17"/>
      <c r="J605" s="17"/>
      <c r="K605" s="17"/>
      <c r="L605" s="17"/>
      <c r="M605" s="17"/>
      <c r="N605" s="17"/>
      <c r="O605" s="17"/>
      <c r="P605" s="17"/>
      <c r="Q605" s="17"/>
    </row>
    <row r="606">
      <c r="A606" s="17"/>
      <c r="B606" s="17"/>
      <c r="C606" s="17"/>
      <c r="D606" s="17"/>
      <c r="E606" s="17"/>
      <c r="F606" s="17"/>
      <c r="G606" s="17"/>
      <c r="H606" s="17"/>
      <c r="I606" s="17"/>
      <c r="J606" s="17"/>
      <c r="K606" s="17"/>
      <c r="L606" s="17"/>
      <c r="M606" s="17"/>
      <c r="N606" s="17"/>
      <c r="O606" s="17"/>
      <c r="P606" s="17"/>
      <c r="Q606" s="17"/>
    </row>
    <row r="607">
      <c r="A607" s="17"/>
      <c r="B607" s="17"/>
      <c r="C607" s="17"/>
      <c r="D607" s="17"/>
      <c r="E607" s="17"/>
      <c r="F607" s="17"/>
      <c r="G607" s="17"/>
      <c r="H607" s="17"/>
      <c r="I607" s="17"/>
      <c r="J607" s="17"/>
      <c r="K607" s="17"/>
      <c r="L607" s="17"/>
      <c r="M607" s="17"/>
      <c r="N607" s="17"/>
      <c r="O607" s="17"/>
      <c r="P607" s="17"/>
      <c r="Q607" s="17"/>
    </row>
    <row r="608">
      <c r="A608" s="17"/>
      <c r="B608" s="17"/>
      <c r="C608" s="17"/>
      <c r="D608" s="17"/>
      <c r="E608" s="17"/>
      <c r="F608" s="17"/>
      <c r="G608" s="17"/>
      <c r="H608" s="17"/>
      <c r="I608" s="17"/>
      <c r="J608" s="17"/>
      <c r="K608" s="17"/>
      <c r="L608" s="17"/>
      <c r="M608" s="17"/>
      <c r="N608" s="17"/>
      <c r="O608" s="17"/>
      <c r="P608" s="17"/>
      <c r="Q608" s="17"/>
    </row>
    <row r="609">
      <c r="A609" s="17"/>
      <c r="B609" s="17"/>
      <c r="C609" s="17"/>
      <c r="D609" s="17"/>
      <c r="E609" s="17"/>
      <c r="F609" s="17"/>
      <c r="G609" s="17"/>
      <c r="H609" s="17"/>
      <c r="I609" s="17"/>
      <c r="J609" s="17"/>
      <c r="K609" s="17"/>
      <c r="L609" s="17"/>
      <c r="M609" s="17"/>
      <c r="N609" s="17"/>
      <c r="O609" s="17"/>
      <c r="P609" s="17"/>
      <c r="Q609" s="17"/>
    </row>
    <row r="610">
      <c r="A610" s="17"/>
      <c r="B610" s="17"/>
      <c r="C610" s="17"/>
      <c r="D610" s="17"/>
      <c r="E610" s="17"/>
      <c r="F610" s="17"/>
      <c r="G610" s="17"/>
      <c r="H610" s="17"/>
      <c r="I610" s="17"/>
      <c r="J610" s="17"/>
      <c r="K610" s="17"/>
      <c r="L610" s="17"/>
      <c r="M610" s="17"/>
      <c r="N610" s="17"/>
      <c r="O610" s="17"/>
      <c r="P610" s="17"/>
      <c r="Q610" s="17"/>
    </row>
    <row r="611">
      <c r="A611" s="17"/>
      <c r="B611" s="17"/>
      <c r="C611" s="17"/>
      <c r="D611" s="17"/>
      <c r="E611" s="17"/>
      <c r="F611" s="17"/>
      <c r="G611" s="17"/>
      <c r="H611" s="17"/>
      <c r="I611" s="17"/>
      <c r="J611" s="17"/>
      <c r="K611" s="17"/>
      <c r="L611" s="17"/>
      <c r="M611" s="17"/>
      <c r="N611" s="17"/>
      <c r="O611" s="17"/>
      <c r="P611" s="17"/>
      <c r="Q611" s="17"/>
    </row>
    <row r="612">
      <c r="A612" s="17"/>
      <c r="B612" s="17"/>
      <c r="C612" s="17"/>
      <c r="D612" s="17"/>
      <c r="E612" s="17"/>
      <c r="F612" s="17"/>
      <c r="G612" s="17"/>
      <c r="H612" s="17"/>
      <c r="I612" s="17"/>
      <c r="J612" s="17"/>
      <c r="K612" s="17"/>
      <c r="L612" s="17"/>
      <c r="M612" s="17"/>
      <c r="N612" s="17"/>
      <c r="O612" s="17"/>
      <c r="P612" s="17"/>
      <c r="Q612" s="17"/>
    </row>
    <row r="613">
      <c r="A613" s="17"/>
      <c r="B613" s="17"/>
      <c r="C613" s="17"/>
      <c r="D613" s="17"/>
      <c r="E613" s="17"/>
      <c r="F613" s="17"/>
      <c r="G613" s="17"/>
      <c r="H613" s="17"/>
      <c r="I613" s="17"/>
      <c r="J613" s="17"/>
      <c r="K613" s="17"/>
      <c r="L613" s="17"/>
      <c r="M613" s="17"/>
      <c r="N613" s="17"/>
      <c r="O613" s="17"/>
      <c r="P613" s="17"/>
      <c r="Q613" s="17"/>
    </row>
    <row r="614">
      <c r="A614" s="17"/>
      <c r="B614" s="17"/>
      <c r="C614" s="17"/>
      <c r="D614" s="17"/>
      <c r="E614" s="17"/>
      <c r="F614" s="17"/>
      <c r="G614" s="17"/>
      <c r="H614" s="17"/>
      <c r="I614" s="17"/>
      <c r="J614" s="17"/>
      <c r="K614" s="17"/>
      <c r="L614" s="17"/>
      <c r="M614" s="17"/>
      <c r="N614" s="17"/>
      <c r="O614" s="17"/>
      <c r="P614" s="17"/>
      <c r="Q614" s="17"/>
    </row>
    <row r="615">
      <c r="A615" s="17"/>
      <c r="B615" s="17"/>
      <c r="C615" s="17"/>
      <c r="D615" s="17"/>
      <c r="E615" s="17"/>
      <c r="F615" s="17"/>
      <c r="G615" s="17"/>
      <c r="H615" s="17"/>
      <c r="I615" s="17"/>
      <c r="J615" s="17"/>
      <c r="K615" s="17"/>
      <c r="L615" s="17"/>
      <c r="M615" s="17"/>
      <c r="N615" s="17"/>
      <c r="O615" s="17"/>
      <c r="P615" s="17"/>
      <c r="Q615" s="17"/>
    </row>
    <row r="616">
      <c r="A616" s="17"/>
      <c r="B616" s="17"/>
      <c r="C616" s="17"/>
      <c r="D616" s="17"/>
      <c r="E616" s="17"/>
      <c r="F616" s="17"/>
      <c r="G616" s="17"/>
      <c r="H616" s="17"/>
      <c r="I616" s="17"/>
      <c r="J616" s="17"/>
      <c r="K616" s="17"/>
      <c r="L616" s="17"/>
      <c r="M616" s="17"/>
      <c r="N616" s="17"/>
      <c r="O616" s="17"/>
      <c r="P616" s="17"/>
      <c r="Q616" s="17"/>
    </row>
    <row r="617">
      <c r="A617" s="17"/>
      <c r="B617" s="17"/>
      <c r="C617" s="17"/>
      <c r="D617" s="17"/>
      <c r="E617" s="17"/>
      <c r="F617" s="17"/>
      <c r="G617" s="17"/>
      <c r="H617" s="17"/>
      <c r="I617" s="17"/>
      <c r="J617" s="17"/>
      <c r="K617" s="17"/>
      <c r="L617" s="17"/>
      <c r="M617" s="17"/>
      <c r="N617" s="17"/>
      <c r="O617" s="17"/>
      <c r="P617" s="17"/>
      <c r="Q617" s="17"/>
    </row>
    <row r="618">
      <c r="A618" s="17"/>
      <c r="B618" s="17"/>
      <c r="C618" s="17"/>
      <c r="D618" s="17"/>
      <c r="E618" s="17"/>
      <c r="F618" s="17"/>
      <c r="G618" s="17"/>
      <c r="H618" s="17"/>
      <c r="I618" s="17"/>
      <c r="J618" s="17"/>
      <c r="K618" s="17"/>
      <c r="L618" s="17"/>
      <c r="M618" s="17"/>
      <c r="N618" s="17"/>
      <c r="O618" s="17"/>
      <c r="P618" s="17"/>
      <c r="Q618" s="17"/>
    </row>
    <row r="619">
      <c r="A619" s="17"/>
      <c r="B619" s="17"/>
      <c r="C619" s="17"/>
      <c r="D619" s="17"/>
      <c r="E619" s="17"/>
      <c r="F619" s="17"/>
      <c r="G619" s="17"/>
      <c r="H619" s="17"/>
      <c r="I619" s="17"/>
      <c r="J619" s="17"/>
      <c r="K619" s="17"/>
      <c r="L619" s="17"/>
      <c r="M619" s="17"/>
      <c r="N619" s="17"/>
      <c r="O619" s="17"/>
      <c r="P619" s="17"/>
      <c r="Q619" s="17"/>
    </row>
    <row r="620">
      <c r="A620" s="17"/>
      <c r="B620" s="17"/>
      <c r="C620" s="17"/>
      <c r="D620" s="17"/>
      <c r="E620" s="17"/>
      <c r="F620" s="17"/>
      <c r="G620" s="17"/>
      <c r="H620" s="17"/>
      <c r="I620" s="17"/>
      <c r="J620" s="17"/>
      <c r="K620" s="17"/>
      <c r="L620" s="17"/>
      <c r="M620" s="17"/>
      <c r="N620" s="17"/>
      <c r="O620" s="17"/>
      <c r="P620" s="17"/>
      <c r="Q620" s="17"/>
    </row>
    <row r="621">
      <c r="A621" s="17"/>
      <c r="B621" s="17"/>
      <c r="C621" s="17"/>
      <c r="D621" s="17"/>
      <c r="E621" s="17"/>
      <c r="F621" s="17"/>
      <c r="G621" s="17"/>
      <c r="H621" s="17"/>
      <c r="I621" s="17"/>
      <c r="J621" s="17"/>
      <c r="K621" s="17"/>
      <c r="L621" s="17"/>
      <c r="M621" s="17"/>
      <c r="N621" s="17"/>
      <c r="O621" s="17"/>
      <c r="P621" s="17"/>
      <c r="Q621" s="17"/>
    </row>
    <row r="622">
      <c r="A622" s="17"/>
      <c r="B622" s="17"/>
      <c r="C622" s="17"/>
      <c r="D622" s="17"/>
      <c r="E622" s="17"/>
      <c r="F622" s="17"/>
      <c r="G622" s="17"/>
      <c r="H622" s="17"/>
      <c r="I622" s="17"/>
      <c r="J622" s="17"/>
      <c r="K622" s="17"/>
      <c r="L622" s="17"/>
      <c r="M622" s="17"/>
      <c r="N622" s="17"/>
      <c r="O622" s="17"/>
      <c r="P622" s="17"/>
      <c r="Q622" s="17"/>
    </row>
    <row r="623">
      <c r="A623" s="17"/>
      <c r="B623" s="17"/>
      <c r="C623" s="17"/>
      <c r="D623" s="17"/>
      <c r="E623" s="17"/>
      <c r="F623" s="17"/>
      <c r="G623" s="17"/>
      <c r="H623" s="17"/>
      <c r="I623" s="17"/>
      <c r="J623" s="17"/>
      <c r="K623" s="17"/>
      <c r="L623" s="17"/>
      <c r="M623" s="17"/>
      <c r="N623" s="17"/>
      <c r="O623" s="17"/>
      <c r="P623" s="17"/>
      <c r="Q623" s="17"/>
    </row>
    <row r="624">
      <c r="A624" s="17"/>
      <c r="B624" s="17"/>
      <c r="C624" s="17"/>
      <c r="D624" s="17"/>
      <c r="E624" s="17"/>
      <c r="F624" s="17"/>
      <c r="G624" s="17"/>
      <c r="H624" s="17"/>
      <c r="I624" s="17"/>
      <c r="J624" s="17"/>
      <c r="K624" s="17"/>
      <c r="L624" s="17"/>
      <c r="M624" s="17"/>
      <c r="N624" s="17"/>
      <c r="O624" s="17"/>
      <c r="P624" s="17"/>
      <c r="Q624" s="17"/>
    </row>
    <row r="625">
      <c r="A625" s="17"/>
      <c r="B625" s="17"/>
      <c r="C625" s="17"/>
      <c r="D625" s="17"/>
      <c r="E625" s="17"/>
      <c r="F625" s="17"/>
      <c r="G625" s="17"/>
      <c r="H625" s="17"/>
      <c r="I625" s="17"/>
      <c r="J625" s="17"/>
      <c r="K625" s="17"/>
      <c r="L625" s="17"/>
      <c r="M625" s="17"/>
      <c r="N625" s="17"/>
      <c r="O625" s="17"/>
      <c r="P625" s="17"/>
      <c r="Q625" s="17"/>
    </row>
    <row r="626">
      <c r="A626" s="17"/>
      <c r="B626" s="17"/>
      <c r="C626" s="17"/>
      <c r="D626" s="17"/>
      <c r="E626" s="17"/>
      <c r="F626" s="17"/>
      <c r="G626" s="17"/>
      <c r="H626" s="17"/>
      <c r="I626" s="17"/>
      <c r="J626" s="17"/>
      <c r="K626" s="17"/>
      <c r="L626" s="17"/>
      <c r="M626" s="17"/>
      <c r="N626" s="17"/>
      <c r="O626" s="17"/>
      <c r="P626" s="17"/>
      <c r="Q626" s="17"/>
    </row>
    <row r="627">
      <c r="A627" s="17"/>
      <c r="B627" s="17"/>
      <c r="C627" s="17"/>
      <c r="D627" s="17"/>
      <c r="E627" s="17"/>
      <c r="F627" s="17"/>
      <c r="G627" s="17"/>
      <c r="H627" s="17"/>
      <c r="I627" s="17"/>
      <c r="J627" s="17"/>
      <c r="K627" s="17"/>
      <c r="L627" s="17"/>
      <c r="M627" s="17"/>
      <c r="N627" s="17"/>
      <c r="O627" s="17"/>
      <c r="P627" s="17"/>
      <c r="Q627" s="17"/>
    </row>
    <row r="628">
      <c r="A628" s="17"/>
      <c r="B628" s="17"/>
      <c r="C628" s="17"/>
      <c r="D628" s="17"/>
      <c r="E628" s="17"/>
      <c r="F628" s="17"/>
      <c r="G628" s="17"/>
      <c r="H628" s="17"/>
      <c r="I628" s="17"/>
      <c r="J628" s="17"/>
      <c r="K628" s="17"/>
      <c r="L628" s="17"/>
      <c r="M628" s="17"/>
      <c r="N628" s="17"/>
      <c r="O628" s="17"/>
      <c r="P628" s="17"/>
      <c r="Q628" s="17"/>
    </row>
    <row r="629">
      <c r="A629" s="17"/>
      <c r="B629" s="17"/>
      <c r="C629" s="17"/>
      <c r="D629" s="17"/>
      <c r="E629" s="17"/>
      <c r="F629" s="17"/>
      <c r="G629" s="17"/>
      <c r="H629" s="17"/>
      <c r="I629" s="17"/>
      <c r="J629" s="17"/>
      <c r="K629" s="17"/>
      <c r="L629" s="17"/>
      <c r="M629" s="17"/>
      <c r="N629" s="17"/>
      <c r="O629" s="17"/>
      <c r="P629" s="17"/>
      <c r="Q629" s="17"/>
    </row>
    <row r="630">
      <c r="A630" s="17"/>
      <c r="B630" s="17"/>
      <c r="C630" s="17"/>
      <c r="D630" s="17"/>
      <c r="E630" s="17"/>
      <c r="F630" s="17"/>
      <c r="G630" s="17"/>
      <c r="H630" s="17"/>
      <c r="I630" s="17"/>
      <c r="J630" s="17"/>
      <c r="K630" s="17"/>
      <c r="L630" s="17"/>
      <c r="M630" s="17"/>
      <c r="N630" s="17"/>
      <c r="O630" s="17"/>
      <c r="P630" s="17"/>
      <c r="Q630" s="17"/>
    </row>
    <row r="631">
      <c r="A631" s="17"/>
      <c r="B631" s="17"/>
      <c r="C631" s="17"/>
      <c r="D631" s="17"/>
      <c r="E631" s="17"/>
      <c r="F631" s="17"/>
      <c r="G631" s="17"/>
      <c r="H631" s="17"/>
      <c r="I631" s="17"/>
      <c r="J631" s="17"/>
      <c r="K631" s="17"/>
      <c r="L631" s="17"/>
      <c r="M631" s="17"/>
      <c r="N631" s="17"/>
      <c r="O631" s="17"/>
      <c r="P631" s="17"/>
      <c r="Q631" s="17"/>
    </row>
    <row r="632">
      <c r="A632" s="17"/>
      <c r="B632" s="17"/>
      <c r="C632" s="17"/>
      <c r="D632" s="17"/>
      <c r="E632" s="17"/>
      <c r="F632" s="17"/>
      <c r="G632" s="17"/>
      <c r="H632" s="17"/>
      <c r="I632" s="17"/>
      <c r="J632" s="17"/>
      <c r="K632" s="17"/>
      <c r="L632" s="17"/>
      <c r="M632" s="17"/>
      <c r="N632" s="17"/>
      <c r="O632" s="17"/>
      <c r="P632" s="17"/>
      <c r="Q632" s="17"/>
    </row>
    <row r="633">
      <c r="A633" s="17"/>
      <c r="B633" s="17"/>
      <c r="C633" s="17"/>
      <c r="D633" s="17"/>
      <c r="E633" s="17"/>
      <c r="F633" s="17"/>
      <c r="G633" s="17"/>
      <c r="H633" s="17"/>
      <c r="I633" s="17"/>
      <c r="J633" s="17"/>
      <c r="K633" s="17"/>
      <c r="L633" s="17"/>
      <c r="M633" s="17"/>
      <c r="N633" s="17"/>
      <c r="O633" s="17"/>
      <c r="P633" s="17"/>
      <c r="Q633" s="17"/>
    </row>
    <row r="634">
      <c r="A634" s="17"/>
      <c r="B634" s="17"/>
      <c r="C634" s="17"/>
      <c r="D634" s="17"/>
      <c r="E634" s="17"/>
      <c r="F634" s="17"/>
      <c r="G634" s="17"/>
      <c r="H634" s="17"/>
      <c r="I634" s="17"/>
      <c r="J634" s="17"/>
      <c r="K634" s="17"/>
      <c r="L634" s="17"/>
      <c r="M634" s="17"/>
      <c r="N634" s="17"/>
      <c r="O634" s="17"/>
      <c r="P634" s="17"/>
      <c r="Q634" s="17"/>
    </row>
    <row r="635">
      <c r="A635" s="17"/>
      <c r="B635" s="17"/>
      <c r="C635" s="17"/>
      <c r="D635" s="17"/>
      <c r="E635" s="17"/>
      <c r="F635" s="17"/>
      <c r="G635" s="17"/>
      <c r="H635" s="17"/>
      <c r="I635" s="17"/>
      <c r="J635" s="17"/>
      <c r="K635" s="17"/>
      <c r="L635" s="17"/>
      <c r="M635" s="17"/>
      <c r="N635" s="17"/>
      <c r="O635" s="17"/>
      <c r="P635" s="17"/>
      <c r="Q635" s="17"/>
    </row>
    <row r="636">
      <c r="A636" s="17"/>
      <c r="B636" s="17"/>
      <c r="C636" s="17"/>
      <c r="D636" s="17"/>
      <c r="E636" s="17"/>
      <c r="F636" s="17"/>
      <c r="G636" s="17"/>
      <c r="H636" s="17"/>
      <c r="I636" s="17"/>
      <c r="J636" s="17"/>
      <c r="K636" s="17"/>
      <c r="L636" s="17"/>
      <c r="M636" s="17"/>
      <c r="N636" s="17"/>
      <c r="O636" s="17"/>
      <c r="P636" s="17"/>
      <c r="Q636" s="17"/>
    </row>
    <row r="637">
      <c r="A637" s="17"/>
      <c r="B637" s="17"/>
      <c r="C637" s="17"/>
      <c r="D637" s="17"/>
      <c r="E637" s="17"/>
      <c r="F637" s="17"/>
      <c r="G637" s="17"/>
      <c r="H637" s="17"/>
      <c r="I637" s="17"/>
      <c r="J637" s="17"/>
      <c r="K637" s="17"/>
      <c r="L637" s="17"/>
      <c r="M637" s="17"/>
      <c r="N637" s="17"/>
      <c r="O637" s="17"/>
      <c r="P637" s="17"/>
      <c r="Q637" s="17"/>
    </row>
    <row r="638">
      <c r="A638" s="17"/>
      <c r="B638" s="17"/>
      <c r="C638" s="17"/>
      <c r="D638" s="17"/>
      <c r="E638" s="17"/>
      <c r="F638" s="17"/>
      <c r="G638" s="17"/>
      <c r="H638" s="17"/>
      <c r="I638" s="17"/>
      <c r="J638" s="17"/>
      <c r="K638" s="17"/>
      <c r="L638" s="17"/>
      <c r="M638" s="17"/>
      <c r="N638" s="17"/>
      <c r="O638" s="17"/>
      <c r="P638" s="17"/>
      <c r="Q638" s="17"/>
    </row>
    <row r="639">
      <c r="A639" s="17"/>
      <c r="B639" s="17"/>
      <c r="C639" s="17"/>
      <c r="D639" s="17"/>
      <c r="E639" s="17"/>
      <c r="F639" s="17"/>
      <c r="G639" s="17"/>
      <c r="H639" s="17"/>
      <c r="I639" s="17"/>
      <c r="J639" s="17"/>
      <c r="K639" s="17"/>
      <c r="L639" s="17"/>
      <c r="M639" s="17"/>
      <c r="N639" s="17"/>
      <c r="O639" s="17"/>
      <c r="P639" s="17"/>
      <c r="Q639" s="17"/>
    </row>
    <row r="640">
      <c r="A640" s="17"/>
      <c r="B640" s="17"/>
      <c r="C640" s="17"/>
      <c r="D640" s="17"/>
      <c r="E640" s="17"/>
      <c r="F640" s="17"/>
      <c r="G640" s="17"/>
      <c r="H640" s="17"/>
      <c r="I640" s="17"/>
      <c r="J640" s="17"/>
      <c r="K640" s="17"/>
      <c r="L640" s="17"/>
      <c r="M640" s="17"/>
      <c r="N640" s="17"/>
      <c r="O640" s="17"/>
      <c r="P640" s="17"/>
      <c r="Q640" s="17"/>
    </row>
    <row r="641">
      <c r="A641" s="17"/>
      <c r="B641" s="17"/>
      <c r="C641" s="17"/>
      <c r="D641" s="17"/>
      <c r="E641" s="17"/>
      <c r="F641" s="17"/>
      <c r="G641" s="17"/>
      <c r="H641" s="17"/>
      <c r="I641" s="17"/>
      <c r="J641" s="17"/>
      <c r="K641" s="17"/>
      <c r="L641" s="17"/>
      <c r="M641" s="17"/>
      <c r="N641" s="17"/>
      <c r="O641" s="17"/>
      <c r="P641" s="17"/>
      <c r="Q641" s="17"/>
    </row>
    <row r="642">
      <c r="A642" s="17"/>
      <c r="B642" s="17"/>
      <c r="C642" s="17"/>
      <c r="D642" s="17"/>
      <c r="E642" s="17"/>
      <c r="F642" s="17"/>
      <c r="G642" s="17"/>
      <c r="H642" s="17"/>
      <c r="I642" s="17"/>
      <c r="J642" s="17"/>
      <c r="K642" s="17"/>
      <c r="L642" s="17"/>
      <c r="M642" s="17"/>
      <c r="N642" s="17"/>
      <c r="O642" s="17"/>
      <c r="P642" s="17"/>
      <c r="Q642" s="17"/>
    </row>
    <row r="643">
      <c r="A643" s="17"/>
      <c r="B643" s="17"/>
      <c r="C643" s="17"/>
      <c r="D643" s="17"/>
      <c r="E643" s="17"/>
      <c r="F643" s="17"/>
      <c r="G643" s="17"/>
      <c r="H643" s="17"/>
      <c r="I643" s="17"/>
      <c r="J643" s="17"/>
      <c r="K643" s="17"/>
      <c r="L643" s="17"/>
      <c r="M643" s="17"/>
      <c r="N643" s="17"/>
      <c r="O643" s="17"/>
      <c r="P643" s="17"/>
      <c r="Q643" s="17"/>
    </row>
    <row r="644">
      <c r="A644" s="17"/>
      <c r="B644" s="17"/>
      <c r="C644" s="17"/>
      <c r="D644" s="17"/>
      <c r="E644" s="17"/>
      <c r="F644" s="17"/>
      <c r="G644" s="17"/>
      <c r="H644" s="17"/>
      <c r="I644" s="17"/>
      <c r="J644" s="17"/>
      <c r="K644" s="17"/>
      <c r="L644" s="17"/>
      <c r="M644" s="17"/>
      <c r="N644" s="17"/>
      <c r="O644" s="17"/>
      <c r="P644" s="17"/>
      <c r="Q644" s="17"/>
    </row>
    <row r="645">
      <c r="A645" s="17"/>
      <c r="B645" s="17"/>
      <c r="C645" s="17"/>
      <c r="D645" s="17"/>
      <c r="E645" s="17"/>
      <c r="F645" s="17"/>
      <c r="G645" s="17"/>
      <c r="H645" s="17"/>
      <c r="I645" s="17"/>
      <c r="J645" s="17"/>
      <c r="K645" s="17"/>
      <c r="L645" s="17"/>
      <c r="M645" s="17"/>
      <c r="N645" s="17"/>
      <c r="O645" s="17"/>
      <c r="P645" s="17"/>
      <c r="Q645" s="17"/>
    </row>
    <row r="646">
      <c r="A646" s="17"/>
      <c r="B646" s="17"/>
      <c r="C646" s="17"/>
      <c r="D646" s="17"/>
      <c r="E646" s="17"/>
      <c r="F646" s="17"/>
      <c r="G646" s="17"/>
      <c r="H646" s="17"/>
      <c r="I646" s="17"/>
      <c r="J646" s="17"/>
      <c r="K646" s="17"/>
      <c r="L646" s="17"/>
      <c r="M646" s="17"/>
      <c r="N646" s="17"/>
      <c r="O646" s="17"/>
      <c r="P646" s="17"/>
      <c r="Q646" s="17"/>
    </row>
    <row r="647">
      <c r="A647" s="17"/>
      <c r="B647" s="17"/>
      <c r="C647" s="17"/>
      <c r="D647" s="17"/>
      <c r="E647" s="17"/>
      <c r="F647" s="17"/>
      <c r="G647" s="17"/>
      <c r="H647" s="17"/>
      <c r="I647" s="17"/>
      <c r="J647" s="17"/>
      <c r="K647" s="17"/>
      <c r="L647" s="17"/>
      <c r="M647" s="17"/>
      <c r="N647" s="17"/>
      <c r="O647" s="17"/>
      <c r="P647" s="17"/>
      <c r="Q647" s="17"/>
    </row>
    <row r="648">
      <c r="A648" s="17"/>
      <c r="B648" s="17"/>
      <c r="C648" s="17"/>
      <c r="D648" s="17"/>
      <c r="E648" s="17"/>
      <c r="F648" s="17"/>
      <c r="G648" s="17"/>
      <c r="H648" s="17"/>
      <c r="I648" s="17"/>
      <c r="J648" s="17"/>
      <c r="K648" s="17"/>
      <c r="L648" s="17"/>
      <c r="M648" s="17"/>
      <c r="N648" s="17"/>
      <c r="O648" s="17"/>
      <c r="P648" s="17"/>
      <c r="Q648" s="17"/>
    </row>
    <row r="649">
      <c r="A649" s="17"/>
      <c r="B649" s="17"/>
      <c r="C649" s="17"/>
      <c r="D649" s="17"/>
      <c r="E649" s="17"/>
      <c r="F649" s="17"/>
      <c r="G649" s="17"/>
      <c r="H649" s="17"/>
      <c r="I649" s="17"/>
      <c r="J649" s="17"/>
      <c r="K649" s="17"/>
      <c r="L649" s="17"/>
      <c r="M649" s="17"/>
      <c r="N649" s="17"/>
      <c r="O649" s="17"/>
      <c r="P649" s="17"/>
      <c r="Q649" s="17"/>
    </row>
    <row r="650">
      <c r="A650" s="17"/>
      <c r="B650" s="17"/>
      <c r="C650" s="17"/>
      <c r="D650" s="17"/>
      <c r="E650" s="17"/>
      <c r="F650" s="17"/>
      <c r="G650" s="17"/>
      <c r="H650" s="17"/>
      <c r="I650" s="17"/>
      <c r="J650" s="17"/>
      <c r="K650" s="17"/>
      <c r="L650" s="17"/>
      <c r="M650" s="17"/>
      <c r="N650" s="17"/>
      <c r="O650" s="17"/>
      <c r="P650" s="17"/>
      <c r="Q650" s="17"/>
    </row>
    <row r="651">
      <c r="A651" s="17"/>
      <c r="B651" s="17"/>
      <c r="C651" s="17"/>
      <c r="D651" s="17"/>
      <c r="E651" s="17"/>
      <c r="F651" s="17"/>
      <c r="G651" s="17"/>
      <c r="H651" s="17"/>
      <c r="I651" s="17"/>
      <c r="J651" s="17"/>
      <c r="K651" s="17"/>
      <c r="L651" s="17"/>
      <c r="M651" s="17"/>
      <c r="N651" s="17"/>
      <c r="O651" s="17"/>
      <c r="P651" s="17"/>
      <c r="Q651" s="17"/>
    </row>
    <row r="652">
      <c r="A652" s="17"/>
      <c r="B652" s="17"/>
      <c r="C652" s="17"/>
      <c r="D652" s="17"/>
      <c r="E652" s="17"/>
      <c r="F652" s="17"/>
      <c r="G652" s="17"/>
      <c r="H652" s="17"/>
      <c r="I652" s="17"/>
      <c r="J652" s="17"/>
      <c r="K652" s="17"/>
      <c r="L652" s="17"/>
      <c r="M652" s="17"/>
      <c r="N652" s="17"/>
      <c r="O652" s="17"/>
      <c r="P652" s="17"/>
      <c r="Q652" s="17"/>
    </row>
    <row r="653">
      <c r="A653" s="17"/>
      <c r="B653" s="17"/>
      <c r="C653" s="17"/>
      <c r="D653" s="17"/>
      <c r="E653" s="17"/>
      <c r="F653" s="17"/>
      <c r="G653" s="17"/>
      <c r="H653" s="17"/>
      <c r="I653" s="17"/>
      <c r="J653" s="17"/>
      <c r="K653" s="17"/>
      <c r="L653" s="17"/>
      <c r="M653" s="17"/>
      <c r="N653" s="17"/>
      <c r="O653" s="17"/>
      <c r="P653" s="17"/>
      <c r="Q653" s="17"/>
    </row>
    <row r="654">
      <c r="A654" s="17"/>
      <c r="B654" s="17"/>
      <c r="C654" s="17"/>
      <c r="D654" s="17"/>
      <c r="E654" s="17"/>
      <c r="F654" s="17"/>
      <c r="G654" s="17"/>
      <c r="H654" s="17"/>
      <c r="I654" s="17"/>
      <c r="J654" s="17"/>
      <c r="K654" s="17"/>
      <c r="L654" s="17"/>
      <c r="M654" s="17"/>
      <c r="N654" s="17"/>
      <c r="O654" s="17"/>
      <c r="P654" s="17"/>
      <c r="Q654" s="17"/>
    </row>
    <row r="655">
      <c r="A655" s="17"/>
      <c r="B655" s="17"/>
      <c r="C655" s="17"/>
      <c r="D655" s="17"/>
      <c r="E655" s="17"/>
      <c r="F655" s="17"/>
      <c r="G655" s="17"/>
      <c r="H655" s="17"/>
      <c r="I655" s="17"/>
      <c r="J655" s="17"/>
      <c r="K655" s="17"/>
      <c r="L655" s="17"/>
      <c r="M655" s="17"/>
      <c r="N655" s="17"/>
      <c r="O655" s="17"/>
      <c r="P655" s="17"/>
      <c r="Q655" s="17"/>
    </row>
    <row r="656">
      <c r="A656" s="17"/>
      <c r="B656" s="17"/>
      <c r="C656" s="17"/>
      <c r="D656" s="17"/>
      <c r="E656" s="17"/>
      <c r="F656" s="17"/>
      <c r="G656" s="17"/>
      <c r="H656" s="17"/>
      <c r="I656" s="17"/>
      <c r="J656" s="17"/>
      <c r="K656" s="17"/>
      <c r="L656" s="17"/>
      <c r="M656" s="17"/>
      <c r="N656" s="17"/>
      <c r="O656" s="17"/>
      <c r="P656" s="17"/>
      <c r="Q656" s="17"/>
    </row>
    <row r="657">
      <c r="A657" s="17"/>
      <c r="B657" s="17"/>
      <c r="C657" s="17"/>
      <c r="D657" s="17"/>
      <c r="E657" s="17"/>
      <c r="F657" s="17"/>
      <c r="G657" s="17"/>
      <c r="H657" s="17"/>
      <c r="I657" s="17"/>
      <c r="J657" s="17"/>
      <c r="K657" s="17"/>
      <c r="L657" s="17"/>
      <c r="M657" s="17"/>
      <c r="N657" s="17"/>
      <c r="O657" s="17"/>
      <c r="P657" s="17"/>
      <c r="Q657" s="17"/>
    </row>
    <row r="658">
      <c r="A658" s="17"/>
      <c r="B658" s="17"/>
      <c r="C658" s="17"/>
      <c r="D658" s="17"/>
      <c r="E658" s="17"/>
      <c r="F658" s="17"/>
      <c r="G658" s="17"/>
      <c r="H658" s="17"/>
      <c r="I658" s="17"/>
      <c r="J658" s="17"/>
      <c r="K658" s="17"/>
      <c r="L658" s="17"/>
      <c r="M658" s="17"/>
      <c r="N658" s="17"/>
      <c r="O658" s="17"/>
      <c r="P658" s="17"/>
      <c r="Q658" s="17"/>
    </row>
    <row r="659">
      <c r="A659" s="17"/>
      <c r="B659" s="17"/>
      <c r="C659" s="17"/>
      <c r="D659" s="17"/>
      <c r="E659" s="17"/>
      <c r="F659" s="17"/>
      <c r="G659" s="17"/>
      <c r="H659" s="17"/>
      <c r="I659" s="17"/>
      <c r="J659" s="17"/>
      <c r="K659" s="17"/>
      <c r="L659" s="17"/>
      <c r="M659" s="17"/>
      <c r="N659" s="17"/>
      <c r="O659" s="17"/>
      <c r="P659" s="17"/>
      <c r="Q659" s="17"/>
    </row>
    <row r="660">
      <c r="A660" s="17"/>
      <c r="B660" s="17"/>
      <c r="C660" s="17"/>
      <c r="D660" s="17"/>
      <c r="E660" s="17"/>
      <c r="F660" s="17"/>
      <c r="G660" s="17"/>
      <c r="H660" s="17"/>
      <c r="I660" s="17"/>
      <c r="J660" s="17"/>
      <c r="K660" s="17"/>
      <c r="L660" s="17"/>
      <c r="M660" s="17"/>
      <c r="N660" s="17"/>
      <c r="O660" s="17"/>
      <c r="P660" s="17"/>
      <c r="Q660" s="17"/>
    </row>
    <row r="661">
      <c r="A661" s="17"/>
      <c r="B661" s="17"/>
      <c r="C661" s="17"/>
      <c r="D661" s="17"/>
      <c r="E661" s="17"/>
      <c r="F661" s="17"/>
      <c r="G661" s="17"/>
      <c r="H661" s="17"/>
      <c r="I661" s="17"/>
      <c r="J661" s="17"/>
      <c r="K661" s="17"/>
      <c r="L661" s="17"/>
      <c r="M661" s="17"/>
      <c r="N661" s="17"/>
      <c r="O661" s="17"/>
      <c r="P661" s="17"/>
      <c r="Q661" s="17"/>
    </row>
    <row r="662">
      <c r="A662" s="17"/>
      <c r="B662" s="17"/>
      <c r="C662" s="17"/>
      <c r="D662" s="17"/>
      <c r="E662" s="17"/>
      <c r="F662" s="17"/>
      <c r="G662" s="17"/>
      <c r="H662" s="17"/>
      <c r="I662" s="17"/>
      <c r="J662" s="17"/>
      <c r="K662" s="17"/>
      <c r="L662" s="17"/>
      <c r="M662" s="17"/>
      <c r="N662" s="17"/>
      <c r="O662" s="17"/>
      <c r="P662" s="17"/>
      <c r="Q662" s="17"/>
    </row>
    <row r="663">
      <c r="A663" s="17"/>
      <c r="B663" s="17"/>
      <c r="C663" s="17"/>
      <c r="D663" s="17"/>
      <c r="E663" s="17"/>
      <c r="F663" s="17"/>
      <c r="G663" s="17"/>
      <c r="H663" s="17"/>
      <c r="I663" s="17"/>
      <c r="J663" s="17"/>
      <c r="K663" s="17"/>
      <c r="L663" s="17"/>
      <c r="M663" s="17"/>
      <c r="N663" s="17"/>
      <c r="O663" s="17"/>
      <c r="P663" s="17"/>
      <c r="Q663" s="17"/>
    </row>
    <row r="664">
      <c r="A664" s="17"/>
      <c r="B664" s="17"/>
      <c r="C664" s="17"/>
      <c r="D664" s="17"/>
      <c r="E664" s="17"/>
      <c r="F664" s="17"/>
      <c r="G664" s="17"/>
      <c r="H664" s="17"/>
      <c r="I664" s="17"/>
      <c r="J664" s="17"/>
      <c r="K664" s="17"/>
      <c r="L664" s="17"/>
      <c r="M664" s="17"/>
      <c r="N664" s="17"/>
      <c r="O664" s="17"/>
      <c r="P664" s="17"/>
      <c r="Q664" s="17"/>
    </row>
    <row r="665">
      <c r="A665" s="17"/>
      <c r="B665" s="17"/>
      <c r="C665" s="17"/>
      <c r="D665" s="17"/>
      <c r="E665" s="17"/>
      <c r="F665" s="17"/>
      <c r="G665" s="17"/>
      <c r="H665" s="17"/>
      <c r="I665" s="17"/>
      <c r="J665" s="17"/>
      <c r="K665" s="17"/>
      <c r="L665" s="17"/>
      <c r="M665" s="17"/>
      <c r="N665" s="17"/>
      <c r="O665" s="17"/>
      <c r="P665" s="17"/>
      <c r="Q665" s="17"/>
    </row>
    <row r="666">
      <c r="A666" s="17"/>
      <c r="B666" s="17"/>
      <c r="C666" s="17"/>
      <c r="D666" s="17"/>
      <c r="E666" s="17"/>
      <c r="F666" s="17"/>
      <c r="G666" s="17"/>
      <c r="H666" s="17"/>
      <c r="I666" s="17"/>
      <c r="J666" s="17"/>
      <c r="K666" s="17"/>
      <c r="L666" s="17"/>
      <c r="M666" s="17"/>
      <c r="N666" s="17"/>
      <c r="O666" s="17"/>
      <c r="P666" s="17"/>
      <c r="Q666" s="17"/>
    </row>
    <row r="667">
      <c r="A667" s="17"/>
      <c r="B667" s="17"/>
      <c r="C667" s="17"/>
      <c r="D667" s="17"/>
      <c r="E667" s="17"/>
      <c r="F667" s="17"/>
      <c r="G667" s="17"/>
      <c r="H667" s="17"/>
      <c r="I667" s="17"/>
      <c r="J667" s="17"/>
      <c r="K667" s="17"/>
      <c r="L667" s="17"/>
      <c r="M667" s="17"/>
      <c r="N667" s="17"/>
      <c r="O667" s="17"/>
      <c r="P667" s="17"/>
      <c r="Q667" s="17"/>
    </row>
    <row r="668">
      <c r="A668" s="17"/>
      <c r="B668" s="17"/>
      <c r="C668" s="17"/>
      <c r="D668" s="17"/>
      <c r="E668" s="17"/>
      <c r="F668" s="17"/>
      <c r="G668" s="17"/>
      <c r="H668" s="17"/>
      <c r="I668" s="17"/>
      <c r="J668" s="17"/>
      <c r="K668" s="17"/>
      <c r="L668" s="17"/>
      <c r="M668" s="17"/>
      <c r="N668" s="17"/>
      <c r="O668" s="17"/>
      <c r="P668" s="17"/>
      <c r="Q668" s="17"/>
    </row>
    <row r="669">
      <c r="A669" s="17"/>
      <c r="B669" s="17"/>
      <c r="C669" s="17"/>
      <c r="D669" s="17"/>
      <c r="E669" s="17"/>
      <c r="F669" s="17"/>
      <c r="G669" s="17"/>
      <c r="H669" s="17"/>
      <c r="I669" s="17"/>
      <c r="J669" s="17"/>
      <c r="K669" s="17"/>
      <c r="L669" s="17"/>
      <c r="M669" s="17"/>
      <c r="N669" s="17"/>
      <c r="O669" s="17"/>
      <c r="P669" s="17"/>
      <c r="Q669" s="17"/>
    </row>
    <row r="670">
      <c r="A670" s="17"/>
      <c r="B670" s="17"/>
      <c r="C670" s="17"/>
      <c r="D670" s="17"/>
      <c r="E670" s="17"/>
      <c r="F670" s="17"/>
      <c r="G670" s="17"/>
      <c r="H670" s="17"/>
      <c r="I670" s="17"/>
      <c r="J670" s="17"/>
      <c r="K670" s="17"/>
      <c r="L670" s="17"/>
      <c r="M670" s="17"/>
      <c r="N670" s="17"/>
      <c r="O670" s="17"/>
      <c r="P670" s="17"/>
      <c r="Q670" s="17"/>
    </row>
    <row r="671">
      <c r="A671" s="17"/>
      <c r="B671" s="17"/>
      <c r="C671" s="17"/>
      <c r="D671" s="17"/>
      <c r="E671" s="17"/>
      <c r="F671" s="17"/>
      <c r="G671" s="17"/>
      <c r="H671" s="17"/>
      <c r="I671" s="17"/>
      <c r="J671" s="17"/>
      <c r="K671" s="17"/>
      <c r="L671" s="17"/>
      <c r="M671" s="17"/>
      <c r="N671" s="17"/>
      <c r="O671" s="17"/>
      <c r="P671" s="17"/>
      <c r="Q671" s="17"/>
    </row>
    <row r="672">
      <c r="A672" s="17"/>
      <c r="B672" s="17"/>
      <c r="C672" s="17"/>
      <c r="D672" s="17"/>
      <c r="E672" s="17"/>
      <c r="F672" s="17"/>
      <c r="G672" s="17"/>
      <c r="H672" s="17"/>
      <c r="I672" s="17"/>
      <c r="J672" s="17"/>
      <c r="K672" s="17"/>
      <c r="L672" s="17"/>
      <c r="M672" s="17"/>
      <c r="N672" s="17"/>
      <c r="O672" s="17"/>
      <c r="P672" s="17"/>
      <c r="Q672" s="17"/>
    </row>
    <row r="673">
      <c r="A673" s="17"/>
      <c r="B673" s="17"/>
      <c r="C673" s="17"/>
      <c r="D673" s="17"/>
      <c r="E673" s="17"/>
      <c r="F673" s="17"/>
      <c r="G673" s="17"/>
      <c r="H673" s="17"/>
      <c r="I673" s="17"/>
      <c r="J673" s="17"/>
      <c r="K673" s="17"/>
      <c r="L673" s="17"/>
      <c r="M673" s="17"/>
      <c r="N673" s="17"/>
      <c r="O673" s="17"/>
      <c r="P673" s="17"/>
      <c r="Q673" s="17"/>
    </row>
    <row r="674">
      <c r="A674" s="17"/>
      <c r="B674" s="17"/>
      <c r="C674" s="17"/>
      <c r="D674" s="17"/>
      <c r="E674" s="17"/>
      <c r="F674" s="17"/>
      <c r="G674" s="17"/>
      <c r="H674" s="17"/>
      <c r="I674" s="17"/>
      <c r="J674" s="17"/>
      <c r="K674" s="17"/>
      <c r="L674" s="17"/>
      <c r="M674" s="17"/>
      <c r="N674" s="17"/>
      <c r="O674" s="17"/>
      <c r="P674" s="17"/>
      <c r="Q674" s="17"/>
    </row>
    <row r="675">
      <c r="A675" s="17"/>
      <c r="B675" s="17"/>
      <c r="C675" s="17"/>
      <c r="D675" s="17"/>
      <c r="E675" s="17"/>
      <c r="F675" s="17"/>
      <c r="G675" s="17"/>
      <c r="H675" s="17"/>
      <c r="I675" s="17"/>
      <c r="J675" s="17"/>
      <c r="K675" s="17"/>
      <c r="L675" s="17"/>
      <c r="M675" s="17"/>
      <c r="N675" s="17"/>
      <c r="O675" s="17"/>
      <c r="P675" s="17"/>
      <c r="Q675" s="17"/>
    </row>
    <row r="676">
      <c r="A676" s="17"/>
      <c r="B676" s="17"/>
      <c r="C676" s="17"/>
      <c r="D676" s="17"/>
      <c r="E676" s="17"/>
      <c r="F676" s="17"/>
      <c r="G676" s="17"/>
      <c r="H676" s="17"/>
      <c r="I676" s="17"/>
      <c r="J676" s="17"/>
      <c r="K676" s="17"/>
      <c r="L676" s="17"/>
      <c r="M676" s="17"/>
      <c r="N676" s="17"/>
      <c r="O676" s="17"/>
      <c r="P676" s="17"/>
      <c r="Q676" s="17"/>
    </row>
    <row r="677">
      <c r="A677" s="17"/>
      <c r="B677" s="17"/>
      <c r="C677" s="17"/>
      <c r="D677" s="17"/>
      <c r="E677" s="17"/>
      <c r="F677" s="17"/>
      <c r="G677" s="17"/>
      <c r="H677" s="17"/>
      <c r="I677" s="17"/>
      <c r="J677" s="17"/>
      <c r="K677" s="17"/>
      <c r="L677" s="17"/>
      <c r="M677" s="17"/>
      <c r="N677" s="17"/>
      <c r="O677" s="17"/>
      <c r="P677" s="17"/>
      <c r="Q677" s="17"/>
    </row>
    <row r="678">
      <c r="A678" s="17"/>
      <c r="B678" s="17"/>
      <c r="C678" s="17"/>
      <c r="D678" s="17"/>
      <c r="E678" s="17"/>
      <c r="F678" s="17"/>
      <c r="G678" s="17"/>
      <c r="H678" s="17"/>
      <c r="I678" s="17"/>
      <c r="J678" s="17"/>
      <c r="K678" s="17"/>
      <c r="L678" s="17"/>
      <c r="M678" s="17"/>
      <c r="N678" s="17"/>
      <c r="O678" s="17"/>
      <c r="P678" s="17"/>
      <c r="Q678" s="17"/>
    </row>
    <row r="679">
      <c r="A679" s="17"/>
      <c r="B679" s="17"/>
      <c r="C679" s="17"/>
      <c r="D679" s="17"/>
      <c r="E679" s="17"/>
      <c r="F679" s="17"/>
      <c r="G679" s="17"/>
      <c r="H679" s="17"/>
      <c r="I679" s="17"/>
      <c r="J679" s="17"/>
      <c r="K679" s="17"/>
      <c r="L679" s="17"/>
      <c r="M679" s="17"/>
      <c r="N679" s="17"/>
      <c r="O679" s="17"/>
      <c r="P679" s="17"/>
      <c r="Q679" s="17"/>
    </row>
    <row r="680">
      <c r="A680" s="17"/>
      <c r="B680" s="17"/>
      <c r="C680" s="17"/>
      <c r="D680" s="17"/>
      <c r="E680" s="17"/>
      <c r="F680" s="17"/>
      <c r="G680" s="17"/>
      <c r="H680" s="17"/>
      <c r="I680" s="17"/>
      <c r="J680" s="17"/>
      <c r="K680" s="17"/>
      <c r="L680" s="17"/>
      <c r="M680" s="17"/>
      <c r="N680" s="17"/>
      <c r="O680" s="17"/>
      <c r="P680" s="17"/>
      <c r="Q680" s="17"/>
    </row>
    <row r="681">
      <c r="A681" s="17"/>
      <c r="B681" s="17"/>
      <c r="C681" s="17"/>
      <c r="D681" s="17"/>
      <c r="E681" s="17"/>
      <c r="F681" s="17"/>
      <c r="G681" s="17"/>
      <c r="H681" s="17"/>
      <c r="I681" s="17"/>
      <c r="J681" s="17"/>
      <c r="K681" s="17"/>
      <c r="L681" s="17"/>
      <c r="M681" s="17"/>
      <c r="N681" s="17"/>
      <c r="O681" s="17"/>
      <c r="P681" s="17"/>
      <c r="Q681" s="17"/>
    </row>
    <row r="682">
      <c r="A682" s="17"/>
      <c r="B682" s="17"/>
      <c r="C682" s="17"/>
      <c r="D682" s="17"/>
      <c r="E682" s="17"/>
      <c r="F682" s="17"/>
      <c r="G682" s="17"/>
      <c r="H682" s="17"/>
      <c r="I682" s="17"/>
      <c r="J682" s="17"/>
      <c r="K682" s="17"/>
      <c r="L682" s="17"/>
      <c r="M682" s="17"/>
      <c r="N682" s="17"/>
      <c r="O682" s="17"/>
      <c r="P682" s="17"/>
      <c r="Q682" s="17"/>
    </row>
    <row r="683">
      <c r="A683" s="17"/>
      <c r="B683" s="17"/>
      <c r="C683" s="17"/>
      <c r="D683" s="17"/>
      <c r="E683" s="17"/>
      <c r="F683" s="17"/>
      <c r="G683" s="17"/>
      <c r="H683" s="17"/>
      <c r="I683" s="17"/>
      <c r="J683" s="17"/>
      <c r="K683" s="17"/>
      <c r="L683" s="17"/>
      <c r="M683" s="17"/>
      <c r="N683" s="17"/>
      <c r="O683" s="17"/>
      <c r="P683" s="17"/>
      <c r="Q683" s="17"/>
    </row>
    <row r="684">
      <c r="A684" s="17"/>
      <c r="B684" s="17"/>
      <c r="C684" s="17"/>
      <c r="D684" s="17"/>
      <c r="E684" s="17"/>
      <c r="F684" s="17"/>
      <c r="G684" s="17"/>
      <c r="H684" s="17"/>
      <c r="I684" s="17"/>
      <c r="J684" s="17"/>
      <c r="K684" s="17"/>
      <c r="L684" s="17"/>
      <c r="M684" s="17"/>
      <c r="N684" s="17"/>
      <c r="O684" s="17"/>
      <c r="P684" s="17"/>
      <c r="Q684" s="17"/>
    </row>
    <row r="685">
      <c r="A685" s="17"/>
      <c r="B685" s="17"/>
      <c r="C685" s="17"/>
      <c r="D685" s="17"/>
      <c r="E685" s="17"/>
      <c r="F685" s="17"/>
      <c r="G685" s="17"/>
      <c r="H685" s="17"/>
      <c r="I685" s="17"/>
      <c r="J685" s="17"/>
      <c r="K685" s="17"/>
      <c r="L685" s="17"/>
      <c r="M685" s="17"/>
      <c r="N685" s="17"/>
      <c r="O685" s="17"/>
      <c r="P685" s="17"/>
      <c r="Q685" s="17"/>
    </row>
    <row r="686">
      <c r="A686" s="17"/>
      <c r="B686" s="17"/>
      <c r="C686" s="17"/>
      <c r="D686" s="17"/>
      <c r="E686" s="17"/>
      <c r="F686" s="17"/>
      <c r="G686" s="17"/>
      <c r="H686" s="17"/>
      <c r="I686" s="17"/>
      <c r="J686" s="17"/>
      <c r="K686" s="17"/>
      <c r="L686" s="17"/>
      <c r="M686" s="17"/>
      <c r="N686" s="17"/>
      <c r="O686" s="17"/>
      <c r="P686" s="17"/>
      <c r="Q686" s="17"/>
    </row>
    <row r="687">
      <c r="A687" s="17"/>
      <c r="B687" s="17"/>
      <c r="C687" s="17"/>
      <c r="D687" s="17"/>
      <c r="E687" s="17"/>
      <c r="F687" s="17"/>
      <c r="G687" s="17"/>
      <c r="H687" s="17"/>
      <c r="I687" s="17"/>
      <c r="J687" s="17"/>
      <c r="K687" s="17"/>
      <c r="L687" s="17"/>
      <c r="M687" s="17"/>
      <c r="N687" s="17"/>
      <c r="O687" s="17"/>
      <c r="P687" s="17"/>
      <c r="Q687" s="17"/>
    </row>
    <row r="688">
      <c r="A688" s="17"/>
      <c r="B688" s="17"/>
      <c r="C688" s="17"/>
      <c r="D688" s="17"/>
      <c r="E688" s="17"/>
      <c r="F688" s="17"/>
      <c r="G688" s="17"/>
      <c r="H688" s="17"/>
      <c r="I688" s="17"/>
      <c r="J688" s="17"/>
      <c r="K688" s="17"/>
      <c r="L688" s="17"/>
      <c r="M688" s="17"/>
      <c r="N688" s="17"/>
      <c r="O688" s="17"/>
      <c r="P688" s="17"/>
      <c r="Q688" s="17"/>
    </row>
    <row r="689">
      <c r="A689" s="17"/>
      <c r="B689" s="17"/>
      <c r="C689" s="17"/>
      <c r="D689" s="17"/>
      <c r="E689" s="17"/>
      <c r="F689" s="17"/>
      <c r="G689" s="17"/>
      <c r="H689" s="17"/>
      <c r="I689" s="17"/>
      <c r="J689" s="17"/>
      <c r="K689" s="17"/>
      <c r="L689" s="17"/>
      <c r="M689" s="17"/>
      <c r="N689" s="17"/>
      <c r="O689" s="17"/>
      <c r="P689" s="17"/>
      <c r="Q689" s="17"/>
    </row>
    <row r="690">
      <c r="A690" s="17"/>
      <c r="B690" s="17"/>
      <c r="C690" s="17"/>
      <c r="D690" s="17"/>
      <c r="E690" s="17"/>
      <c r="F690" s="17"/>
      <c r="G690" s="17"/>
      <c r="H690" s="17"/>
      <c r="I690" s="17"/>
      <c r="J690" s="17"/>
      <c r="K690" s="17"/>
      <c r="L690" s="17"/>
      <c r="M690" s="17"/>
      <c r="N690" s="17"/>
      <c r="O690" s="17"/>
      <c r="P690" s="17"/>
      <c r="Q690" s="17"/>
    </row>
    <row r="691">
      <c r="A691" s="17"/>
      <c r="B691" s="17"/>
      <c r="C691" s="17"/>
      <c r="D691" s="17"/>
      <c r="E691" s="17"/>
      <c r="F691" s="17"/>
      <c r="G691" s="17"/>
      <c r="H691" s="17"/>
      <c r="I691" s="17"/>
      <c r="J691" s="17"/>
      <c r="K691" s="17"/>
      <c r="L691" s="17"/>
      <c r="M691" s="17"/>
      <c r="N691" s="17"/>
      <c r="O691" s="17"/>
      <c r="P691" s="17"/>
      <c r="Q691" s="17"/>
    </row>
    <row r="692">
      <c r="A692" s="17"/>
      <c r="B692" s="17"/>
      <c r="C692" s="17"/>
      <c r="D692" s="17"/>
      <c r="E692" s="17"/>
      <c r="F692" s="17"/>
      <c r="G692" s="17"/>
      <c r="H692" s="17"/>
      <c r="I692" s="17"/>
      <c r="J692" s="17"/>
      <c r="K692" s="17"/>
      <c r="L692" s="17"/>
      <c r="M692" s="17"/>
      <c r="N692" s="17"/>
      <c r="O692" s="17"/>
      <c r="P692" s="17"/>
      <c r="Q692" s="17"/>
    </row>
    <row r="693">
      <c r="A693" s="17"/>
      <c r="B693" s="17"/>
      <c r="C693" s="17"/>
      <c r="D693" s="17"/>
      <c r="E693" s="17"/>
      <c r="F693" s="17"/>
      <c r="G693" s="17"/>
      <c r="H693" s="17"/>
      <c r="I693" s="17"/>
      <c r="J693" s="17"/>
      <c r="K693" s="17"/>
      <c r="L693" s="17"/>
      <c r="M693" s="17"/>
      <c r="N693" s="17"/>
      <c r="O693" s="17"/>
      <c r="P693" s="17"/>
      <c r="Q693" s="17"/>
    </row>
    <row r="694">
      <c r="A694" s="17"/>
      <c r="B694" s="17"/>
      <c r="C694" s="17"/>
      <c r="D694" s="17"/>
      <c r="E694" s="17"/>
      <c r="F694" s="17"/>
      <c r="G694" s="17"/>
      <c r="H694" s="17"/>
      <c r="I694" s="17"/>
      <c r="J694" s="17"/>
      <c r="K694" s="17"/>
      <c r="L694" s="17"/>
      <c r="M694" s="17"/>
      <c r="N694" s="17"/>
      <c r="O694" s="17"/>
      <c r="P694" s="17"/>
      <c r="Q694" s="17"/>
    </row>
    <row r="695">
      <c r="A695" s="17"/>
      <c r="B695" s="17"/>
      <c r="C695" s="17"/>
      <c r="D695" s="17"/>
      <c r="E695" s="17"/>
      <c r="F695" s="17"/>
      <c r="G695" s="17"/>
      <c r="H695" s="17"/>
      <c r="I695" s="17"/>
      <c r="J695" s="17"/>
      <c r="K695" s="17"/>
      <c r="L695" s="17"/>
      <c r="M695" s="17"/>
      <c r="N695" s="17"/>
      <c r="O695" s="17"/>
      <c r="P695" s="17"/>
      <c r="Q695" s="17"/>
    </row>
    <row r="696">
      <c r="A696" s="17"/>
      <c r="B696" s="17"/>
      <c r="C696" s="17"/>
      <c r="D696" s="17"/>
      <c r="E696" s="17"/>
      <c r="F696" s="17"/>
      <c r="G696" s="17"/>
      <c r="H696" s="17"/>
      <c r="I696" s="17"/>
      <c r="J696" s="17"/>
      <c r="K696" s="17"/>
      <c r="L696" s="17"/>
      <c r="M696" s="17"/>
      <c r="N696" s="17"/>
      <c r="O696" s="17"/>
      <c r="P696" s="17"/>
      <c r="Q696" s="17"/>
    </row>
    <row r="697">
      <c r="A697" s="17"/>
      <c r="B697" s="17"/>
      <c r="C697" s="17"/>
      <c r="D697" s="17"/>
      <c r="E697" s="17"/>
      <c r="F697" s="17"/>
      <c r="G697" s="17"/>
      <c r="H697" s="17"/>
      <c r="I697" s="17"/>
      <c r="J697" s="17"/>
      <c r="K697" s="17"/>
      <c r="L697" s="17"/>
      <c r="M697" s="17"/>
      <c r="N697" s="17"/>
      <c r="O697" s="17"/>
      <c r="P697" s="17"/>
      <c r="Q697" s="17"/>
    </row>
    <row r="698">
      <c r="A698" s="17"/>
      <c r="B698" s="17"/>
      <c r="C698" s="17"/>
      <c r="D698" s="17"/>
      <c r="E698" s="17"/>
      <c r="F698" s="17"/>
      <c r="G698" s="17"/>
      <c r="H698" s="17"/>
      <c r="I698" s="17"/>
      <c r="J698" s="17"/>
      <c r="K698" s="17"/>
      <c r="L698" s="17"/>
      <c r="M698" s="17"/>
      <c r="N698" s="17"/>
      <c r="O698" s="17"/>
      <c r="P698" s="17"/>
      <c r="Q698" s="17"/>
    </row>
    <row r="699">
      <c r="A699" s="17"/>
      <c r="B699" s="17"/>
      <c r="C699" s="17"/>
      <c r="D699" s="17"/>
      <c r="E699" s="17"/>
      <c r="F699" s="17"/>
      <c r="G699" s="17"/>
      <c r="H699" s="17"/>
      <c r="I699" s="17"/>
      <c r="J699" s="17"/>
      <c r="K699" s="17"/>
      <c r="L699" s="17"/>
      <c r="M699" s="17"/>
      <c r="N699" s="17"/>
      <c r="O699" s="17"/>
      <c r="P699" s="17"/>
      <c r="Q699" s="17"/>
    </row>
    <row r="700">
      <c r="A700" s="17"/>
      <c r="B700" s="17"/>
      <c r="C700" s="17"/>
      <c r="D700" s="17"/>
      <c r="E700" s="17"/>
      <c r="F700" s="17"/>
      <c r="G700" s="17"/>
      <c r="H700" s="17"/>
      <c r="I700" s="17"/>
      <c r="J700" s="17"/>
      <c r="K700" s="17"/>
      <c r="L700" s="17"/>
      <c r="M700" s="17"/>
      <c r="N700" s="17"/>
      <c r="O700" s="17"/>
      <c r="P700" s="17"/>
      <c r="Q700" s="17"/>
    </row>
    <row r="701">
      <c r="A701" s="17"/>
      <c r="B701" s="17"/>
      <c r="C701" s="17"/>
      <c r="D701" s="17"/>
      <c r="E701" s="17"/>
      <c r="F701" s="17"/>
      <c r="G701" s="17"/>
      <c r="H701" s="17"/>
      <c r="I701" s="17"/>
      <c r="J701" s="17"/>
      <c r="K701" s="17"/>
      <c r="L701" s="17"/>
      <c r="M701" s="17"/>
      <c r="N701" s="17"/>
      <c r="O701" s="17"/>
      <c r="P701" s="17"/>
      <c r="Q701" s="17"/>
    </row>
    <row r="702">
      <c r="A702" s="17"/>
      <c r="B702" s="17"/>
      <c r="C702" s="17"/>
      <c r="D702" s="17"/>
      <c r="E702" s="17"/>
      <c r="F702" s="17"/>
      <c r="G702" s="17"/>
      <c r="H702" s="17"/>
      <c r="I702" s="17"/>
      <c r="J702" s="17"/>
      <c r="K702" s="17"/>
      <c r="L702" s="17"/>
      <c r="M702" s="17"/>
      <c r="N702" s="17"/>
      <c r="O702" s="17"/>
      <c r="P702" s="17"/>
      <c r="Q702" s="17"/>
    </row>
    <row r="703">
      <c r="A703" s="17"/>
      <c r="B703" s="17"/>
      <c r="C703" s="17"/>
      <c r="D703" s="17"/>
      <c r="E703" s="17"/>
      <c r="F703" s="17"/>
      <c r="G703" s="17"/>
      <c r="H703" s="17"/>
      <c r="I703" s="17"/>
      <c r="J703" s="17"/>
      <c r="K703" s="17"/>
      <c r="L703" s="17"/>
      <c r="M703" s="17"/>
      <c r="N703" s="17"/>
      <c r="O703" s="17"/>
      <c r="P703" s="17"/>
      <c r="Q703" s="17"/>
    </row>
    <row r="704">
      <c r="A704" s="17"/>
      <c r="B704" s="17"/>
      <c r="C704" s="17"/>
      <c r="D704" s="17"/>
      <c r="E704" s="17"/>
      <c r="F704" s="17"/>
      <c r="G704" s="17"/>
      <c r="H704" s="17"/>
      <c r="I704" s="17"/>
      <c r="J704" s="17"/>
      <c r="K704" s="17"/>
      <c r="L704" s="17"/>
      <c r="M704" s="17"/>
      <c r="N704" s="17"/>
      <c r="O704" s="17"/>
      <c r="P704" s="17"/>
      <c r="Q704" s="17"/>
    </row>
    <row r="705">
      <c r="A705" s="17"/>
      <c r="B705" s="17"/>
      <c r="C705" s="17"/>
      <c r="D705" s="17"/>
      <c r="E705" s="17"/>
      <c r="F705" s="17"/>
      <c r="G705" s="17"/>
      <c r="H705" s="17"/>
      <c r="I705" s="17"/>
      <c r="J705" s="17"/>
      <c r="K705" s="17"/>
      <c r="L705" s="17"/>
      <c r="M705" s="17"/>
      <c r="N705" s="17"/>
      <c r="O705" s="17"/>
      <c r="P705" s="17"/>
      <c r="Q705" s="17"/>
    </row>
    <row r="706">
      <c r="A706" s="17"/>
      <c r="B706" s="17"/>
      <c r="C706" s="17"/>
      <c r="D706" s="17"/>
      <c r="E706" s="17"/>
      <c r="F706" s="17"/>
      <c r="G706" s="17"/>
      <c r="H706" s="17"/>
      <c r="I706" s="17"/>
      <c r="J706" s="17"/>
      <c r="K706" s="17"/>
      <c r="L706" s="17"/>
      <c r="M706" s="17"/>
      <c r="N706" s="17"/>
      <c r="O706" s="17"/>
      <c r="P706" s="17"/>
      <c r="Q706" s="17"/>
    </row>
    <row r="707">
      <c r="A707" s="17"/>
      <c r="B707" s="17"/>
      <c r="C707" s="17"/>
      <c r="D707" s="17"/>
      <c r="E707" s="17"/>
      <c r="F707" s="17"/>
      <c r="G707" s="17"/>
      <c r="H707" s="17"/>
      <c r="I707" s="17"/>
      <c r="J707" s="17"/>
      <c r="K707" s="17"/>
      <c r="L707" s="17"/>
      <c r="M707" s="17"/>
      <c r="N707" s="17"/>
      <c r="O707" s="17"/>
      <c r="P707" s="17"/>
      <c r="Q707" s="17"/>
    </row>
    <row r="708">
      <c r="A708" s="17"/>
      <c r="B708" s="17"/>
      <c r="C708" s="17"/>
      <c r="D708" s="17"/>
      <c r="E708" s="17"/>
      <c r="F708" s="17"/>
      <c r="G708" s="17"/>
      <c r="H708" s="17"/>
      <c r="I708" s="17"/>
      <c r="J708" s="17"/>
      <c r="K708" s="17"/>
      <c r="L708" s="17"/>
      <c r="M708" s="17"/>
      <c r="N708" s="17"/>
      <c r="O708" s="17"/>
      <c r="P708" s="17"/>
      <c r="Q708" s="17"/>
    </row>
    <row r="709">
      <c r="A709" s="17"/>
      <c r="B709" s="17"/>
      <c r="C709" s="17"/>
      <c r="D709" s="17"/>
      <c r="E709" s="17"/>
      <c r="F709" s="17"/>
      <c r="G709" s="17"/>
      <c r="H709" s="17"/>
      <c r="I709" s="17"/>
      <c r="J709" s="17"/>
      <c r="K709" s="17"/>
      <c r="L709" s="17"/>
      <c r="M709" s="17"/>
      <c r="N709" s="17"/>
      <c r="O709" s="17"/>
      <c r="P709" s="17"/>
      <c r="Q709" s="17"/>
    </row>
    <row r="710">
      <c r="A710" s="17"/>
      <c r="B710" s="17"/>
      <c r="C710" s="17"/>
      <c r="D710" s="17"/>
      <c r="E710" s="17"/>
      <c r="F710" s="17"/>
      <c r="G710" s="17"/>
      <c r="H710" s="17"/>
      <c r="I710" s="17"/>
      <c r="J710" s="17"/>
      <c r="K710" s="17"/>
      <c r="L710" s="17"/>
      <c r="M710" s="17"/>
      <c r="N710" s="17"/>
      <c r="O710" s="17"/>
      <c r="P710" s="17"/>
      <c r="Q710" s="17"/>
    </row>
    <row r="711">
      <c r="A711" s="17"/>
      <c r="B711" s="17"/>
      <c r="C711" s="17"/>
      <c r="D711" s="17"/>
      <c r="E711" s="17"/>
      <c r="F711" s="17"/>
      <c r="G711" s="17"/>
      <c r="H711" s="17"/>
      <c r="I711" s="17"/>
      <c r="J711" s="17"/>
      <c r="K711" s="17"/>
      <c r="L711" s="17"/>
      <c r="M711" s="17"/>
      <c r="N711" s="17"/>
      <c r="O711" s="17"/>
      <c r="P711" s="17"/>
      <c r="Q711" s="17"/>
    </row>
    <row r="712">
      <c r="A712" s="17"/>
      <c r="B712" s="17"/>
      <c r="C712" s="17"/>
      <c r="D712" s="17"/>
      <c r="E712" s="17"/>
      <c r="F712" s="17"/>
      <c r="G712" s="17"/>
      <c r="H712" s="17"/>
      <c r="I712" s="17"/>
      <c r="J712" s="17"/>
      <c r="K712" s="17"/>
      <c r="L712" s="17"/>
      <c r="M712" s="17"/>
      <c r="N712" s="17"/>
      <c r="O712" s="17"/>
      <c r="P712" s="17"/>
      <c r="Q712" s="17"/>
    </row>
    <row r="713">
      <c r="A713" s="17"/>
      <c r="B713" s="17"/>
      <c r="C713" s="17"/>
      <c r="D713" s="17"/>
      <c r="E713" s="17"/>
      <c r="F713" s="17"/>
      <c r="G713" s="17"/>
      <c r="H713" s="17"/>
      <c r="I713" s="17"/>
      <c r="J713" s="17"/>
      <c r="K713" s="17"/>
      <c r="L713" s="17"/>
      <c r="M713" s="17"/>
      <c r="N713" s="17"/>
      <c r="O713" s="17"/>
      <c r="P713" s="17"/>
      <c r="Q713" s="17"/>
    </row>
    <row r="714">
      <c r="A714" s="17"/>
      <c r="B714" s="17"/>
      <c r="C714" s="17"/>
      <c r="D714" s="17"/>
      <c r="E714" s="17"/>
      <c r="F714" s="17"/>
      <c r="G714" s="17"/>
      <c r="H714" s="17"/>
      <c r="I714" s="17"/>
      <c r="J714" s="17"/>
      <c r="K714" s="17"/>
      <c r="L714" s="17"/>
      <c r="M714" s="17"/>
      <c r="N714" s="17"/>
      <c r="O714" s="17"/>
      <c r="P714" s="17"/>
      <c r="Q714" s="17"/>
    </row>
    <row r="715">
      <c r="A715" s="17"/>
      <c r="B715" s="17"/>
      <c r="C715" s="17"/>
      <c r="D715" s="17"/>
      <c r="E715" s="17"/>
      <c r="F715" s="17"/>
      <c r="G715" s="17"/>
      <c r="H715" s="17"/>
      <c r="I715" s="17"/>
      <c r="J715" s="17"/>
      <c r="K715" s="17"/>
      <c r="L715" s="17"/>
      <c r="M715" s="17"/>
      <c r="N715" s="17"/>
      <c r="O715" s="17"/>
      <c r="P715" s="17"/>
      <c r="Q715" s="17"/>
    </row>
    <row r="716">
      <c r="A716" s="17"/>
      <c r="B716" s="17"/>
      <c r="C716" s="17"/>
      <c r="D716" s="17"/>
      <c r="E716" s="17"/>
      <c r="F716" s="17"/>
      <c r="G716" s="17"/>
      <c r="H716" s="17"/>
      <c r="I716" s="17"/>
      <c r="J716" s="17"/>
      <c r="K716" s="17"/>
      <c r="L716" s="17"/>
      <c r="M716" s="17"/>
      <c r="N716" s="17"/>
      <c r="O716" s="17"/>
      <c r="P716" s="17"/>
      <c r="Q716" s="17"/>
    </row>
    <row r="717">
      <c r="A717" s="17"/>
      <c r="B717" s="17"/>
      <c r="C717" s="17"/>
      <c r="D717" s="17"/>
      <c r="E717" s="17"/>
      <c r="F717" s="17"/>
      <c r="G717" s="17"/>
      <c r="H717" s="17"/>
      <c r="I717" s="17"/>
      <c r="J717" s="17"/>
      <c r="K717" s="17"/>
      <c r="L717" s="17"/>
      <c r="M717" s="17"/>
      <c r="N717" s="17"/>
      <c r="O717" s="17"/>
      <c r="P717" s="17"/>
      <c r="Q717" s="17"/>
    </row>
    <row r="718">
      <c r="A718" s="17"/>
      <c r="B718" s="17"/>
      <c r="C718" s="17"/>
      <c r="D718" s="17"/>
      <c r="E718" s="17"/>
      <c r="F718" s="17"/>
      <c r="G718" s="17"/>
      <c r="H718" s="17"/>
      <c r="I718" s="17"/>
      <c r="J718" s="17"/>
      <c r="K718" s="17"/>
      <c r="L718" s="17"/>
      <c r="M718" s="17"/>
      <c r="N718" s="17"/>
      <c r="O718" s="17"/>
      <c r="P718" s="17"/>
      <c r="Q718" s="17"/>
    </row>
    <row r="719">
      <c r="A719" s="17"/>
      <c r="B719" s="17"/>
      <c r="C719" s="17"/>
      <c r="D719" s="17"/>
      <c r="E719" s="17"/>
      <c r="F719" s="17"/>
      <c r="G719" s="17"/>
      <c r="H719" s="17"/>
      <c r="I719" s="17"/>
      <c r="J719" s="17"/>
      <c r="K719" s="17"/>
      <c r="L719" s="17"/>
      <c r="M719" s="17"/>
      <c r="N719" s="17"/>
      <c r="O719" s="17"/>
      <c r="P719" s="17"/>
      <c r="Q719" s="17"/>
    </row>
    <row r="720">
      <c r="A720" s="17"/>
      <c r="B720" s="17"/>
      <c r="C720" s="17"/>
      <c r="D720" s="17"/>
      <c r="E720" s="17"/>
      <c r="F720" s="17"/>
      <c r="G720" s="17"/>
      <c r="H720" s="17"/>
      <c r="I720" s="17"/>
      <c r="J720" s="17"/>
      <c r="K720" s="17"/>
      <c r="L720" s="17"/>
      <c r="M720" s="17"/>
      <c r="N720" s="17"/>
      <c r="O720" s="17"/>
      <c r="P720" s="17"/>
      <c r="Q720" s="17"/>
    </row>
    <row r="721">
      <c r="A721" s="17"/>
      <c r="B721" s="17"/>
      <c r="C721" s="17"/>
      <c r="D721" s="17"/>
      <c r="E721" s="17"/>
      <c r="F721" s="17"/>
      <c r="G721" s="17"/>
      <c r="H721" s="17"/>
      <c r="I721" s="17"/>
      <c r="J721" s="17"/>
      <c r="K721" s="17"/>
      <c r="L721" s="17"/>
      <c r="M721" s="17"/>
      <c r="N721" s="17"/>
      <c r="O721" s="17"/>
      <c r="P721" s="17"/>
      <c r="Q721" s="17"/>
    </row>
    <row r="722">
      <c r="A722" s="17"/>
      <c r="B722" s="17"/>
      <c r="C722" s="17"/>
      <c r="D722" s="17"/>
      <c r="E722" s="17"/>
      <c r="F722" s="17"/>
      <c r="G722" s="17"/>
      <c r="H722" s="17"/>
      <c r="I722" s="17"/>
      <c r="J722" s="17"/>
      <c r="K722" s="17"/>
      <c r="L722" s="17"/>
      <c r="M722" s="17"/>
      <c r="N722" s="17"/>
      <c r="O722" s="17"/>
      <c r="P722" s="17"/>
      <c r="Q722" s="17"/>
    </row>
    <row r="723">
      <c r="A723" s="17"/>
      <c r="B723" s="17"/>
      <c r="C723" s="17"/>
      <c r="D723" s="17"/>
      <c r="E723" s="17"/>
      <c r="F723" s="17"/>
      <c r="G723" s="17"/>
      <c r="H723" s="17"/>
      <c r="I723" s="17"/>
      <c r="J723" s="17"/>
      <c r="K723" s="17"/>
      <c r="L723" s="17"/>
      <c r="M723" s="17"/>
      <c r="N723" s="17"/>
      <c r="O723" s="17"/>
      <c r="P723" s="17"/>
      <c r="Q723" s="17"/>
    </row>
    <row r="724">
      <c r="A724" s="17"/>
      <c r="B724" s="17"/>
      <c r="C724" s="17"/>
      <c r="D724" s="17"/>
      <c r="E724" s="17"/>
      <c r="F724" s="17"/>
      <c r="G724" s="17"/>
      <c r="H724" s="17"/>
      <c r="I724" s="17"/>
      <c r="J724" s="17"/>
      <c r="K724" s="17"/>
      <c r="L724" s="17"/>
      <c r="M724" s="17"/>
      <c r="N724" s="17"/>
      <c r="O724" s="17"/>
      <c r="P724" s="17"/>
      <c r="Q724" s="17"/>
    </row>
    <row r="725">
      <c r="A725" s="17"/>
      <c r="B725" s="17"/>
      <c r="C725" s="17"/>
      <c r="D725" s="17"/>
      <c r="E725" s="17"/>
      <c r="F725" s="17"/>
      <c r="G725" s="17"/>
      <c r="H725" s="17"/>
      <c r="I725" s="17"/>
      <c r="J725" s="17"/>
      <c r="K725" s="17"/>
      <c r="L725" s="17"/>
      <c r="M725" s="17"/>
      <c r="N725" s="17"/>
      <c r="O725" s="17"/>
      <c r="P725" s="17"/>
      <c r="Q725" s="17"/>
    </row>
    <row r="726">
      <c r="A726" s="17"/>
      <c r="B726" s="17"/>
      <c r="C726" s="17"/>
      <c r="D726" s="17"/>
      <c r="E726" s="17"/>
      <c r="F726" s="17"/>
      <c r="G726" s="17"/>
      <c r="H726" s="17"/>
      <c r="I726" s="17"/>
      <c r="J726" s="17"/>
      <c r="K726" s="17"/>
      <c r="L726" s="17"/>
      <c r="M726" s="17"/>
      <c r="N726" s="17"/>
      <c r="O726" s="17"/>
      <c r="P726" s="17"/>
      <c r="Q726" s="17"/>
    </row>
    <row r="727">
      <c r="A727" s="17"/>
      <c r="B727" s="17"/>
      <c r="C727" s="17"/>
      <c r="D727" s="17"/>
      <c r="E727" s="17"/>
      <c r="F727" s="17"/>
      <c r="G727" s="17"/>
      <c r="H727" s="17"/>
      <c r="I727" s="17"/>
      <c r="J727" s="17"/>
      <c r="K727" s="17"/>
      <c r="L727" s="17"/>
      <c r="M727" s="17"/>
      <c r="N727" s="17"/>
      <c r="O727" s="17"/>
      <c r="P727" s="17"/>
      <c r="Q727" s="17"/>
    </row>
    <row r="728">
      <c r="A728" s="17"/>
      <c r="B728" s="17"/>
      <c r="C728" s="17"/>
      <c r="D728" s="17"/>
      <c r="E728" s="17"/>
      <c r="F728" s="17"/>
      <c r="G728" s="17"/>
      <c r="H728" s="17"/>
      <c r="I728" s="17"/>
      <c r="J728" s="17"/>
      <c r="K728" s="17"/>
      <c r="L728" s="17"/>
      <c r="M728" s="17"/>
      <c r="N728" s="17"/>
      <c r="O728" s="17"/>
      <c r="P728" s="17"/>
      <c r="Q728" s="17"/>
    </row>
    <row r="729">
      <c r="A729" s="17"/>
      <c r="B729" s="17"/>
      <c r="C729" s="17"/>
      <c r="D729" s="17"/>
      <c r="E729" s="17"/>
      <c r="F729" s="17"/>
      <c r="G729" s="17"/>
      <c r="H729" s="17"/>
      <c r="I729" s="17"/>
      <c r="J729" s="17"/>
      <c r="K729" s="17"/>
      <c r="L729" s="17"/>
      <c r="M729" s="17"/>
      <c r="N729" s="17"/>
      <c r="O729" s="17"/>
      <c r="P729" s="17"/>
      <c r="Q729" s="17"/>
    </row>
    <row r="730">
      <c r="A730" s="17"/>
      <c r="B730" s="17"/>
      <c r="C730" s="17"/>
      <c r="D730" s="17"/>
      <c r="E730" s="17"/>
      <c r="F730" s="17"/>
      <c r="G730" s="17"/>
      <c r="H730" s="17"/>
      <c r="I730" s="17"/>
      <c r="J730" s="17"/>
      <c r="K730" s="17"/>
      <c r="L730" s="17"/>
      <c r="M730" s="17"/>
      <c r="N730" s="17"/>
      <c r="O730" s="17"/>
      <c r="P730" s="17"/>
      <c r="Q730" s="17"/>
    </row>
    <row r="731">
      <c r="A731" s="17"/>
      <c r="B731" s="17"/>
      <c r="C731" s="17"/>
      <c r="D731" s="17"/>
      <c r="E731" s="17"/>
      <c r="F731" s="17"/>
      <c r="G731" s="17"/>
      <c r="H731" s="17"/>
      <c r="I731" s="17"/>
      <c r="J731" s="17"/>
      <c r="K731" s="17"/>
      <c r="L731" s="17"/>
      <c r="M731" s="17"/>
      <c r="N731" s="17"/>
      <c r="O731" s="17"/>
      <c r="P731" s="17"/>
      <c r="Q731" s="17"/>
    </row>
    <row r="732">
      <c r="A732" s="17"/>
      <c r="B732" s="17"/>
      <c r="C732" s="17"/>
      <c r="D732" s="17"/>
      <c r="E732" s="17"/>
      <c r="F732" s="17"/>
      <c r="G732" s="17"/>
      <c r="H732" s="17"/>
      <c r="I732" s="17"/>
      <c r="J732" s="17"/>
      <c r="K732" s="17"/>
      <c r="L732" s="17"/>
      <c r="M732" s="17"/>
      <c r="N732" s="17"/>
      <c r="O732" s="17"/>
      <c r="P732" s="17"/>
      <c r="Q732" s="17"/>
    </row>
    <row r="733">
      <c r="A733" s="17"/>
      <c r="B733" s="17"/>
      <c r="C733" s="17"/>
      <c r="D733" s="17"/>
      <c r="E733" s="17"/>
      <c r="F733" s="17"/>
      <c r="G733" s="17"/>
      <c r="H733" s="17"/>
      <c r="I733" s="17"/>
      <c r="J733" s="17"/>
      <c r="K733" s="17"/>
      <c r="L733" s="17"/>
      <c r="M733" s="17"/>
      <c r="N733" s="17"/>
      <c r="O733" s="17"/>
      <c r="P733" s="17"/>
      <c r="Q733" s="17"/>
    </row>
    <row r="734">
      <c r="A734" s="17"/>
      <c r="B734" s="17"/>
      <c r="C734" s="17"/>
      <c r="D734" s="17"/>
      <c r="E734" s="17"/>
      <c r="F734" s="17"/>
      <c r="G734" s="17"/>
      <c r="H734" s="17"/>
      <c r="I734" s="17"/>
      <c r="J734" s="17"/>
      <c r="K734" s="17"/>
      <c r="L734" s="17"/>
      <c r="M734" s="17"/>
      <c r="N734" s="17"/>
      <c r="O734" s="17"/>
      <c r="P734" s="17"/>
      <c r="Q734" s="17"/>
    </row>
    <row r="735">
      <c r="A735" s="17"/>
      <c r="B735" s="17"/>
      <c r="C735" s="17"/>
      <c r="D735" s="17"/>
      <c r="E735" s="17"/>
      <c r="F735" s="17"/>
      <c r="G735" s="17"/>
      <c r="H735" s="17"/>
      <c r="I735" s="17"/>
      <c r="J735" s="17"/>
      <c r="K735" s="17"/>
      <c r="L735" s="17"/>
      <c r="M735" s="17"/>
      <c r="N735" s="17"/>
      <c r="O735" s="17"/>
      <c r="P735" s="17"/>
      <c r="Q735" s="17"/>
    </row>
    <row r="736">
      <c r="A736" s="17"/>
      <c r="B736" s="17"/>
      <c r="C736" s="17"/>
      <c r="D736" s="17"/>
      <c r="E736" s="17"/>
      <c r="F736" s="17"/>
      <c r="G736" s="17"/>
      <c r="H736" s="17"/>
      <c r="I736" s="17"/>
      <c r="J736" s="17"/>
      <c r="K736" s="17"/>
      <c r="L736" s="17"/>
      <c r="M736" s="17"/>
      <c r="N736" s="17"/>
      <c r="O736" s="17"/>
      <c r="P736" s="17"/>
      <c r="Q736" s="17"/>
    </row>
    <row r="737">
      <c r="A737" s="17"/>
      <c r="B737" s="17"/>
      <c r="C737" s="17"/>
      <c r="D737" s="17"/>
      <c r="E737" s="17"/>
      <c r="F737" s="17"/>
      <c r="G737" s="17"/>
      <c r="H737" s="17"/>
      <c r="I737" s="17"/>
      <c r="J737" s="17"/>
      <c r="K737" s="17"/>
      <c r="L737" s="17"/>
      <c r="M737" s="17"/>
      <c r="N737" s="17"/>
      <c r="O737" s="17"/>
      <c r="P737" s="17"/>
      <c r="Q737" s="17"/>
    </row>
    <row r="738">
      <c r="A738" s="17"/>
      <c r="B738" s="17"/>
      <c r="C738" s="17"/>
      <c r="D738" s="17"/>
      <c r="E738" s="17"/>
      <c r="F738" s="17"/>
      <c r="G738" s="17"/>
      <c r="H738" s="17"/>
      <c r="I738" s="17"/>
      <c r="J738" s="17"/>
      <c r="K738" s="17"/>
      <c r="L738" s="17"/>
      <c r="M738" s="17"/>
      <c r="N738" s="17"/>
      <c r="O738" s="17"/>
      <c r="P738" s="17"/>
      <c r="Q738" s="17"/>
    </row>
    <row r="739">
      <c r="A739" s="17"/>
      <c r="B739" s="17"/>
      <c r="C739" s="17"/>
      <c r="D739" s="17"/>
      <c r="E739" s="17"/>
      <c r="F739" s="17"/>
      <c r="G739" s="17"/>
      <c r="H739" s="17"/>
      <c r="I739" s="17"/>
      <c r="J739" s="17"/>
      <c r="K739" s="17"/>
      <c r="L739" s="17"/>
      <c r="M739" s="17"/>
      <c r="N739" s="17"/>
      <c r="O739" s="17"/>
      <c r="P739" s="17"/>
      <c r="Q739" s="17"/>
    </row>
    <row r="740">
      <c r="A740" s="17"/>
      <c r="B740" s="17"/>
      <c r="C740" s="17"/>
      <c r="D740" s="17"/>
      <c r="E740" s="17"/>
      <c r="F740" s="17"/>
      <c r="G740" s="17"/>
      <c r="H740" s="17"/>
      <c r="I740" s="17"/>
      <c r="J740" s="17"/>
      <c r="K740" s="17"/>
      <c r="L740" s="17"/>
      <c r="M740" s="17"/>
      <c r="N740" s="17"/>
      <c r="O740" s="17"/>
      <c r="P740" s="17"/>
      <c r="Q740" s="17"/>
    </row>
    <row r="741">
      <c r="A741" s="17"/>
      <c r="B741" s="17"/>
      <c r="C741" s="17"/>
      <c r="D741" s="17"/>
      <c r="E741" s="17"/>
      <c r="F741" s="17"/>
      <c r="G741" s="17"/>
      <c r="H741" s="17"/>
      <c r="I741" s="17"/>
      <c r="J741" s="17"/>
      <c r="K741" s="17"/>
      <c r="L741" s="17"/>
      <c r="M741" s="17"/>
      <c r="N741" s="17"/>
      <c r="O741" s="17"/>
      <c r="P741" s="17"/>
      <c r="Q741" s="17"/>
    </row>
    <row r="742">
      <c r="A742" s="17"/>
      <c r="B742" s="17"/>
      <c r="C742" s="17"/>
      <c r="D742" s="17"/>
      <c r="E742" s="17"/>
      <c r="F742" s="17"/>
      <c r="G742" s="17"/>
      <c r="H742" s="17"/>
      <c r="I742" s="17"/>
      <c r="J742" s="17"/>
      <c r="K742" s="17"/>
      <c r="L742" s="17"/>
      <c r="M742" s="17"/>
      <c r="N742" s="17"/>
      <c r="O742" s="17"/>
      <c r="P742" s="17"/>
      <c r="Q742" s="17"/>
    </row>
    <row r="743">
      <c r="A743" s="17"/>
      <c r="B743" s="17"/>
      <c r="C743" s="17"/>
      <c r="D743" s="17"/>
      <c r="E743" s="17"/>
      <c r="F743" s="17"/>
      <c r="G743" s="17"/>
      <c r="H743" s="17"/>
      <c r="I743" s="17"/>
      <c r="J743" s="17"/>
      <c r="K743" s="17"/>
      <c r="L743" s="17"/>
      <c r="M743" s="17"/>
      <c r="N743" s="17"/>
      <c r="O743" s="17"/>
      <c r="P743" s="17"/>
      <c r="Q743" s="17"/>
    </row>
    <row r="744">
      <c r="A744" s="17"/>
      <c r="B744" s="17"/>
      <c r="C744" s="17"/>
      <c r="D744" s="17"/>
      <c r="E744" s="17"/>
      <c r="F744" s="17"/>
      <c r="G744" s="17"/>
      <c r="H744" s="17"/>
      <c r="I744" s="17"/>
      <c r="J744" s="17"/>
      <c r="K744" s="17"/>
      <c r="L744" s="17"/>
      <c r="M744" s="17"/>
      <c r="N744" s="17"/>
      <c r="O744" s="17"/>
      <c r="P744" s="17"/>
      <c r="Q744" s="17"/>
    </row>
    <row r="745">
      <c r="A745" s="17"/>
      <c r="B745" s="17"/>
      <c r="C745" s="17"/>
      <c r="D745" s="17"/>
      <c r="E745" s="17"/>
      <c r="F745" s="17"/>
      <c r="G745" s="17"/>
      <c r="H745" s="17"/>
      <c r="I745" s="17"/>
      <c r="J745" s="17"/>
      <c r="K745" s="17"/>
      <c r="L745" s="17"/>
      <c r="M745" s="17"/>
      <c r="N745" s="17"/>
      <c r="O745" s="17"/>
      <c r="P745" s="17"/>
      <c r="Q745" s="17"/>
    </row>
    <row r="746">
      <c r="A746" s="17"/>
      <c r="B746" s="17"/>
      <c r="C746" s="17"/>
      <c r="D746" s="17"/>
      <c r="E746" s="17"/>
      <c r="F746" s="17"/>
      <c r="G746" s="17"/>
      <c r="H746" s="17"/>
      <c r="I746" s="17"/>
      <c r="J746" s="17"/>
      <c r="K746" s="17"/>
      <c r="L746" s="17"/>
      <c r="M746" s="17"/>
      <c r="N746" s="17"/>
      <c r="O746" s="17"/>
      <c r="P746" s="17"/>
      <c r="Q746" s="17"/>
    </row>
    <row r="747">
      <c r="A747" s="17"/>
      <c r="B747" s="17"/>
      <c r="C747" s="17"/>
      <c r="D747" s="17"/>
      <c r="E747" s="17"/>
      <c r="F747" s="17"/>
      <c r="G747" s="17"/>
      <c r="H747" s="17"/>
      <c r="I747" s="17"/>
      <c r="J747" s="17"/>
      <c r="K747" s="17"/>
      <c r="L747" s="17"/>
      <c r="M747" s="17"/>
      <c r="N747" s="17"/>
      <c r="O747" s="17"/>
      <c r="P747" s="17"/>
      <c r="Q747" s="17"/>
    </row>
    <row r="748">
      <c r="A748" s="17"/>
      <c r="B748" s="17"/>
      <c r="C748" s="17"/>
      <c r="D748" s="17"/>
      <c r="E748" s="17"/>
      <c r="F748" s="17"/>
      <c r="G748" s="17"/>
      <c r="H748" s="17"/>
      <c r="I748" s="17"/>
      <c r="J748" s="17"/>
      <c r="K748" s="17"/>
      <c r="L748" s="17"/>
      <c r="M748" s="17"/>
      <c r="N748" s="17"/>
      <c r="O748" s="17"/>
      <c r="P748" s="17"/>
      <c r="Q748" s="17"/>
    </row>
    <row r="749">
      <c r="A749" s="17"/>
      <c r="B749" s="17"/>
      <c r="C749" s="17"/>
      <c r="D749" s="17"/>
      <c r="E749" s="17"/>
      <c r="F749" s="17"/>
      <c r="G749" s="17"/>
      <c r="H749" s="17"/>
      <c r="I749" s="17"/>
      <c r="J749" s="17"/>
      <c r="K749" s="17"/>
      <c r="L749" s="17"/>
      <c r="M749" s="17"/>
      <c r="N749" s="17"/>
      <c r="O749" s="17"/>
      <c r="P749" s="17"/>
      <c r="Q749" s="17"/>
    </row>
    <row r="750">
      <c r="A750" s="17"/>
      <c r="B750" s="17"/>
      <c r="C750" s="17"/>
      <c r="D750" s="17"/>
      <c r="E750" s="17"/>
      <c r="F750" s="17"/>
      <c r="G750" s="17"/>
      <c r="H750" s="17"/>
      <c r="I750" s="17"/>
      <c r="J750" s="17"/>
      <c r="K750" s="17"/>
      <c r="L750" s="17"/>
      <c r="M750" s="17"/>
      <c r="N750" s="17"/>
      <c r="O750" s="17"/>
      <c r="P750" s="17"/>
      <c r="Q750" s="17"/>
    </row>
    <row r="751">
      <c r="A751" s="17"/>
      <c r="B751" s="17"/>
      <c r="C751" s="17"/>
      <c r="D751" s="17"/>
      <c r="E751" s="17"/>
      <c r="F751" s="17"/>
      <c r="G751" s="17"/>
      <c r="H751" s="17"/>
      <c r="I751" s="17"/>
      <c r="J751" s="17"/>
      <c r="K751" s="17"/>
      <c r="L751" s="17"/>
      <c r="M751" s="17"/>
      <c r="N751" s="17"/>
      <c r="O751" s="17"/>
      <c r="P751" s="17"/>
      <c r="Q751" s="17"/>
    </row>
    <row r="752">
      <c r="A752" s="17"/>
      <c r="B752" s="17"/>
      <c r="C752" s="17"/>
      <c r="D752" s="17"/>
      <c r="E752" s="17"/>
      <c r="F752" s="17"/>
      <c r="G752" s="17"/>
      <c r="H752" s="17"/>
      <c r="I752" s="17"/>
      <c r="J752" s="17"/>
      <c r="K752" s="17"/>
      <c r="L752" s="17"/>
      <c r="M752" s="17"/>
      <c r="N752" s="17"/>
      <c r="O752" s="17"/>
      <c r="P752" s="17"/>
      <c r="Q752" s="17"/>
    </row>
    <row r="753">
      <c r="A753" s="17"/>
      <c r="B753" s="17"/>
      <c r="C753" s="17"/>
      <c r="D753" s="17"/>
      <c r="E753" s="17"/>
      <c r="F753" s="17"/>
      <c r="G753" s="17"/>
      <c r="H753" s="17"/>
      <c r="I753" s="17"/>
      <c r="J753" s="17"/>
      <c r="K753" s="17"/>
      <c r="L753" s="17"/>
      <c r="M753" s="17"/>
      <c r="N753" s="17"/>
      <c r="O753" s="17"/>
      <c r="P753" s="17"/>
      <c r="Q753" s="17"/>
    </row>
    <row r="754">
      <c r="A754" s="17"/>
      <c r="B754" s="17"/>
      <c r="C754" s="17"/>
      <c r="D754" s="17"/>
      <c r="E754" s="17"/>
      <c r="F754" s="17"/>
      <c r="G754" s="17"/>
      <c r="H754" s="17"/>
      <c r="I754" s="17"/>
      <c r="J754" s="17"/>
      <c r="K754" s="17"/>
      <c r="L754" s="17"/>
      <c r="M754" s="17"/>
      <c r="N754" s="17"/>
      <c r="O754" s="17"/>
      <c r="P754" s="17"/>
      <c r="Q754" s="17"/>
    </row>
    <row r="755">
      <c r="A755" s="17"/>
      <c r="B755" s="17"/>
      <c r="C755" s="17"/>
      <c r="D755" s="17"/>
      <c r="E755" s="17"/>
      <c r="F755" s="17"/>
      <c r="G755" s="17"/>
      <c r="H755" s="17"/>
      <c r="I755" s="17"/>
      <c r="J755" s="17"/>
      <c r="K755" s="17"/>
      <c r="L755" s="17"/>
      <c r="M755" s="17"/>
      <c r="N755" s="17"/>
      <c r="O755" s="17"/>
      <c r="P755" s="17"/>
      <c r="Q755" s="17"/>
    </row>
    <row r="756">
      <c r="A756" s="17"/>
      <c r="B756" s="17"/>
      <c r="C756" s="17"/>
      <c r="D756" s="17"/>
      <c r="E756" s="17"/>
      <c r="F756" s="17"/>
      <c r="G756" s="17"/>
      <c r="H756" s="17"/>
      <c r="I756" s="17"/>
      <c r="J756" s="17"/>
      <c r="K756" s="17"/>
      <c r="L756" s="17"/>
      <c r="M756" s="17"/>
      <c r="N756" s="17"/>
      <c r="O756" s="17"/>
      <c r="P756" s="17"/>
      <c r="Q756" s="17"/>
    </row>
    <row r="757">
      <c r="A757" s="17"/>
      <c r="B757" s="17"/>
      <c r="C757" s="17"/>
      <c r="D757" s="17"/>
      <c r="E757" s="17"/>
      <c r="F757" s="17"/>
      <c r="G757" s="17"/>
      <c r="H757" s="17"/>
      <c r="I757" s="17"/>
      <c r="J757" s="17"/>
      <c r="K757" s="17"/>
      <c r="L757" s="17"/>
      <c r="M757" s="17"/>
      <c r="N757" s="17"/>
      <c r="O757" s="17"/>
      <c r="P757" s="17"/>
      <c r="Q757" s="17"/>
    </row>
    <row r="758">
      <c r="A758" s="17"/>
      <c r="B758" s="17"/>
      <c r="C758" s="17"/>
      <c r="D758" s="17"/>
      <c r="E758" s="17"/>
      <c r="F758" s="17"/>
      <c r="G758" s="17"/>
      <c r="H758" s="17"/>
      <c r="I758" s="17"/>
      <c r="J758" s="17"/>
      <c r="K758" s="17"/>
      <c r="L758" s="17"/>
      <c r="M758" s="17"/>
      <c r="N758" s="17"/>
      <c r="O758" s="17"/>
      <c r="P758" s="17"/>
      <c r="Q758" s="17"/>
    </row>
    <row r="759">
      <c r="A759" s="17"/>
      <c r="B759" s="17"/>
      <c r="C759" s="17"/>
      <c r="D759" s="17"/>
      <c r="E759" s="17"/>
      <c r="F759" s="17"/>
      <c r="G759" s="17"/>
      <c r="H759" s="17"/>
      <c r="I759" s="17"/>
      <c r="J759" s="17"/>
      <c r="K759" s="17"/>
      <c r="L759" s="17"/>
      <c r="M759" s="17"/>
      <c r="N759" s="17"/>
      <c r="O759" s="17"/>
      <c r="P759" s="17"/>
      <c r="Q759" s="17"/>
    </row>
    <row r="760">
      <c r="A760" s="17"/>
      <c r="B760" s="17"/>
      <c r="C760" s="17"/>
      <c r="D760" s="17"/>
      <c r="E760" s="17"/>
      <c r="F760" s="17"/>
      <c r="G760" s="17"/>
      <c r="H760" s="17"/>
      <c r="I760" s="17"/>
      <c r="J760" s="17"/>
      <c r="K760" s="17"/>
      <c r="L760" s="17"/>
      <c r="M760" s="17"/>
      <c r="N760" s="17"/>
      <c r="O760" s="17"/>
      <c r="P760" s="17"/>
      <c r="Q760" s="17"/>
    </row>
    <row r="761">
      <c r="A761" s="17"/>
      <c r="B761" s="17"/>
      <c r="C761" s="17"/>
      <c r="D761" s="17"/>
      <c r="E761" s="17"/>
      <c r="F761" s="17"/>
      <c r="G761" s="17"/>
      <c r="H761" s="17"/>
      <c r="I761" s="17"/>
      <c r="J761" s="17"/>
      <c r="K761" s="17"/>
      <c r="L761" s="17"/>
      <c r="M761" s="17"/>
      <c r="N761" s="17"/>
      <c r="O761" s="17"/>
      <c r="P761" s="17"/>
      <c r="Q761" s="17"/>
    </row>
    <row r="762">
      <c r="A762" s="17"/>
      <c r="B762" s="17"/>
      <c r="C762" s="17"/>
      <c r="D762" s="17"/>
      <c r="E762" s="17"/>
      <c r="F762" s="17"/>
      <c r="G762" s="17"/>
      <c r="H762" s="17"/>
      <c r="I762" s="17"/>
      <c r="J762" s="17"/>
      <c r="K762" s="17"/>
      <c r="L762" s="17"/>
      <c r="M762" s="17"/>
      <c r="N762" s="17"/>
      <c r="O762" s="17"/>
      <c r="P762" s="17"/>
      <c r="Q762" s="17"/>
    </row>
    <row r="763">
      <c r="A763" s="17"/>
      <c r="B763" s="17"/>
      <c r="C763" s="17"/>
      <c r="D763" s="17"/>
      <c r="E763" s="17"/>
      <c r="F763" s="17"/>
      <c r="G763" s="17"/>
      <c r="H763" s="17"/>
      <c r="I763" s="17"/>
      <c r="J763" s="17"/>
      <c r="K763" s="17"/>
      <c r="L763" s="17"/>
      <c r="M763" s="17"/>
      <c r="N763" s="17"/>
      <c r="O763" s="17"/>
      <c r="P763" s="17"/>
      <c r="Q763" s="17"/>
    </row>
    <row r="764">
      <c r="A764" s="17"/>
      <c r="B764" s="17"/>
      <c r="C764" s="17"/>
      <c r="D764" s="17"/>
      <c r="E764" s="17"/>
      <c r="F764" s="17"/>
      <c r="G764" s="17"/>
      <c r="H764" s="17"/>
      <c r="I764" s="17"/>
      <c r="J764" s="17"/>
      <c r="K764" s="17"/>
      <c r="L764" s="17"/>
      <c r="M764" s="17"/>
      <c r="N764" s="17"/>
      <c r="O764" s="17"/>
      <c r="P764" s="17"/>
      <c r="Q764" s="17"/>
    </row>
    <row r="765">
      <c r="A765" s="17"/>
      <c r="B765" s="17"/>
      <c r="C765" s="17"/>
      <c r="D765" s="17"/>
      <c r="E765" s="17"/>
      <c r="F765" s="17"/>
      <c r="G765" s="17"/>
      <c r="H765" s="17"/>
      <c r="I765" s="17"/>
      <c r="J765" s="17"/>
      <c r="K765" s="17"/>
      <c r="L765" s="17"/>
      <c r="M765" s="17"/>
      <c r="N765" s="17"/>
      <c r="O765" s="17"/>
      <c r="P765" s="17"/>
      <c r="Q765" s="17"/>
    </row>
    <row r="766">
      <c r="A766" s="17"/>
      <c r="B766" s="17"/>
      <c r="C766" s="17"/>
      <c r="D766" s="17"/>
      <c r="E766" s="17"/>
      <c r="F766" s="17"/>
      <c r="G766" s="17"/>
      <c r="H766" s="17"/>
      <c r="I766" s="17"/>
      <c r="J766" s="17"/>
      <c r="K766" s="17"/>
      <c r="L766" s="17"/>
      <c r="M766" s="17"/>
      <c r="N766" s="17"/>
      <c r="O766" s="17"/>
      <c r="P766" s="17"/>
      <c r="Q766" s="17"/>
    </row>
    <row r="767">
      <c r="A767" s="17"/>
      <c r="B767" s="17"/>
      <c r="C767" s="17"/>
      <c r="D767" s="17"/>
      <c r="E767" s="17"/>
      <c r="F767" s="17"/>
      <c r="G767" s="17"/>
      <c r="H767" s="17"/>
      <c r="I767" s="17"/>
      <c r="J767" s="17"/>
      <c r="K767" s="17"/>
      <c r="L767" s="17"/>
      <c r="M767" s="17"/>
      <c r="N767" s="17"/>
      <c r="O767" s="17"/>
      <c r="P767" s="17"/>
      <c r="Q767" s="17"/>
    </row>
    <row r="768">
      <c r="A768" s="17"/>
      <c r="B768" s="17"/>
      <c r="C768" s="17"/>
      <c r="D768" s="17"/>
      <c r="E768" s="17"/>
      <c r="F768" s="17"/>
      <c r="G768" s="17"/>
      <c r="H768" s="17"/>
      <c r="I768" s="17"/>
      <c r="J768" s="17"/>
      <c r="K768" s="17"/>
      <c r="L768" s="17"/>
      <c r="M768" s="17"/>
      <c r="N768" s="17"/>
      <c r="O768" s="17"/>
      <c r="P768" s="17"/>
      <c r="Q768" s="17"/>
    </row>
    <row r="769">
      <c r="A769" s="17"/>
      <c r="B769" s="17"/>
      <c r="C769" s="17"/>
      <c r="D769" s="17"/>
      <c r="E769" s="17"/>
      <c r="F769" s="17"/>
      <c r="G769" s="17"/>
      <c r="H769" s="17"/>
      <c r="I769" s="17"/>
      <c r="J769" s="17"/>
      <c r="K769" s="17"/>
      <c r="L769" s="17"/>
      <c r="M769" s="17"/>
      <c r="N769" s="17"/>
      <c r="O769" s="17"/>
      <c r="P769" s="17"/>
      <c r="Q769" s="17"/>
    </row>
    <row r="770">
      <c r="A770" s="17"/>
      <c r="B770" s="17"/>
      <c r="C770" s="17"/>
      <c r="D770" s="17"/>
      <c r="E770" s="17"/>
      <c r="F770" s="17"/>
      <c r="G770" s="17"/>
      <c r="H770" s="17"/>
      <c r="I770" s="17"/>
      <c r="J770" s="17"/>
      <c r="K770" s="17"/>
      <c r="L770" s="17"/>
      <c r="M770" s="17"/>
      <c r="N770" s="17"/>
      <c r="O770" s="17"/>
      <c r="P770" s="17"/>
      <c r="Q770" s="17"/>
    </row>
    <row r="771">
      <c r="A771" s="17"/>
      <c r="B771" s="17"/>
      <c r="C771" s="17"/>
      <c r="D771" s="17"/>
      <c r="E771" s="17"/>
      <c r="F771" s="17"/>
      <c r="G771" s="17"/>
      <c r="H771" s="17"/>
      <c r="I771" s="17"/>
      <c r="J771" s="17"/>
      <c r="K771" s="17"/>
      <c r="L771" s="17"/>
      <c r="M771" s="17"/>
      <c r="N771" s="17"/>
      <c r="O771" s="17"/>
      <c r="P771" s="17"/>
      <c r="Q771" s="17"/>
    </row>
    <row r="772">
      <c r="A772" s="17"/>
      <c r="B772" s="17"/>
      <c r="C772" s="17"/>
      <c r="D772" s="17"/>
      <c r="E772" s="17"/>
      <c r="F772" s="17"/>
      <c r="G772" s="17"/>
      <c r="H772" s="17"/>
      <c r="I772" s="17"/>
      <c r="J772" s="17"/>
      <c r="K772" s="17"/>
      <c r="L772" s="17"/>
      <c r="M772" s="17"/>
      <c r="N772" s="17"/>
      <c r="O772" s="17"/>
      <c r="P772" s="17"/>
      <c r="Q772" s="17"/>
    </row>
    <row r="773">
      <c r="A773" s="17"/>
      <c r="B773" s="17"/>
      <c r="C773" s="17"/>
      <c r="D773" s="17"/>
      <c r="E773" s="17"/>
      <c r="F773" s="17"/>
      <c r="G773" s="17"/>
      <c r="H773" s="17"/>
      <c r="I773" s="17"/>
      <c r="J773" s="17"/>
      <c r="K773" s="17"/>
      <c r="L773" s="17"/>
      <c r="M773" s="17"/>
      <c r="N773" s="17"/>
      <c r="O773" s="17"/>
      <c r="P773" s="17"/>
      <c r="Q773" s="17"/>
    </row>
    <row r="774">
      <c r="A774" s="17"/>
      <c r="B774" s="17"/>
      <c r="C774" s="17"/>
      <c r="D774" s="17"/>
      <c r="E774" s="17"/>
      <c r="F774" s="17"/>
      <c r="G774" s="17"/>
      <c r="H774" s="17"/>
      <c r="I774" s="17"/>
      <c r="J774" s="17"/>
      <c r="K774" s="17"/>
      <c r="L774" s="17"/>
      <c r="M774" s="17"/>
      <c r="N774" s="17"/>
      <c r="O774" s="17"/>
      <c r="P774" s="17"/>
      <c r="Q774" s="17"/>
    </row>
    <row r="775">
      <c r="A775" s="17"/>
      <c r="B775" s="17"/>
      <c r="C775" s="17"/>
      <c r="D775" s="17"/>
      <c r="E775" s="17"/>
      <c r="F775" s="17"/>
      <c r="G775" s="17"/>
      <c r="H775" s="17"/>
      <c r="I775" s="17"/>
      <c r="J775" s="17"/>
      <c r="K775" s="17"/>
      <c r="L775" s="17"/>
      <c r="M775" s="17"/>
      <c r="N775" s="17"/>
      <c r="O775" s="17"/>
      <c r="P775" s="17"/>
      <c r="Q775" s="17"/>
    </row>
    <row r="776">
      <c r="A776" s="17"/>
      <c r="B776" s="17"/>
      <c r="C776" s="17"/>
      <c r="D776" s="17"/>
      <c r="E776" s="17"/>
      <c r="F776" s="17"/>
      <c r="G776" s="17"/>
      <c r="H776" s="17"/>
      <c r="I776" s="17"/>
      <c r="J776" s="17"/>
      <c r="K776" s="17"/>
      <c r="L776" s="17"/>
      <c r="M776" s="17"/>
      <c r="N776" s="17"/>
      <c r="O776" s="17"/>
      <c r="P776" s="17"/>
      <c r="Q776" s="17"/>
    </row>
    <row r="777">
      <c r="A777" s="17"/>
      <c r="B777" s="17"/>
      <c r="C777" s="17"/>
      <c r="D777" s="17"/>
      <c r="E777" s="17"/>
      <c r="F777" s="17"/>
      <c r="G777" s="17"/>
      <c r="H777" s="17"/>
      <c r="I777" s="17"/>
      <c r="J777" s="17"/>
      <c r="K777" s="17"/>
      <c r="L777" s="17"/>
      <c r="M777" s="17"/>
      <c r="N777" s="17"/>
      <c r="O777" s="17"/>
      <c r="P777" s="17"/>
      <c r="Q777" s="17"/>
    </row>
    <row r="778">
      <c r="A778" s="17"/>
      <c r="B778" s="17"/>
      <c r="C778" s="17"/>
      <c r="D778" s="17"/>
      <c r="E778" s="17"/>
      <c r="F778" s="17"/>
      <c r="G778" s="17"/>
      <c r="H778" s="17"/>
      <c r="I778" s="17"/>
      <c r="J778" s="17"/>
      <c r="K778" s="17"/>
      <c r="L778" s="17"/>
      <c r="M778" s="17"/>
      <c r="N778" s="17"/>
      <c r="O778" s="17"/>
      <c r="P778" s="17"/>
      <c r="Q778" s="17"/>
    </row>
    <row r="779">
      <c r="A779" s="17"/>
      <c r="B779" s="17"/>
      <c r="C779" s="17"/>
      <c r="D779" s="17"/>
      <c r="E779" s="17"/>
      <c r="F779" s="17"/>
      <c r="G779" s="17"/>
      <c r="H779" s="17"/>
      <c r="I779" s="17"/>
      <c r="J779" s="17"/>
      <c r="K779" s="17"/>
      <c r="L779" s="17"/>
      <c r="M779" s="17"/>
      <c r="N779" s="17"/>
      <c r="O779" s="17"/>
      <c r="P779" s="17"/>
      <c r="Q779" s="17"/>
    </row>
    <row r="780">
      <c r="A780" s="17"/>
      <c r="B780" s="17"/>
      <c r="C780" s="17"/>
      <c r="D780" s="17"/>
      <c r="E780" s="17"/>
      <c r="F780" s="17"/>
      <c r="G780" s="17"/>
      <c r="H780" s="17"/>
      <c r="I780" s="17"/>
      <c r="J780" s="17"/>
      <c r="K780" s="17"/>
      <c r="L780" s="17"/>
      <c r="M780" s="17"/>
      <c r="N780" s="17"/>
      <c r="O780" s="17"/>
      <c r="P780" s="17"/>
      <c r="Q780" s="17"/>
    </row>
    <row r="781">
      <c r="A781" s="17"/>
      <c r="B781" s="17"/>
      <c r="C781" s="17"/>
      <c r="D781" s="17"/>
      <c r="E781" s="17"/>
      <c r="F781" s="17"/>
      <c r="G781" s="17"/>
      <c r="H781" s="17"/>
      <c r="I781" s="17"/>
      <c r="J781" s="17"/>
      <c r="K781" s="17"/>
      <c r="L781" s="17"/>
      <c r="M781" s="17"/>
      <c r="N781" s="17"/>
      <c r="O781" s="17"/>
      <c r="P781" s="17"/>
      <c r="Q781" s="17"/>
    </row>
    <row r="782">
      <c r="A782" s="17"/>
      <c r="B782" s="17"/>
      <c r="C782" s="17"/>
      <c r="D782" s="17"/>
      <c r="E782" s="17"/>
      <c r="F782" s="17"/>
      <c r="G782" s="17"/>
      <c r="H782" s="17"/>
      <c r="I782" s="17"/>
      <c r="J782" s="17"/>
      <c r="K782" s="17"/>
      <c r="L782" s="17"/>
      <c r="M782" s="17"/>
      <c r="N782" s="17"/>
      <c r="O782" s="17"/>
      <c r="P782" s="17"/>
      <c r="Q782" s="17"/>
    </row>
    <row r="783">
      <c r="A783" s="17"/>
      <c r="B783" s="17"/>
      <c r="C783" s="17"/>
      <c r="D783" s="17"/>
      <c r="E783" s="17"/>
      <c r="F783" s="17"/>
      <c r="G783" s="17"/>
      <c r="H783" s="17"/>
      <c r="I783" s="17"/>
      <c r="J783" s="17"/>
      <c r="K783" s="17"/>
      <c r="L783" s="17"/>
      <c r="M783" s="17"/>
      <c r="N783" s="17"/>
      <c r="O783" s="17"/>
      <c r="P783" s="17"/>
      <c r="Q783" s="17"/>
    </row>
    <row r="784">
      <c r="A784" s="17"/>
      <c r="B784" s="17"/>
      <c r="C784" s="17"/>
      <c r="D784" s="17"/>
      <c r="E784" s="17"/>
      <c r="F784" s="17"/>
      <c r="G784" s="17"/>
      <c r="H784" s="17"/>
      <c r="I784" s="17"/>
      <c r="J784" s="17"/>
      <c r="K784" s="17"/>
      <c r="L784" s="17"/>
      <c r="M784" s="17"/>
      <c r="N784" s="17"/>
      <c r="O784" s="17"/>
      <c r="P784" s="17"/>
      <c r="Q784" s="17"/>
    </row>
    <row r="785">
      <c r="A785" s="17"/>
      <c r="B785" s="17"/>
      <c r="C785" s="17"/>
      <c r="D785" s="17"/>
      <c r="E785" s="17"/>
      <c r="F785" s="17"/>
      <c r="G785" s="17"/>
      <c r="H785" s="17"/>
      <c r="I785" s="17"/>
      <c r="J785" s="17"/>
      <c r="K785" s="17"/>
      <c r="L785" s="17"/>
      <c r="M785" s="17"/>
      <c r="N785" s="17"/>
      <c r="O785" s="17"/>
      <c r="P785" s="17"/>
      <c r="Q785" s="17"/>
    </row>
    <row r="786">
      <c r="A786" s="17"/>
      <c r="B786" s="17"/>
      <c r="C786" s="17"/>
      <c r="D786" s="17"/>
      <c r="E786" s="17"/>
      <c r="F786" s="17"/>
      <c r="G786" s="17"/>
      <c r="H786" s="17"/>
      <c r="I786" s="17"/>
      <c r="J786" s="17"/>
      <c r="K786" s="17"/>
      <c r="L786" s="17"/>
      <c r="M786" s="17"/>
      <c r="N786" s="17"/>
      <c r="O786" s="17"/>
      <c r="P786" s="17"/>
      <c r="Q786" s="17"/>
    </row>
    <row r="787">
      <c r="A787" s="17"/>
      <c r="B787" s="17"/>
      <c r="C787" s="17"/>
      <c r="D787" s="17"/>
      <c r="E787" s="17"/>
      <c r="F787" s="17"/>
      <c r="G787" s="17"/>
      <c r="H787" s="17"/>
      <c r="I787" s="17"/>
      <c r="J787" s="17"/>
      <c r="K787" s="17"/>
      <c r="L787" s="17"/>
      <c r="M787" s="17"/>
      <c r="N787" s="17"/>
      <c r="O787" s="17"/>
      <c r="P787" s="17"/>
      <c r="Q787" s="17"/>
    </row>
    <row r="788">
      <c r="A788" s="17"/>
      <c r="B788" s="17"/>
      <c r="C788" s="17"/>
      <c r="D788" s="17"/>
      <c r="E788" s="17"/>
      <c r="F788" s="17"/>
      <c r="G788" s="17"/>
      <c r="H788" s="17"/>
      <c r="I788" s="17"/>
      <c r="J788" s="17"/>
      <c r="K788" s="17"/>
      <c r="L788" s="17"/>
      <c r="M788" s="17"/>
      <c r="N788" s="17"/>
      <c r="O788" s="17"/>
      <c r="P788" s="17"/>
      <c r="Q788" s="17"/>
    </row>
    <row r="789">
      <c r="A789" s="17"/>
      <c r="B789" s="17"/>
      <c r="C789" s="17"/>
      <c r="D789" s="17"/>
      <c r="E789" s="17"/>
      <c r="F789" s="17"/>
      <c r="G789" s="17"/>
      <c r="H789" s="17"/>
      <c r="I789" s="17"/>
      <c r="J789" s="17"/>
      <c r="K789" s="17"/>
      <c r="L789" s="17"/>
      <c r="M789" s="17"/>
      <c r="N789" s="17"/>
      <c r="O789" s="17"/>
      <c r="P789" s="17"/>
      <c r="Q789" s="17"/>
    </row>
    <row r="790">
      <c r="A790" s="17"/>
      <c r="B790" s="17"/>
      <c r="C790" s="17"/>
      <c r="D790" s="17"/>
      <c r="E790" s="17"/>
      <c r="F790" s="17"/>
      <c r="G790" s="17"/>
      <c r="H790" s="17"/>
      <c r="I790" s="17"/>
      <c r="J790" s="17"/>
      <c r="K790" s="17"/>
      <c r="L790" s="17"/>
      <c r="M790" s="17"/>
      <c r="N790" s="17"/>
      <c r="O790" s="17"/>
      <c r="P790" s="17"/>
      <c r="Q790" s="17"/>
    </row>
    <row r="791">
      <c r="A791" s="17"/>
      <c r="B791" s="17"/>
      <c r="C791" s="17"/>
      <c r="D791" s="17"/>
      <c r="E791" s="17"/>
      <c r="F791" s="17"/>
      <c r="G791" s="17"/>
      <c r="H791" s="17"/>
      <c r="I791" s="17"/>
      <c r="J791" s="17"/>
      <c r="K791" s="17"/>
      <c r="L791" s="17"/>
      <c r="M791" s="17"/>
      <c r="N791" s="17"/>
      <c r="O791" s="17"/>
      <c r="P791" s="17"/>
      <c r="Q791" s="17"/>
    </row>
    <row r="792">
      <c r="A792" s="17"/>
      <c r="B792" s="17"/>
      <c r="C792" s="17"/>
      <c r="D792" s="17"/>
      <c r="E792" s="17"/>
      <c r="F792" s="17"/>
      <c r="G792" s="17"/>
      <c r="H792" s="17"/>
      <c r="I792" s="17"/>
      <c r="J792" s="17"/>
      <c r="K792" s="17"/>
      <c r="L792" s="17"/>
      <c r="M792" s="17"/>
      <c r="N792" s="17"/>
      <c r="O792" s="17"/>
      <c r="P792" s="17"/>
      <c r="Q792" s="17"/>
    </row>
    <row r="793">
      <c r="A793" s="17"/>
      <c r="B793" s="17"/>
      <c r="C793" s="17"/>
      <c r="D793" s="17"/>
      <c r="E793" s="17"/>
      <c r="F793" s="17"/>
      <c r="G793" s="17"/>
      <c r="H793" s="17"/>
      <c r="I793" s="17"/>
      <c r="J793" s="17"/>
      <c r="K793" s="17"/>
      <c r="L793" s="17"/>
      <c r="M793" s="17"/>
      <c r="N793" s="17"/>
      <c r="O793" s="17"/>
      <c r="P793" s="17"/>
      <c r="Q793" s="17"/>
    </row>
    <row r="794">
      <c r="A794" s="17"/>
      <c r="B794" s="17"/>
      <c r="C794" s="17"/>
      <c r="D794" s="17"/>
      <c r="E794" s="17"/>
      <c r="F794" s="17"/>
      <c r="G794" s="17"/>
      <c r="H794" s="17"/>
      <c r="I794" s="17"/>
      <c r="J794" s="17"/>
      <c r="K794" s="17"/>
      <c r="L794" s="17"/>
      <c r="M794" s="17"/>
      <c r="N794" s="17"/>
      <c r="O794" s="17"/>
      <c r="P794" s="17"/>
      <c r="Q794" s="17"/>
    </row>
    <row r="795">
      <c r="A795" s="17"/>
      <c r="B795" s="17"/>
      <c r="C795" s="17"/>
      <c r="D795" s="17"/>
      <c r="E795" s="17"/>
      <c r="F795" s="17"/>
      <c r="G795" s="17"/>
      <c r="H795" s="17"/>
      <c r="I795" s="17"/>
      <c r="J795" s="17"/>
      <c r="K795" s="17"/>
      <c r="L795" s="17"/>
      <c r="M795" s="17"/>
      <c r="N795" s="17"/>
      <c r="O795" s="17"/>
      <c r="P795" s="17"/>
      <c r="Q795" s="17"/>
    </row>
    <row r="796">
      <c r="A796" s="17"/>
      <c r="B796" s="17"/>
      <c r="C796" s="17"/>
      <c r="D796" s="17"/>
      <c r="E796" s="17"/>
      <c r="F796" s="17"/>
      <c r="G796" s="17"/>
      <c r="H796" s="17"/>
      <c r="I796" s="17"/>
      <c r="J796" s="17"/>
      <c r="K796" s="17"/>
      <c r="L796" s="17"/>
      <c r="M796" s="17"/>
      <c r="N796" s="17"/>
      <c r="O796" s="17"/>
      <c r="P796" s="17"/>
      <c r="Q796" s="17"/>
    </row>
    <row r="797">
      <c r="A797" s="17"/>
      <c r="B797" s="17"/>
      <c r="C797" s="17"/>
      <c r="D797" s="17"/>
      <c r="E797" s="17"/>
      <c r="F797" s="17"/>
      <c r="G797" s="17"/>
      <c r="H797" s="17"/>
      <c r="I797" s="17"/>
      <c r="J797" s="17"/>
      <c r="K797" s="17"/>
      <c r="L797" s="17"/>
      <c r="M797" s="17"/>
      <c r="N797" s="17"/>
      <c r="O797" s="17"/>
      <c r="P797" s="17"/>
      <c r="Q797" s="17"/>
    </row>
    <row r="798">
      <c r="A798" s="17"/>
      <c r="B798" s="17"/>
      <c r="C798" s="17"/>
      <c r="D798" s="17"/>
      <c r="E798" s="17"/>
      <c r="F798" s="17"/>
      <c r="G798" s="17"/>
      <c r="H798" s="17"/>
      <c r="I798" s="17"/>
      <c r="J798" s="17"/>
      <c r="K798" s="17"/>
      <c r="L798" s="17"/>
      <c r="M798" s="17"/>
      <c r="N798" s="17"/>
      <c r="O798" s="17"/>
      <c r="P798" s="17"/>
      <c r="Q798" s="17"/>
    </row>
    <row r="799">
      <c r="A799" s="17"/>
      <c r="B799" s="17"/>
      <c r="C799" s="17"/>
      <c r="D799" s="17"/>
      <c r="E799" s="17"/>
      <c r="F799" s="17"/>
      <c r="G799" s="17"/>
      <c r="H799" s="17"/>
      <c r="I799" s="17"/>
      <c r="J799" s="17"/>
      <c r="K799" s="17"/>
      <c r="L799" s="17"/>
      <c r="M799" s="17"/>
      <c r="N799" s="17"/>
      <c r="O799" s="17"/>
      <c r="P799" s="17"/>
      <c r="Q799" s="17"/>
    </row>
    <row r="800">
      <c r="A800" s="17"/>
      <c r="B800" s="17"/>
      <c r="C800" s="17"/>
      <c r="D800" s="17"/>
      <c r="E800" s="17"/>
      <c r="F800" s="17"/>
      <c r="G800" s="17"/>
      <c r="H800" s="17"/>
      <c r="I800" s="17"/>
      <c r="J800" s="17"/>
      <c r="K800" s="17"/>
      <c r="L800" s="17"/>
      <c r="M800" s="17"/>
      <c r="N800" s="17"/>
      <c r="O800" s="17"/>
      <c r="P800" s="17"/>
      <c r="Q800" s="17"/>
    </row>
    <row r="801">
      <c r="A801" s="17"/>
      <c r="B801" s="17"/>
      <c r="C801" s="17"/>
      <c r="D801" s="17"/>
      <c r="E801" s="17"/>
      <c r="F801" s="17"/>
      <c r="G801" s="17"/>
      <c r="H801" s="17"/>
      <c r="I801" s="17"/>
      <c r="J801" s="17"/>
      <c r="K801" s="17"/>
      <c r="L801" s="17"/>
      <c r="M801" s="17"/>
      <c r="N801" s="17"/>
      <c r="O801" s="17"/>
      <c r="P801" s="17"/>
      <c r="Q801" s="17"/>
    </row>
    <row r="802">
      <c r="A802" s="17"/>
      <c r="B802" s="17"/>
      <c r="C802" s="17"/>
      <c r="D802" s="17"/>
      <c r="E802" s="17"/>
      <c r="F802" s="17"/>
      <c r="G802" s="17"/>
      <c r="H802" s="17"/>
      <c r="I802" s="17"/>
      <c r="J802" s="17"/>
      <c r="K802" s="17"/>
      <c r="L802" s="17"/>
      <c r="M802" s="17"/>
      <c r="N802" s="17"/>
      <c r="O802" s="17"/>
      <c r="P802" s="17"/>
      <c r="Q802" s="17"/>
    </row>
    <row r="803">
      <c r="A803" s="17"/>
      <c r="B803" s="17"/>
      <c r="C803" s="17"/>
      <c r="D803" s="17"/>
      <c r="E803" s="17"/>
      <c r="F803" s="17"/>
      <c r="G803" s="17"/>
      <c r="H803" s="17"/>
      <c r="I803" s="17"/>
      <c r="J803" s="17"/>
      <c r="K803" s="17"/>
      <c r="L803" s="17"/>
      <c r="M803" s="17"/>
      <c r="N803" s="17"/>
      <c r="O803" s="17"/>
      <c r="P803" s="17"/>
      <c r="Q803" s="17"/>
    </row>
    <row r="804">
      <c r="A804" s="17"/>
      <c r="B804" s="17"/>
      <c r="C804" s="17"/>
      <c r="D804" s="17"/>
      <c r="E804" s="17"/>
      <c r="F804" s="17"/>
      <c r="G804" s="17"/>
      <c r="H804" s="17"/>
      <c r="I804" s="17"/>
      <c r="J804" s="17"/>
      <c r="K804" s="17"/>
      <c r="L804" s="17"/>
      <c r="M804" s="17"/>
      <c r="N804" s="17"/>
      <c r="O804" s="17"/>
      <c r="P804" s="17"/>
      <c r="Q804" s="17"/>
    </row>
    <row r="805">
      <c r="A805" s="17"/>
      <c r="B805" s="17"/>
      <c r="C805" s="17"/>
      <c r="D805" s="17"/>
      <c r="E805" s="17"/>
      <c r="F805" s="17"/>
      <c r="G805" s="17"/>
      <c r="H805" s="17"/>
      <c r="I805" s="17"/>
      <c r="J805" s="17"/>
      <c r="K805" s="17"/>
      <c r="L805" s="17"/>
      <c r="M805" s="17"/>
      <c r="N805" s="17"/>
      <c r="O805" s="17"/>
      <c r="P805" s="17"/>
      <c r="Q805" s="17"/>
    </row>
    <row r="806">
      <c r="A806" s="17"/>
      <c r="B806" s="17"/>
      <c r="C806" s="17"/>
      <c r="D806" s="17"/>
      <c r="E806" s="17"/>
      <c r="F806" s="17"/>
      <c r="G806" s="17"/>
      <c r="H806" s="17"/>
      <c r="I806" s="17"/>
      <c r="J806" s="17"/>
      <c r="K806" s="17"/>
      <c r="L806" s="17"/>
      <c r="M806" s="17"/>
      <c r="N806" s="17"/>
      <c r="O806" s="17"/>
      <c r="P806" s="17"/>
      <c r="Q806" s="17"/>
    </row>
    <row r="807">
      <c r="A807" s="17"/>
      <c r="B807" s="17"/>
      <c r="C807" s="17"/>
      <c r="D807" s="17"/>
      <c r="E807" s="17"/>
      <c r="F807" s="17"/>
      <c r="G807" s="17"/>
      <c r="H807" s="17"/>
      <c r="I807" s="17"/>
      <c r="J807" s="17"/>
      <c r="K807" s="17"/>
      <c r="L807" s="17"/>
      <c r="M807" s="17"/>
      <c r="N807" s="17"/>
      <c r="O807" s="17"/>
      <c r="P807" s="17"/>
      <c r="Q807" s="17"/>
    </row>
    <row r="808">
      <c r="A808" s="17"/>
      <c r="B808" s="17"/>
      <c r="C808" s="17"/>
      <c r="D808" s="17"/>
      <c r="E808" s="17"/>
      <c r="F808" s="17"/>
      <c r="G808" s="17"/>
      <c r="H808" s="17"/>
      <c r="I808" s="17"/>
      <c r="J808" s="17"/>
      <c r="K808" s="17"/>
      <c r="L808" s="17"/>
      <c r="M808" s="17"/>
      <c r="N808" s="17"/>
      <c r="O808" s="17"/>
      <c r="P808" s="17"/>
      <c r="Q808" s="17"/>
    </row>
    <row r="809">
      <c r="A809" s="17"/>
      <c r="B809" s="17"/>
      <c r="C809" s="17"/>
      <c r="D809" s="17"/>
      <c r="E809" s="17"/>
      <c r="F809" s="17"/>
      <c r="G809" s="17"/>
      <c r="H809" s="17"/>
      <c r="I809" s="17"/>
      <c r="J809" s="17"/>
      <c r="K809" s="17"/>
      <c r="L809" s="17"/>
      <c r="M809" s="17"/>
      <c r="N809" s="17"/>
      <c r="O809" s="17"/>
      <c r="P809" s="17"/>
      <c r="Q809" s="17"/>
    </row>
    <row r="810">
      <c r="A810" s="17"/>
      <c r="B810" s="17"/>
      <c r="C810" s="17"/>
      <c r="D810" s="17"/>
      <c r="E810" s="17"/>
      <c r="F810" s="17"/>
      <c r="G810" s="17"/>
      <c r="H810" s="17"/>
      <c r="I810" s="17"/>
      <c r="J810" s="17"/>
      <c r="K810" s="17"/>
      <c r="L810" s="17"/>
      <c r="M810" s="17"/>
      <c r="N810" s="17"/>
      <c r="O810" s="17"/>
      <c r="P810" s="17"/>
      <c r="Q810" s="17"/>
    </row>
    <row r="811">
      <c r="A811" s="17"/>
      <c r="B811" s="17"/>
      <c r="C811" s="17"/>
      <c r="D811" s="17"/>
      <c r="E811" s="17"/>
      <c r="F811" s="17"/>
      <c r="G811" s="17"/>
      <c r="H811" s="17"/>
      <c r="I811" s="17"/>
      <c r="J811" s="17"/>
      <c r="K811" s="17"/>
      <c r="L811" s="17"/>
      <c r="M811" s="17"/>
      <c r="N811" s="17"/>
      <c r="O811" s="17"/>
      <c r="P811" s="17"/>
      <c r="Q811" s="17"/>
    </row>
    <row r="812">
      <c r="A812" s="17"/>
      <c r="B812" s="17"/>
      <c r="C812" s="17"/>
      <c r="D812" s="17"/>
      <c r="E812" s="17"/>
      <c r="F812" s="17"/>
      <c r="G812" s="17"/>
      <c r="H812" s="17"/>
      <c r="I812" s="17"/>
      <c r="J812" s="17"/>
      <c r="K812" s="17"/>
      <c r="L812" s="17"/>
      <c r="M812" s="17"/>
      <c r="N812" s="17"/>
      <c r="O812" s="17"/>
      <c r="P812" s="17"/>
      <c r="Q812" s="17"/>
    </row>
    <row r="813">
      <c r="A813" s="17"/>
      <c r="B813" s="17"/>
      <c r="C813" s="17"/>
      <c r="D813" s="17"/>
      <c r="E813" s="17"/>
      <c r="F813" s="17"/>
      <c r="G813" s="17"/>
      <c r="H813" s="17"/>
      <c r="I813" s="17"/>
      <c r="J813" s="17"/>
      <c r="K813" s="17"/>
      <c r="L813" s="17"/>
      <c r="M813" s="17"/>
      <c r="N813" s="17"/>
      <c r="O813" s="17"/>
      <c r="P813" s="17"/>
      <c r="Q813" s="17"/>
    </row>
    <row r="814">
      <c r="A814" s="17"/>
      <c r="B814" s="17"/>
      <c r="C814" s="17"/>
      <c r="D814" s="17"/>
      <c r="E814" s="17"/>
      <c r="F814" s="17"/>
      <c r="G814" s="17"/>
      <c r="H814" s="17"/>
      <c r="I814" s="17"/>
      <c r="J814" s="17"/>
      <c r="K814" s="17"/>
      <c r="L814" s="17"/>
      <c r="M814" s="17"/>
      <c r="N814" s="17"/>
      <c r="O814" s="17"/>
      <c r="P814" s="17"/>
      <c r="Q814" s="17"/>
    </row>
    <row r="815">
      <c r="A815" s="17"/>
      <c r="B815" s="17"/>
      <c r="C815" s="17"/>
      <c r="D815" s="17"/>
      <c r="E815" s="17"/>
      <c r="F815" s="17"/>
      <c r="G815" s="17"/>
      <c r="H815" s="17"/>
      <c r="I815" s="17"/>
      <c r="J815" s="17"/>
      <c r="K815" s="17"/>
      <c r="L815" s="17"/>
      <c r="M815" s="17"/>
      <c r="N815" s="17"/>
      <c r="O815" s="17"/>
      <c r="P815" s="17"/>
      <c r="Q815" s="17"/>
    </row>
    <row r="816">
      <c r="A816" s="17"/>
      <c r="B816" s="17"/>
      <c r="C816" s="17"/>
      <c r="D816" s="17"/>
      <c r="E816" s="17"/>
      <c r="F816" s="17"/>
      <c r="G816" s="17"/>
      <c r="H816" s="17"/>
      <c r="I816" s="17"/>
      <c r="J816" s="17"/>
      <c r="K816" s="17"/>
      <c r="L816" s="17"/>
      <c r="M816" s="17"/>
      <c r="N816" s="17"/>
      <c r="O816" s="17"/>
      <c r="P816" s="17"/>
      <c r="Q816" s="17"/>
    </row>
    <row r="817">
      <c r="A817" s="17"/>
      <c r="B817" s="17"/>
      <c r="C817" s="17"/>
      <c r="D817" s="17"/>
      <c r="E817" s="17"/>
      <c r="F817" s="17"/>
      <c r="G817" s="17"/>
      <c r="H817" s="17"/>
      <c r="I817" s="17"/>
      <c r="J817" s="17"/>
      <c r="K817" s="17"/>
      <c r="L817" s="17"/>
      <c r="M817" s="17"/>
      <c r="N817" s="17"/>
      <c r="O817" s="17"/>
      <c r="P817" s="17"/>
      <c r="Q817" s="17"/>
    </row>
    <row r="818">
      <c r="A818" s="17"/>
      <c r="B818" s="17"/>
      <c r="C818" s="17"/>
      <c r="D818" s="17"/>
      <c r="E818" s="17"/>
      <c r="F818" s="17"/>
      <c r="G818" s="17"/>
      <c r="H818" s="17"/>
      <c r="I818" s="17"/>
      <c r="J818" s="17"/>
      <c r="K818" s="17"/>
      <c r="L818" s="17"/>
      <c r="M818" s="17"/>
      <c r="N818" s="17"/>
      <c r="O818" s="17"/>
      <c r="P818" s="17"/>
      <c r="Q818" s="17"/>
    </row>
    <row r="819">
      <c r="A819" s="17"/>
      <c r="B819" s="17"/>
      <c r="C819" s="17"/>
      <c r="D819" s="17"/>
      <c r="E819" s="17"/>
      <c r="F819" s="17"/>
      <c r="G819" s="17"/>
      <c r="H819" s="17"/>
      <c r="I819" s="17"/>
      <c r="J819" s="17"/>
      <c r="K819" s="17"/>
      <c r="L819" s="17"/>
      <c r="M819" s="17"/>
      <c r="N819" s="17"/>
      <c r="O819" s="17"/>
      <c r="P819" s="17"/>
      <c r="Q819" s="17"/>
    </row>
    <row r="820">
      <c r="A820" s="17"/>
      <c r="B820" s="17"/>
      <c r="C820" s="17"/>
      <c r="D820" s="17"/>
      <c r="E820" s="17"/>
      <c r="F820" s="17"/>
      <c r="G820" s="17"/>
      <c r="H820" s="17"/>
      <c r="I820" s="17"/>
      <c r="J820" s="17"/>
      <c r="K820" s="17"/>
      <c r="L820" s="17"/>
      <c r="M820" s="17"/>
      <c r="N820" s="17"/>
      <c r="O820" s="17"/>
      <c r="P820" s="17"/>
      <c r="Q820" s="17"/>
    </row>
    <row r="821">
      <c r="A821" s="17"/>
      <c r="B821" s="17"/>
      <c r="C821" s="17"/>
      <c r="D821" s="17"/>
      <c r="E821" s="17"/>
      <c r="F821" s="17"/>
      <c r="G821" s="17"/>
      <c r="H821" s="17"/>
      <c r="I821" s="17"/>
      <c r="J821" s="17"/>
      <c r="K821" s="17"/>
      <c r="L821" s="17"/>
      <c r="M821" s="17"/>
      <c r="N821" s="17"/>
      <c r="O821" s="17"/>
      <c r="P821" s="17"/>
      <c r="Q821" s="17"/>
    </row>
    <row r="822">
      <c r="A822" s="17"/>
      <c r="B822" s="17"/>
      <c r="C822" s="17"/>
      <c r="D822" s="17"/>
      <c r="E822" s="17"/>
      <c r="F822" s="17"/>
      <c r="G822" s="17"/>
      <c r="H822" s="17"/>
      <c r="I822" s="17"/>
      <c r="J822" s="17"/>
      <c r="K822" s="17"/>
      <c r="L822" s="17"/>
      <c r="M822" s="17"/>
      <c r="N822" s="17"/>
      <c r="O822" s="17"/>
      <c r="P822" s="17"/>
      <c r="Q822" s="17"/>
    </row>
    <row r="823">
      <c r="A823" s="17"/>
      <c r="B823" s="17"/>
      <c r="C823" s="17"/>
      <c r="D823" s="17"/>
      <c r="E823" s="17"/>
      <c r="F823" s="17"/>
      <c r="G823" s="17"/>
      <c r="H823" s="17"/>
      <c r="I823" s="17"/>
      <c r="J823" s="17"/>
      <c r="K823" s="17"/>
      <c r="L823" s="17"/>
      <c r="M823" s="17"/>
      <c r="N823" s="17"/>
      <c r="O823" s="17"/>
      <c r="P823" s="17"/>
      <c r="Q823" s="17"/>
    </row>
    <row r="824">
      <c r="A824" s="17"/>
      <c r="B824" s="17"/>
      <c r="C824" s="17"/>
      <c r="D824" s="17"/>
      <c r="E824" s="17"/>
      <c r="F824" s="17"/>
      <c r="G824" s="17"/>
      <c r="H824" s="17"/>
      <c r="I824" s="17"/>
      <c r="J824" s="17"/>
      <c r="K824" s="17"/>
      <c r="L824" s="17"/>
      <c r="M824" s="17"/>
      <c r="N824" s="17"/>
      <c r="O824" s="17"/>
      <c r="P824" s="17"/>
      <c r="Q824" s="17"/>
    </row>
    <row r="825">
      <c r="A825" s="17"/>
      <c r="B825" s="17"/>
      <c r="C825" s="17"/>
      <c r="D825" s="17"/>
      <c r="E825" s="17"/>
      <c r="F825" s="17"/>
      <c r="G825" s="17"/>
      <c r="H825" s="17"/>
      <c r="I825" s="17"/>
      <c r="J825" s="17"/>
      <c r="K825" s="17"/>
      <c r="L825" s="17"/>
      <c r="M825" s="17"/>
      <c r="N825" s="17"/>
      <c r="O825" s="17"/>
      <c r="P825" s="17"/>
      <c r="Q825" s="17"/>
    </row>
    <row r="826">
      <c r="A826" s="17"/>
      <c r="B826" s="17"/>
      <c r="C826" s="17"/>
      <c r="D826" s="17"/>
      <c r="E826" s="17"/>
      <c r="F826" s="17"/>
      <c r="G826" s="17"/>
      <c r="H826" s="17"/>
      <c r="I826" s="17"/>
      <c r="J826" s="17"/>
      <c r="K826" s="17"/>
      <c r="L826" s="17"/>
      <c r="M826" s="17"/>
      <c r="N826" s="17"/>
      <c r="O826" s="17"/>
      <c r="P826" s="17"/>
      <c r="Q826" s="17"/>
    </row>
    <row r="827">
      <c r="A827" s="17"/>
      <c r="B827" s="17"/>
      <c r="C827" s="17"/>
      <c r="D827" s="17"/>
      <c r="E827" s="17"/>
      <c r="F827" s="17"/>
      <c r="G827" s="17"/>
      <c r="H827" s="17"/>
      <c r="I827" s="17"/>
      <c r="J827" s="17"/>
      <c r="K827" s="17"/>
      <c r="L827" s="17"/>
      <c r="M827" s="17"/>
      <c r="N827" s="17"/>
      <c r="O827" s="17"/>
      <c r="P827" s="17"/>
      <c r="Q827" s="17"/>
    </row>
    <row r="828">
      <c r="A828" s="17"/>
      <c r="B828" s="17"/>
      <c r="C828" s="17"/>
      <c r="D828" s="17"/>
      <c r="E828" s="17"/>
      <c r="F828" s="17"/>
      <c r="G828" s="17"/>
      <c r="H828" s="17"/>
      <c r="I828" s="17"/>
      <c r="J828" s="17"/>
      <c r="K828" s="17"/>
      <c r="L828" s="17"/>
      <c r="M828" s="17"/>
      <c r="N828" s="17"/>
      <c r="O828" s="17"/>
      <c r="P828" s="17"/>
      <c r="Q828" s="17"/>
    </row>
    <row r="829">
      <c r="A829" s="17"/>
      <c r="B829" s="17"/>
      <c r="C829" s="17"/>
      <c r="D829" s="17"/>
      <c r="E829" s="17"/>
      <c r="F829" s="17"/>
      <c r="G829" s="17"/>
      <c r="H829" s="17"/>
      <c r="I829" s="17"/>
      <c r="J829" s="17"/>
      <c r="K829" s="17"/>
      <c r="L829" s="17"/>
      <c r="M829" s="17"/>
      <c r="N829" s="17"/>
      <c r="O829" s="17"/>
      <c r="P829" s="17"/>
      <c r="Q829" s="17"/>
    </row>
    <row r="830">
      <c r="A830" s="17"/>
      <c r="B830" s="17"/>
      <c r="C830" s="17"/>
      <c r="D830" s="17"/>
      <c r="E830" s="17"/>
      <c r="F830" s="17"/>
      <c r="G830" s="17"/>
      <c r="H830" s="17"/>
      <c r="I830" s="17"/>
      <c r="J830" s="17"/>
      <c r="K830" s="17"/>
      <c r="L830" s="17"/>
      <c r="M830" s="17"/>
      <c r="N830" s="17"/>
      <c r="O830" s="17"/>
      <c r="P830" s="17"/>
      <c r="Q830" s="17"/>
    </row>
    <row r="831">
      <c r="A831" s="17"/>
      <c r="B831" s="17"/>
      <c r="C831" s="17"/>
      <c r="D831" s="17"/>
      <c r="E831" s="17"/>
      <c r="F831" s="17"/>
      <c r="G831" s="17"/>
      <c r="H831" s="17"/>
      <c r="I831" s="17"/>
      <c r="J831" s="17"/>
      <c r="K831" s="17"/>
      <c r="L831" s="17"/>
      <c r="M831" s="17"/>
      <c r="N831" s="17"/>
      <c r="O831" s="17"/>
      <c r="P831" s="17"/>
      <c r="Q831" s="17"/>
    </row>
    <row r="832">
      <c r="A832" s="17"/>
      <c r="B832" s="17"/>
      <c r="C832" s="17"/>
      <c r="D832" s="17"/>
      <c r="E832" s="17"/>
      <c r="F832" s="17"/>
      <c r="G832" s="17"/>
      <c r="H832" s="17"/>
      <c r="I832" s="17"/>
      <c r="J832" s="17"/>
      <c r="K832" s="17"/>
      <c r="L832" s="17"/>
      <c r="M832" s="17"/>
      <c r="N832" s="17"/>
      <c r="O832" s="17"/>
      <c r="P832" s="17"/>
      <c r="Q832" s="17"/>
    </row>
    <row r="833">
      <c r="A833" s="17"/>
      <c r="B833" s="17"/>
      <c r="C833" s="17"/>
      <c r="D833" s="17"/>
      <c r="E833" s="17"/>
      <c r="F833" s="17"/>
      <c r="G833" s="17"/>
      <c r="H833" s="17"/>
      <c r="I833" s="17"/>
      <c r="J833" s="17"/>
      <c r="K833" s="17"/>
      <c r="L833" s="17"/>
      <c r="M833" s="17"/>
      <c r="N833" s="17"/>
      <c r="O833" s="17"/>
      <c r="P833" s="17"/>
      <c r="Q833" s="17"/>
    </row>
    <row r="834">
      <c r="A834" s="17"/>
      <c r="B834" s="17"/>
      <c r="C834" s="17"/>
      <c r="D834" s="17"/>
      <c r="E834" s="17"/>
      <c r="F834" s="17"/>
      <c r="G834" s="17"/>
      <c r="H834" s="17"/>
      <c r="I834" s="17"/>
      <c r="J834" s="17"/>
      <c r="K834" s="17"/>
      <c r="L834" s="17"/>
      <c r="M834" s="17"/>
      <c r="N834" s="17"/>
      <c r="O834" s="17"/>
      <c r="P834" s="17"/>
      <c r="Q834" s="17"/>
    </row>
    <row r="835">
      <c r="A835" s="17"/>
      <c r="B835" s="17"/>
      <c r="C835" s="17"/>
      <c r="D835" s="17"/>
      <c r="E835" s="17"/>
      <c r="F835" s="17"/>
      <c r="G835" s="17"/>
      <c r="H835" s="17"/>
      <c r="I835" s="17"/>
      <c r="J835" s="17"/>
      <c r="K835" s="17"/>
      <c r="L835" s="17"/>
      <c r="M835" s="17"/>
      <c r="N835" s="17"/>
      <c r="O835" s="17"/>
      <c r="P835" s="17"/>
      <c r="Q835" s="17"/>
    </row>
    <row r="836">
      <c r="A836" s="17"/>
      <c r="B836" s="17"/>
      <c r="C836" s="17"/>
      <c r="D836" s="17"/>
      <c r="E836" s="17"/>
      <c r="F836" s="17"/>
      <c r="G836" s="17"/>
      <c r="H836" s="17"/>
      <c r="I836" s="17"/>
      <c r="J836" s="17"/>
      <c r="K836" s="17"/>
      <c r="L836" s="17"/>
      <c r="M836" s="17"/>
      <c r="N836" s="17"/>
      <c r="O836" s="17"/>
      <c r="P836" s="17"/>
      <c r="Q836" s="17"/>
    </row>
    <row r="837">
      <c r="A837" s="17"/>
      <c r="B837" s="17"/>
      <c r="C837" s="17"/>
      <c r="D837" s="17"/>
      <c r="E837" s="17"/>
      <c r="F837" s="17"/>
      <c r="G837" s="17"/>
      <c r="H837" s="17"/>
      <c r="I837" s="17"/>
      <c r="J837" s="17"/>
      <c r="K837" s="17"/>
      <c r="L837" s="17"/>
      <c r="M837" s="17"/>
      <c r="N837" s="17"/>
      <c r="O837" s="17"/>
      <c r="P837" s="17"/>
      <c r="Q837" s="17"/>
    </row>
    <row r="838">
      <c r="A838" s="17"/>
      <c r="B838" s="17"/>
      <c r="C838" s="17"/>
      <c r="D838" s="17"/>
      <c r="E838" s="17"/>
      <c r="F838" s="17"/>
      <c r="G838" s="17"/>
      <c r="H838" s="17"/>
      <c r="I838" s="17"/>
      <c r="J838" s="17"/>
      <c r="K838" s="17"/>
      <c r="L838" s="17"/>
      <c r="M838" s="17"/>
      <c r="N838" s="17"/>
      <c r="O838" s="17"/>
      <c r="P838" s="17"/>
      <c r="Q838" s="17"/>
    </row>
    <row r="839">
      <c r="A839" s="17"/>
      <c r="B839" s="17"/>
      <c r="C839" s="17"/>
      <c r="D839" s="17"/>
      <c r="E839" s="17"/>
      <c r="F839" s="17"/>
      <c r="G839" s="17"/>
      <c r="H839" s="17"/>
      <c r="I839" s="17"/>
      <c r="J839" s="17"/>
      <c r="K839" s="17"/>
      <c r="L839" s="17"/>
      <c r="M839" s="17"/>
      <c r="N839" s="17"/>
      <c r="O839" s="17"/>
      <c r="P839" s="17"/>
      <c r="Q839" s="17"/>
    </row>
    <row r="840">
      <c r="A840" s="17"/>
      <c r="B840" s="17"/>
      <c r="C840" s="17"/>
      <c r="D840" s="17"/>
      <c r="E840" s="17"/>
      <c r="F840" s="17"/>
      <c r="G840" s="17"/>
      <c r="H840" s="17"/>
      <c r="I840" s="17"/>
      <c r="J840" s="17"/>
      <c r="K840" s="17"/>
      <c r="L840" s="17"/>
      <c r="M840" s="17"/>
      <c r="N840" s="17"/>
      <c r="O840" s="17"/>
      <c r="P840" s="17"/>
      <c r="Q840" s="17"/>
    </row>
    <row r="841">
      <c r="A841" s="17"/>
      <c r="B841" s="17"/>
      <c r="C841" s="17"/>
      <c r="D841" s="17"/>
      <c r="E841" s="17"/>
      <c r="F841" s="17"/>
      <c r="G841" s="17"/>
      <c r="H841" s="17"/>
      <c r="I841" s="17"/>
      <c r="J841" s="17"/>
      <c r="K841" s="17"/>
      <c r="L841" s="17"/>
      <c r="M841" s="17"/>
      <c r="N841" s="17"/>
      <c r="O841" s="17"/>
      <c r="P841" s="17"/>
      <c r="Q841" s="17"/>
    </row>
    <row r="842">
      <c r="A842" s="17"/>
      <c r="B842" s="17"/>
      <c r="C842" s="17"/>
      <c r="D842" s="17"/>
      <c r="E842" s="17"/>
      <c r="F842" s="17"/>
      <c r="G842" s="17"/>
      <c r="H842" s="17"/>
      <c r="I842" s="17"/>
      <c r="J842" s="17"/>
      <c r="K842" s="17"/>
      <c r="L842" s="17"/>
      <c r="M842" s="17"/>
      <c r="N842" s="17"/>
      <c r="O842" s="17"/>
      <c r="P842" s="17"/>
      <c r="Q842" s="17"/>
    </row>
    <row r="843">
      <c r="A843" s="17"/>
      <c r="B843" s="17"/>
      <c r="C843" s="17"/>
      <c r="D843" s="17"/>
      <c r="E843" s="17"/>
      <c r="F843" s="17"/>
      <c r="G843" s="17"/>
      <c r="H843" s="17"/>
      <c r="I843" s="17"/>
      <c r="J843" s="17"/>
      <c r="K843" s="17"/>
      <c r="L843" s="17"/>
      <c r="M843" s="17"/>
      <c r="N843" s="17"/>
      <c r="O843" s="17"/>
      <c r="P843" s="17"/>
      <c r="Q843" s="17"/>
    </row>
    <row r="844">
      <c r="A844" s="17"/>
      <c r="B844" s="17"/>
      <c r="C844" s="17"/>
      <c r="D844" s="17"/>
      <c r="E844" s="17"/>
      <c r="F844" s="17"/>
      <c r="G844" s="17"/>
      <c r="H844" s="17"/>
      <c r="I844" s="17"/>
      <c r="J844" s="17"/>
      <c r="K844" s="17"/>
      <c r="L844" s="17"/>
      <c r="M844" s="17"/>
      <c r="N844" s="17"/>
      <c r="O844" s="17"/>
      <c r="P844" s="17"/>
      <c r="Q844" s="17"/>
    </row>
    <row r="845">
      <c r="A845" s="17"/>
      <c r="B845" s="17"/>
      <c r="C845" s="17"/>
      <c r="D845" s="17"/>
      <c r="E845" s="17"/>
      <c r="F845" s="17"/>
      <c r="G845" s="17"/>
      <c r="H845" s="17"/>
      <c r="I845" s="17"/>
      <c r="J845" s="17"/>
      <c r="K845" s="17"/>
      <c r="L845" s="17"/>
      <c r="M845" s="17"/>
      <c r="N845" s="17"/>
      <c r="O845" s="17"/>
      <c r="P845" s="17"/>
      <c r="Q845" s="17"/>
    </row>
    <row r="846">
      <c r="A846" s="17"/>
      <c r="B846" s="17"/>
      <c r="C846" s="17"/>
      <c r="D846" s="17"/>
      <c r="E846" s="17"/>
      <c r="F846" s="17"/>
      <c r="G846" s="17"/>
      <c r="H846" s="17"/>
      <c r="I846" s="17"/>
      <c r="J846" s="17"/>
      <c r="K846" s="17"/>
      <c r="L846" s="17"/>
      <c r="M846" s="17"/>
      <c r="N846" s="17"/>
      <c r="O846" s="17"/>
      <c r="P846" s="17"/>
      <c r="Q846" s="17"/>
    </row>
    <row r="847">
      <c r="A847" s="17"/>
      <c r="B847" s="17"/>
      <c r="C847" s="17"/>
      <c r="D847" s="17"/>
      <c r="E847" s="17"/>
      <c r="F847" s="17"/>
      <c r="G847" s="17"/>
      <c r="H847" s="17"/>
      <c r="I847" s="17"/>
      <c r="J847" s="17"/>
      <c r="K847" s="17"/>
      <c r="L847" s="17"/>
      <c r="M847" s="17"/>
      <c r="N847" s="17"/>
      <c r="O847" s="17"/>
      <c r="P847" s="17"/>
      <c r="Q847" s="17"/>
    </row>
    <row r="848">
      <c r="A848" s="17"/>
      <c r="B848" s="17"/>
      <c r="C848" s="17"/>
      <c r="D848" s="17"/>
      <c r="E848" s="17"/>
      <c r="F848" s="17"/>
      <c r="G848" s="17"/>
      <c r="H848" s="17"/>
      <c r="I848" s="17"/>
      <c r="J848" s="17"/>
      <c r="K848" s="17"/>
      <c r="L848" s="17"/>
      <c r="M848" s="17"/>
      <c r="N848" s="17"/>
      <c r="O848" s="17"/>
      <c r="P848" s="17"/>
      <c r="Q848" s="17"/>
    </row>
    <row r="849">
      <c r="A849" s="17"/>
      <c r="B849" s="17"/>
      <c r="C849" s="17"/>
      <c r="D849" s="17"/>
      <c r="E849" s="17"/>
      <c r="F849" s="17"/>
      <c r="G849" s="17"/>
      <c r="H849" s="17"/>
      <c r="I849" s="17"/>
      <c r="J849" s="17"/>
      <c r="K849" s="17"/>
      <c r="L849" s="17"/>
      <c r="M849" s="17"/>
      <c r="N849" s="17"/>
      <c r="O849" s="17"/>
      <c r="P849" s="17"/>
      <c r="Q849" s="17"/>
    </row>
    <row r="850">
      <c r="A850" s="17"/>
      <c r="B850" s="17"/>
      <c r="C850" s="17"/>
      <c r="D850" s="17"/>
      <c r="E850" s="17"/>
      <c r="F850" s="17"/>
      <c r="G850" s="17"/>
      <c r="H850" s="17"/>
      <c r="I850" s="17"/>
      <c r="J850" s="17"/>
      <c r="K850" s="17"/>
      <c r="L850" s="17"/>
      <c r="M850" s="17"/>
      <c r="N850" s="17"/>
      <c r="O850" s="17"/>
      <c r="P850" s="17"/>
      <c r="Q850" s="17"/>
    </row>
    <row r="851">
      <c r="A851" s="17"/>
      <c r="B851" s="17"/>
      <c r="C851" s="17"/>
      <c r="D851" s="17"/>
      <c r="E851" s="17"/>
      <c r="F851" s="17"/>
      <c r="G851" s="17"/>
      <c r="H851" s="17"/>
      <c r="I851" s="17"/>
      <c r="J851" s="17"/>
      <c r="K851" s="17"/>
      <c r="L851" s="17"/>
      <c r="M851" s="17"/>
      <c r="N851" s="17"/>
      <c r="O851" s="17"/>
      <c r="P851" s="17"/>
      <c r="Q851" s="17"/>
    </row>
    <row r="852">
      <c r="A852" s="17"/>
      <c r="B852" s="17"/>
      <c r="C852" s="17"/>
      <c r="D852" s="17"/>
      <c r="E852" s="17"/>
      <c r="F852" s="17"/>
      <c r="G852" s="17"/>
      <c r="H852" s="17"/>
      <c r="I852" s="17"/>
      <c r="J852" s="17"/>
      <c r="K852" s="17"/>
      <c r="L852" s="17"/>
      <c r="M852" s="17"/>
      <c r="N852" s="17"/>
      <c r="O852" s="17"/>
      <c r="P852" s="17"/>
      <c r="Q852" s="17"/>
    </row>
    <row r="853">
      <c r="A853" s="17"/>
      <c r="B853" s="17"/>
      <c r="C853" s="17"/>
      <c r="D853" s="17"/>
      <c r="E853" s="17"/>
      <c r="F853" s="17"/>
      <c r="G853" s="17"/>
      <c r="H853" s="17"/>
      <c r="I853" s="17"/>
      <c r="J853" s="17"/>
      <c r="K853" s="17"/>
      <c r="L853" s="17"/>
      <c r="M853" s="17"/>
      <c r="N853" s="17"/>
      <c r="O853" s="17"/>
      <c r="P853" s="17"/>
      <c r="Q853" s="17"/>
    </row>
    <row r="854">
      <c r="A854" s="17"/>
      <c r="B854" s="17"/>
      <c r="C854" s="17"/>
      <c r="D854" s="17"/>
      <c r="E854" s="17"/>
      <c r="F854" s="17"/>
      <c r="G854" s="17"/>
      <c r="H854" s="17"/>
      <c r="I854" s="17"/>
      <c r="J854" s="17"/>
      <c r="K854" s="17"/>
      <c r="L854" s="17"/>
      <c r="M854" s="17"/>
      <c r="N854" s="17"/>
      <c r="O854" s="17"/>
      <c r="P854" s="17"/>
      <c r="Q854" s="17"/>
    </row>
    <row r="855">
      <c r="A855" s="17"/>
      <c r="B855" s="17"/>
      <c r="C855" s="17"/>
      <c r="D855" s="17"/>
      <c r="E855" s="17"/>
      <c r="F855" s="17"/>
      <c r="G855" s="17"/>
      <c r="H855" s="17"/>
      <c r="I855" s="17"/>
      <c r="J855" s="17"/>
      <c r="K855" s="17"/>
      <c r="L855" s="17"/>
      <c r="M855" s="17"/>
      <c r="N855" s="17"/>
      <c r="O855" s="17"/>
      <c r="P855" s="17"/>
      <c r="Q855" s="17"/>
    </row>
    <row r="856">
      <c r="A856" s="17"/>
      <c r="B856" s="17"/>
      <c r="C856" s="17"/>
      <c r="D856" s="17"/>
      <c r="E856" s="17"/>
      <c r="F856" s="17"/>
      <c r="G856" s="17"/>
      <c r="H856" s="17"/>
      <c r="I856" s="17"/>
      <c r="J856" s="17"/>
      <c r="K856" s="17"/>
      <c r="L856" s="17"/>
      <c r="M856" s="17"/>
      <c r="N856" s="17"/>
      <c r="O856" s="17"/>
      <c r="P856" s="17"/>
      <c r="Q856" s="17"/>
    </row>
    <row r="857">
      <c r="A857" s="17"/>
      <c r="B857" s="17"/>
      <c r="C857" s="17"/>
      <c r="D857" s="17"/>
      <c r="E857" s="17"/>
      <c r="F857" s="17"/>
      <c r="G857" s="17"/>
      <c r="H857" s="17"/>
      <c r="I857" s="17"/>
      <c r="J857" s="17"/>
      <c r="K857" s="17"/>
      <c r="L857" s="17"/>
      <c r="M857" s="17"/>
      <c r="N857" s="17"/>
      <c r="O857" s="17"/>
      <c r="P857" s="17"/>
      <c r="Q857" s="17"/>
    </row>
    <row r="858">
      <c r="A858" s="17"/>
      <c r="B858" s="17"/>
      <c r="C858" s="17"/>
      <c r="D858" s="17"/>
      <c r="E858" s="17"/>
      <c r="F858" s="17"/>
      <c r="G858" s="17"/>
      <c r="H858" s="17"/>
      <c r="I858" s="17"/>
      <c r="J858" s="17"/>
      <c r="K858" s="17"/>
      <c r="L858" s="17"/>
      <c r="M858" s="17"/>
      <c r="N858" s="17"/>
      <c r="O858" s="17"/>
      <c r="P858" s="17"/>
      <c r="Q858" s="17"/>
    </row>
    <row r="859">
      <c r="A859" s="17"/>
      <c r="B859" s="17"/>
      <c r="C859" s="17"/>
      <c r="D859" s="17"/>
      <c r="E859" s="17"/>
      <c r="F859" s="17"/>
      <c r="G859" s="17"/>
      <c r="H859" s="17"/>
      <c r="I859" s="17"/>
      <c r="J859" s="17"/>
      <c r="K859" s="17"/>
      <c r="L859" s="17"/>
      <c r="M859" s="17"/>
      <c r="N859" s="17"/>
      <c r="O859" s="17"/>
      <c r="P859" s="17"/>
      <c r="Q859" s="17"/>
    </row>
    <row r="860">
      <c r="A860" s="17"/>
      <c r="B860" s="17"/>
      <c r="C860" s="17"/>
      <c r="D860" s="17"/>
      <c r="E860" s="17"/>
      <c r="F860" s="17"/>
      <c r="G860" s="17"/>
      <c r="H860" s="17"/>
      <c r="I860" s="17"/>
      <c r="J860" s="17"/>
      <c r="K860" s="17"/>
      <c r="L860" s="17"/>
      <c r="M860" s="17"/>
      <c r="N860" s="17"/>
      <c r="O860" s="17"/>
      <c r="P860" s="17"/>
      <c r="Q860" s="17"/>
    </row>
    <row r="861">
      <c r="A861" s="17"/>
      <c r="B861" s="17"/>
      <c r="C861" s="17"/>
      <c r="D861" s="17"/>
      <c r="E861" s="17"/>
      <c r="F861" s="17"/>
      <c r="G861" s="17"/>
      <c r="H861" s="17"/>
      <c r="I861" s="17"/>
      <c r="J861" s="17"/>
      <c r="K861" s="17"/>
      <c r="L861" s="17"/>
      <c r="M861" s="17"/>
      <c r="N861" s="17"/>
      <c r="O861" s="17"/>
      <c r="P861" s="17"/>
      <c r="Q861" s="17"/>
    </row>
    <row r="862">
      <c r="A862" s="17"/>
      <c r="B862" s="17"/>
      <c r="C862" s="17"/>
      <c r="D862" s="17"/>
      <c r="E862" s="17"/>
      <c r="F862" s="17"/>
      <c r="G862" s="17"/>
      <c r="H862" s="17"/>
      <c r="I862" s="17"/>
      <c r="J862" s="17"/>
      <c r="K862" s="17"/>
      <c r="L862" s="17"/>
      <c r="M862" s="17"/>
      <c r="N862" s="17"/>
      <c r="O862" s="17"/>
      <c r="P862" s="17"/>
      <c r="Q862" s="17"/>
    </row>
    <row r="863">
      <c r="A863" s="17"/>
      <c r="B863" s="17"/>
      <c r="C863" s="17"/>
      <c r="D863" s="17"/>
      <c r="E863" s="17"/>
      <c r="F863" s="17"/>
      <c r="G863" s="17"/>
      <c r="H863" s="17"/>
      <c r="I863" s="17"/>
      <c r="J863" s="17"/>
      <c r="K863" s="17"/>
      <c r="L863" s="17"/>
      <c r="M863" s="17"/>
      <c r="N863" s="17"/>
      <c r="O863" s="17"/>
      <c r="P863" s="17"/>
      <c r="Q863" s="17"/>
    </row>
    <row r="864">
      <c r="A864" s="17"/>
      <c r="B864" s="17"/>
      <c r="C864" s="17"/>
      <c r="D864" s="17"/>
      <c r="E864" s="17"/>
      <c r="F864" s="17"/>
      <c r="G864" s="17"/>
      <c r="H864" s="17"/>
      <c r="I864" s="17"/>
      <c r="J864" s="17"/>
      <c r="K864" s="17"/>
      <c r="L864" s="17"/>
      <c r="M864" s="17"/>
      <c r="N864" s="17"/>
      <c r="O864" s="17"/>
      <c r="P864" s="17"/>
      <c r="Q864" s="17"/>
    </row>
    <row r="865">
      <c r="A865" s="17"/>
      <c r="B865" s="17"/>
      <c r="C865" s="17"/>
      <c r="D865" s="17"/>
      <c r="E865" s="17"/>
      <c r="F865" s="17"/>
      <c r="G865" s="17"/>
      <c r="H865" s="17"/>
      <c r="I865" s="17"/>
      <c r="J865" s="17"/>
      <c r="K865" s="17"/>
      <c r="L865" s="17"/>
      <c r="M865" s="17"/>
      <c r="N865" s="17"/>
      <c r="O865" s="17"/>
      <c r="P865" s="17"/>
      <c r="Q865" s="17"/>
    </row>
    <row r="866">
      <c r="A866" s="17"/>
      <c r="B866" s="17"/>
      <c r="C866" s="17"/>
      <c r="D866" s="17"/>
      <c r="E866" s="17"/>
      <c r="F866" s="17"/>
      <c r="G866" s="17"/>
      <c r="H866" s="17"/>
      <c r="I866" s="17"/>
      <c r="J866" s="17"/>
      <c r="K866" s="17"/>
      <c r="L866" s="17"/>
      <c r="M866" s="17"/>
      <c r="N866" s="17"/>
      <c r="O866" s="17"/>
      <c r="P866" s="17"/>
      <c r="Q866" s="17"/>
    </row>
    <row r="867">
      <c r="A867" s="17"/>
      <c r="B867" s="17"/>
      <c r="C867" s="17"/>
      <c r="D867" s="17"/>
      <c r="E867" s="17"/>
      <c r="F867" s="17"/>
      <c r="G867" s="17"/>
      <c r="H867" s="17"/>
      <c r="I867" s="17"/>
      <c r="J867" s="17"/>
      <c r="K867" s="17"/>
      <c r="L867" s="17"/>
      <c r="M867" s="17"/>
      <c r="N867" s="17"/>
      <c r="O867" s="17"/>
      <c r="P867" s="17"/>
      <c r="Q867" s="17"/>
    </row>
    <row r="868">
      <c r="A868" s="17"/>
      <c r="B868" s="17"/>
      <c r="C868" s="17"/>
      <c r="D868" s="17"/>
      <c r="E868" s="17"/>
      <c r="F868" s="17"/>
      <c r="G868" s="17"/>
      <c r="H868" s="17"/>
      <c r="I868" s="17"/>
      <c r="J868" s="17"/>
      <c r="K868" s="17"/>
      <c r="L868" s="17"/>
      <c r="M868" s="17"/>
      <c r="N868" s="17"/>
      <c r="O868" s="17"/>
      <c r="P868" s="17"/>
      <c r="Q868" s="17"/>
    </row>
    <row r="869">
      <c r="A869" s="17"/>
      <c r="B869" s="17"/>
      <c r="C869" s="17"/>
      <c r="D869" s="17"/>
      <c r="E869" s="17"/>
      <c r="F869" s="17"/>
      <c r="G869" s="17"/>
      <c r="H869" s="17"/>
      <c r="I869" s="17"/>
      <c r="J869" s="17"/>
      <c r="K869" s="17"/>
      <c r="L869" s="17"/>
      <c r="M869" s="17"/>
      <c r="N869" s="17"/>
      <c r="O869" s="17"/>
      <c r="P869" s="17"/>
      <c r="Q869" s="17"/>
    </row>
    <row r="870">
      <c r="A870" s="17"/>
      <c r="B870" s="17"/>
      <c r="C870" s="17"/>
      <c r="D870" s="17"/>
      <c r="E870" s="17"/>
      <c r="F870" s="17"/>
      <c r="G870" s="17"/>
      <c r="H870" s="17"/>
      <c r="I870" s="17"/>
      <c r="J870" s="17"/>
      <c r="K870" s="17"/>
      <c r="L870" s="17"/>
      <c r="M870" s="17"/>
      <c r="N870" s="17"/>
      <c r="O870" s="17"/>
      <c r="P870" s="17"/>
      <c r="Q870" s="17"/>
    </row>
    <row r="871">
      <c r="A871" s="17"/>
      <c r="B871" s="17"/>
      <c r="C871" s="17"/>
      <c r="D871" s="17"/>
      <c r="E871" s="17"/>
      <c r="F871" s="17"/>
      <c r="G871" s="17"/>
      <c r="H871" s="17"/>
      <c r="I871" s="17"/>
      <c r="J871" s="17"/>
      <c r="K871" s="17"/>
      <c r="L871" s="17"/>
      <c r="M871" s="17"/>
      <c r="N871" s="17"/>
      <c r="O871" s="17"/>
      <c r="P871" s="17"/>
      <c r="Q871" s="17"/>
    </row>
    <row r="872">
      <c r="A872" s="17"/>
      <c r="B872" s="17"/>
      <c r="C872" s="17"/>
      <c r="D872" s="17"/>
      <c r="E872" s="17"/>
      <c r="F872" s="17"/>
      <c r="G872" s="17"/>
      <c r="H872" s="17"/>
      <c r="I872" s="17"/>
      <c r="J872" s="17"/>
      <c r="K872" s="17"/>
      <c r="L872" s="17"/>
      <c r="M872" s="17"/>
      <c r="N872" s="17"/>
      <c r="O872" s="17"/>
      <c r="P872" s="17"/>
      <c r="Q872" s="17"/>
    </row>
    <row r="873">
      <c r="A873" s="17"/>
      <c r="B873" s="17"/>
      <c r="C873" s="17"/>
      <c r="D873" s="17"/>
      <c r="E873" s="17"/>
      <c r="F873" s="17"/>
      <c r="G873" s="17"/>
      <c r="H873" s="17"/>
      <c r="I873" s="17"/>
      <c r="J873" s="17"/>
      <c r="K873" s="17"/>
      <c r="L873" s="17"/>
      <c r="M873" s="17"/>
      <c r="N873" s="17"/>
      <c r="O873" s="17"/>
      <c r="P873" s="17"/>
      <c r="Q873" s="17"/>
    </row>
    <row r="874">
      <c r="A874" s="17"/>
      <c r="B874" s="17"/>
      <c r="C874" s="17"/>
      <c r="D874" s="17"/>
      <c r="E874" s="17"/>
      <c r="F874" s="17"/>
      <c r="G874" s="17"/>
      <c r="H874" s="17"/>
      <c r="I874" s="17"/>
      <c r="J874" s="17"/>
      <c r="K874" s="17"/>
      <c r="L874" s="17"/>
      <c r="M874" s="17"/>
      <c r="N874" s="17"/>
      <c r="O874" s="17"/>
      <c r="P874" s="17"/>
      <c r="Q874" s="17"/>
    </row>
    <row r="875">
      <c r="A875" s="17"/>
      <c r="B875" s="17"/>
      <c r="C875" s="17"/>
      <c r="D875" s="17"/>
      <c r="E875" s="17"/>
      <c r="F875" s="17"/>
      <c r="G875" s="17"/>
      <c r="H875" s="17"/>
      <c r="I875" s="17"/>
      <c r="J875" s="17"/>
      <c r="K875" s="17"/>
      <c r="L875" s="17"/>
      <c r="M875" s="17"/>
      <c r="N875" s="17"/>
      <c r="O875" s="17"/>
      <c r="P875" s="17"/>
      <c r="Q875" s="17"/>
    </row>
    <row r="876">
      <c r="A876" s="17"/>
      <c r="B876" s="17"/>
      <c r="C876" s="17"/>
      <c r="D876" s="17"/>
      <c r="E876" s="17"/>
      <c r="F876" s="17"/>
      <c r="G876" s="17"/>
      <c r="H876" s="17"/>
      <c r="I876" s="17"/>
      <c r="J876" s="17"/>
      <c r="K876" s="17"/>
      <c r="L876" s="17"/>
      <c r="M876" s="17"/>
      <c r="N876" s="17"/>
      <c r="O876" s="17"/>
      <c r="P876" s="17"/>
      <c r="Q876" s="17"/>
    </row>
    <row r="877">
      <c r="A877" s="17"/>
      <c r="B877" s="17"/>
      <c r="C877" s="17"/>
      <c r="D877" s="17"/>
      <c r="E877" s="17"/>
      <c r="F877" s="17"/>
      <c r="G877" s="17"/>
      <c r="H877" s="17"/>
      <c r="I877" s="17"/>
      <c r="J877" s="17"/>
      <c r="K877" s="17"/>
      <c r="L877" s="17"/>
      <c r="M877" s="17"/>
      <c r="N877" s="17"/>
      <c r="O877" s="17"/>
      <c r="P877" s="17"/>
      <c r="Q877" s="17"/>
    </row>
    <row r="878">
      <c r="A878" s="17"/>
      <c r="B878" s="17"/>
      <c r="C878" s="17"/>
      <c r="D878" s="17"/>
      <c r="E878" s="17"/>
      <c r="F878" s="17"/>
      <c r="G878" s="17"/>
      <c r="H878" s="17"/>
      <c r="I878" s="17"/>
      <c r="J878" s="17"/>
      <c r="K878" s="17"/>
      <c r="L878" s="17"/>
      <c r="M878" s="17"/>
      <c r="N878" s="17"/>
      <c r="O878" s="17"/>
      <c r="P878" s="17"/>
      <c r="Q878" s="17"/>
    </row>
    <row r="879">
      <c r="A879" s="17"/>
      <c r="B879" s="17"/>
      <c r="C879" s="17"/>
      <c r="D879" s="17"/>
      <c r="E879" s="17"/>
      <c r="F879" s="17"/>
      <c r="G879" s="17"/>
      <c r="H879" s="17"/>
      <c r="I879" s="17"/>
      <c r="J879" s="17"/>
      <c r="K879" s="17"/>
      <c r="L879" s="17"/>
      <c r="M879" s="17"/>
      <c r="N879" s="17"/>
      <c r="O879" s="17"/>
      <c r="P879" s="17"/>
      <c r="Q879" s="17"/>
    </row>
    <row r="880">
      <c r="A880" s="17"/>
      <c r="B880" s="17"/>
      <c r="C880" s="17"/>
      <c r="D880" s="17"/>
      <c r="E880" s="17"/>
      <c r="F880" s="17"/>
      <c r="G880" s="17"/>
      <c r="H880" s="17"/>
      <c r="I880" s="17"/>
      <c r="J880" s="17"/>
      <c r="K880" s="17"/>
      <c r="L880" s="17"/>
      <c r="M880" s="17"/>
      <c r="N880" s="17"/>
      <c r="O880" s="17"/>
      <c r="P880" s="17"/>
      <c r="Q880" s="17"/>
    </row>
    <row r="881">
      <c r="A881" s="17"/>
      <c r="B881" s="17"/>
      <c r="C881" s="17"/>
      <c r="D881" s="17"/>
      <c r="E881" s="17"/>
      <c r="F881" s="17"/>
      <c r="G881" s="17"/>
      <c r="H881" s="17"/>
      <c r="I881" s="17"/>
      <c r="J881" s="17"/>
      <c r="K881" s="17"/>
      <c r="L881" s="17"/>
      <c r="M881" s="17"/>
      <c r="N881" s="17"/>
      <c r="O881" s="17"/>
      <c r="P881" s="17"/>
      <c r="Q881" s="17"/>
    </row>
    <row r="882">
      <c r="A882" s="17"/>
      <c r="B882" s="17"/>
      <c r="C882" s="17"/>
      <c r="D882" s="17"/>
      <c r="E882" s="17"/>
      <c r="F882" s="17"/>
      <c r="G882" s="17"/>
      <c r="H882" s="17"/>
      <c r="I882" s="17"/>
      <c r="J882" s="17"/>
      <c r="K882" s="17"/>
      <c r="L882" s="17"/>
      <c r="M882" s="17"/>
      <c r="N882" s="17"/>
      <c r="O882" s="17"/>
      <c r="P882" s="17"/>
      <c r="Q882" s="17"/>
    </row>
    <row r="883">
      <c r="A883" s="17"/>
      <c r="B883" s="17"/>
      <c r="C883" s="17"/>
      <c r="D883" s="17"/>
      <c r="E883" s="17"/>
      <c r="F883" s="17"/>
      <c r="G883" s="17"/>
      <c r="H883" s="17"/>
      <c r="I883" s="17"/>
      <c r="J883" s="17"/>
      <c r="K883" s="17"/>
      <c r="L883" s="17"/>
      <c r="M883" s="17"/>
      <c r="N883" s="17"/>
      <c r="O883" s="17"/>
      <c r="P883" s="17"/>
      <c r="Q883" s="17"/>
    </row>
    <row r="884">
      <c r="A884" s="17"/>
      <c r="B884" s="17"/>
      <c r="C884" s="17"/>
      <c r="D884" s="17"/>
      <c r="E884" s="17"/>
      <c r="F884" s="17"/>
      <c r="G884" s="17"/>
      <c r="H884" s="17"/>
      <c r="I884" s="17"/>
      <c r="J884" s="17"/>
      <c r="K884" s="17"/>
      <c r="L884" s="17"/>
      <c r="M884" s="17"/>
      <c r="N884" s="17"/>
      <c r="O884" s="17"/>
      <c r="P884" s="17"/>
      <c r="Q884" s="17"/>
    </row>
    <row r="885">
      <c r="A885" s="17"/>
      <c r="B885" s="17"/>
      <c r="C885" s="17"/>
      <c r="D885" s="17"/>
      <c r="E885" s="17"/>
      <c r="F885" s="17"/>
      <c r="G885" s="17"/>
      <c r="H885" s="17"/>
      <c r="I885" s="17"/>
      <c r="J885" s="17"/>
      <c r="K885" s="17"/>
      <c r="L885" s="17"/>
      <c r="M885" s="17"/>
      <c r="N885" s="17"/>
      <c r="O885" s="17"/>
      <c r="P885" s="17"/>
      <c r="Q885" s="17"/>
    </row>
    <row r="886">
      <c r="A886" s="17"/>
      <c r="B886" s="17"/>
      <c r="C886" s="17"/>
      <c r="D886" s="17"/>
      <c r="E886" s="17"/>
      <c r="F886" s="17"/>
      <c r="G886" s="17"/>
      <c r="H886" s="17"/>
      <c r="I886" s="17"/>
      <c r="J886" s="17"/>
      <c r="K886" s="17"/>
      <c r="L886" s="17"/>
      <c r="M886" s="17"/>
      <c r="N886" s="17"/>
      <c r="O886" s="17"/>
      <c r="P886" s="17"/>
      <c r="Q886" s="17"/>
    </row>
    <row r="887">
      <c r="A887" s="17"/>
      <c r="B887" s="17"/>
      <c r="C887" s="17"/>
      <c r="D887" s="17"/>
      <c r="E887" s="17"/>
      <c r="F887" s="17"/>
      <c r="G887" s="17"/>
      <c r="H887" s="17"/>
      <c r="I887" s="17"/>
      <c r="J887" s="17"/>
      <c r="K887" s="17"/>
      <c r="L887" s="17"/>
      <c r="M887" s="17"/>
      <c r="N887" s="17"/>
      <c r="O887" s="17"/>
      <c r="P887" s="17"/>
      <c r="Q887" s="17"/>
    </row>
    <row r="888">
      <c r="A888" s="17"/>
      <c r="B888" s="17"/>
      <c r="C888" s="17"/>
      <c r="D888" s="17"/>
      <c r="E888" s="17"/>
      <c r="F888" s="17"/>
      <c r="G888" s="17"/>
      <c r="H888" s="17"/>
      <c r="I888" s="17"/>
      <c r="J888" s="17"/>
      <c r="K888" s="17"/>
      <c r="L888" s="17"/>
      <c r="M888" s="17"/>
      <c r="N888" s="17"/>
      <c r="O888" s="17"/>
      <c r="P888" s="17"/>
      <c r="Q888" s="17"/>
    </row>
    <row r="889">
      <c r="A889" s="17"/>
      <c r="B889" s="17"/>
      <c r="C889" s="17"/>
      <c r="D889" s="17"/>
      <c r="E889" s="17"/>
      <c r="F889" s="17"/>
      <c r="G889" s="17"/>
      <c r="H889" s="17"/>
      <c r="I889" s="17"/>
      <c r="J889" s="17"/>
      <c r="K889" s="17"/>
      <c r="L889" s="17"/>
      <c r="M889" s="17"/>
      <c r="N889" s="17"/>
      <c r="O889" s="17"/>
      <c r="P889" s="17"/>
      <c r="Q889" s="17"/>
    </row>
    <row r="890">
      <c r="A890" s="17"/>
      <c r="B890" s="17"/>
      <c r="C890" s="17"/>
      <c r="D890" s="17"/>
      <c r="E890" s="17"/>
      <c r="F890" s="17"/>
      <c r="G890" s="17"/>
      <c r="H890" s="17"/>
      <c r="I890" s="17"/>
      <c r="J890" s="17"/>
      <c r="K890" s="17"/>
      <c r="L890" s="17"/>
      <c r="M890" s="17"/>
      <c r="N890" s="17"/>
      <c r="O890" s="17"/>
      <c r="P890" s="17"/>
      <c r="Q890" s="17"/>
    </row>
    <row r="891">
      <c r="A891" s="17"/>
      <c r="B891" s="17"/>
      <c r="C891" s="17"/>
      <c r="D891" s="17"/>
      <c r="E891" s="17"/>
      <c r="F891" s="17"/>
      <c r="G891" s="17"/>
      <c r="H891" s="17"/>
      <c r="I891" s="17"/>
      <c r="J891" s="17"/>
      <c r="K891" s="17"/>
      <c r="L891" s="17"/>
      <c r="M891" s="17"/>
      <c r="N891" s="17"/>
      <c r="O891" s="17"/>
      <c r="P891" s="17"/>
      <c r="Q891" s="17"/>
    </row>
    <row r="892">
      <c r="A892" s="17"/>
      <c r="B892" s="17"/>
      <c r="C892" s="17"/>
      <c r="D892" s="17"/>
      <c r="E892" s="17"/>
      <c r="F892" s="17"/>
      <c r="G892" s="17"/>
      <c r="H892" s="17"/>
      <c r="I892" s="17"/>
      <c r="J892" s="17"/>
      <c r="K892" s="17"/>
      <c r="L892" s="17"/>
      <c r="M892" s="17"/>
      <c r="N892" s="17"/>
      <c r="O892" s="17"/>
      <c r="P892" s="17"/>
      <c r="Q892" s="17"/>
    </row>
    <row r="893">
      <c r="A893" s="17"/>
      <c r="B893" s="17"/>
      <c r="C893" s="17"/>
      <c r="D893" s="17"/>
      <c r="E893" s="17"/>
      <c r="F893" s="17"/>
      <c r="G893" s="17"/>
      <c r="H893" s="17"/>
      <c r="I893" s="17"/>
      <c r="J893" s="17"/>
      <c r="K893" s="17"/>
      <c r="L893" s="17"/>
      <c r="M893" s="17"/>
      <c r="N893" s="17"/>
      <c r="O893" s="17"/>
      <c r="P893" s="17"/>
      <c r="Q893" s="17"/>
    </row>
    <row r="894">
      <c r="A894" s="17"/>
      <c r="B894" s="17"/>
      <c r="C894" s="17"/>
      <c r="D894" s="17"/>
      <c r="E894" s="17"/>
      <c r="F894" s="17"/>
      <c r="G894" s="17"/>
      <c r="H894" s="17"/>
      <c r="I894" s="17"/>
      <c r="J894" s="17"/>
      <c r="K894" s="17"/>
      <c r="L894" s="17"/>
      <c r="M894" s="17"/>
      <c r="N894" s="17"/>
      <c r="O894" s="17"/>
      <c r="P894" s="17"/>
      <c r="Q894" s="17"/>
    </row>
    <row r="895">
      <c r="A895" s="17"/>
      <c r="B895" s="17"/>
      <c r="C895" s="17"/>
      <c r="D895" s="17"/>
      <c r="E895" s="17"/>
      <c r="F895" s="17"/>
      <c r="G895" s="17"/>
      <c r="H895" s="17"/>
      <c r="I895" s="17"/>
      <c r="J895" s="17"/>
      <c r="K895" s="17"/>
      <c r="L895" s="17"/>
      <c r="M895" s="17"/>
      <c r="N895" s="17"/>
      <c r="O895" s="17"/>
      <c r="P895" s="17"/>
      <c r="Q895" s="17"/>
    </row>
    <row r="896">
      <c r="A896" s="17"/>
      <c r="B896" s="17"/>
      <c r="C896" s="17"/>
      <c r="D896" s="17"/>
      <c r="E896" s="17"/>
      <c r="F896" s="17"/>
      <c r="G896" s="17"/>
      <c r="H896" s="17"/>
      <c r="I896" s="17"/>
      <c r="J896" s="17"/>
      <c r="K896" s="17"/>
      <c r="L896" s="17"/>
      <c r="M896" s="17"/>
      <c r="N896" s="17"/>
      <c r="O896" s="17"/>
      <c r="P896" s="17"/>
      <c r="Q896" s="17"/>
    </row>
    <row r="897">
      <c r="A897" s="17"/>
      <c r="B897" s="17"/>
      <c r="C897" s="17"/>
      <c r="D897" s="17"/>
      <c r="E897" s="17"/>
      <c r="F897" s="17"/>
      <c r="G897" s="17"/>
      <c r="H897" s="17"/>
      <c r="I897" s="17"/>
      <c r="J897" s="17"/>
      <c r="K897" s="17"/>
      <c r="L897" s="17"/>
      <c r="M897" s="17"/>
      <c r="N897" s="17"/>
      <c r="O897" s="17"/>
      <c r="P897" s="17"/>
      <c r="Q897" s="17"/>
    </row>
    <row r="898">
      <c r="A898" s="17"/>
      <c r="B898" s="17"/>
      <c r="C898" s="17"/>
      <c r="D898" s="17"/>
      <c r="E898" s="17"/>
      <c r="F898" s="17"/>
      <c r="G898" s="17"/>
      <c r="H898" s="17"/>
      <c r="I898" s="17"/>
      <c r="J898" s="17"/>
      <c r="K898" s="17"/>
      <c r="L898" s="17"/>
      <c r="M898" s="17"/>
      <c r="N898" s="17"/>
      <c r="O898" s="17"/>
      <c r="P898" s="17"/>
      <c r="Q898" s="17"/>
    </row>
    <row r="899">
      <c r="A899" s="17"/>
      <c r="B899" s="17"/>
      <c r="C899" s="17"/>
      <c r="D899" s="17"/>
      <c r="E899" s="17"/>
      <c r="F899" s="17"/>
      <c r="G899" s="17"/>
      <c r="H899" s="17"/>
      <c r="I899" s="17"/>
      <c r="J899" s="17"/>
      <c r="K899" s="17"/>
      <c r="L899" s="17"/>
      <c r="M899" s="17"/>
      <c r="N899" s="17"/>
      <c r="O899" s="17"/>
      <c r="P899" s="17"/>
      <c r="Q899" s="17"/>
    </row>
    <row r="900">
      <c r="A900" s="17"/>
      <c r="B900" s="17"/>
      <c r="C900" s="17"/>
      <c r="D900" s="17"/>
      <c r="E900" s="17"/>
      <c r="F900" s="17"/>
      <c r="G900" s="17"/>
      <c r="H900" s="17"/>
      <c r="I900" s="17"/>
      <c r="J900" s="17"/>
      <c r="K900" s="17"/>
      <c r="L900" s="17"/>
      <c r="M900" s="17"/>
      <c r="N900" s="17"/>
      <c r="O900" s="17"/>
      <c r="P900" s="17"/>
      <c r="Q900" s="17"/>
    </row>
    <row r="901">
      <c r="A901" s="17"/>
      <c r="B901" s="17"/>
      <c r="C901" s="17"/>
      <c r="D901" s="17"/>
      <c r="E901" s="17"/>
      <c r="F901" s="17"/>
      <c r="G901" s="17"/>
      <c r="H901" s="17"/>
      <c r="I901" s="17"/>
      <c r="J901" s="17"/>
      <c r="K901" s="17"/>
      <c r="L901" s="17"/>
      <c r="M901" s="17"/>
      <c r="N901" s="17"/>
      <c r="O901" s="17"/>
      <c r="P901" s="17"/>
      <c r="Q901" s="17"/>
    </row>
    <row r="902">
      <c r="A902" s="17"/>
      <c r="B902" s="17"/>
      <c r="C902" s="17"/>
      <c r="D902" s="17"/>
      <c r="E902" s="17"/>
      <c r="F902" s="17"/>
      <c r="G902" s="17"/>
      <c r="H902" s="17"/>
      <c r="I902" s="17"/>
      <c r="J902" s="17"/>
      <c r="K902" s="17"/>
      <c r="L902" s="17"/>
      <c r="M902" s="17"/>
      <c r="N902" s="17"/>
      <c r="O902" s="17"/>
      <c r="P902" s="17"/>
      <c r="Q902" s="17"/>
    </row>
    <row r="903">
      <c r="A903" s="17"/>
      <c r="B903" s="17"/>
      <c r="C903" s="17"/>
      <c r="D903" s="17"/>
      <c r="E903" s="17"/>
      <c r="F903" s="17"/>
      <c r="G903" s="17"/>
      <c r="H903" s="17"/>
      <c r="I903" s="17"/>
      <c r="J903" s="17"/>
      <c r="K903" s="17"/>
      <c r="L903" s="17"/>
      <c r="M903" s="17"/>
      <c r="N903" s="17"/>
      <c r="O903" s="17"/>
      <c r="P903" s="17"/>
      <c r="Q903" s="17"/>
    </row>
    <row r="904">
      <c r="A904" s="17"/>
      <c r="B904" s="17"/>
      <c r="C904" s="17"/>
      <c r="D904" s="17"/>
      <c r="E904" s="17"/>
      <c r="F904" s="17"/>
      <c r="G904" s="17"/>
      <c r="H904" s="17"/>
      <c r="I904" s="17"/>
      <c r="J904" s="17"/>
      <c r="K904" s="17"/>
      <c r="L904" s="17"/>
      <c r="M904" s="17"/>
      <c r="N904" s="17"/>
      <c r="O904" s="17"/>
      <c r="P904" s="17"/>
      <c r="Q904" s="17"/>
    </row>
    <row r="905">
      <c r="A905" s="17"/>
      <c r="B905" s="17"/>
      <c r="C905" s="17"/>
      <c r="D905" s="17"/>
      <c r="E905" s="17"/>
      <c r="F905" s="17"/>
      <c r="G905" s="17"/>
      <c r="H905" s="17"/>
      <c r="I905" s="17"/>
      <c r="J905" s="17"/>
      <c r="K905" s="17"/>
      <c r="L905" s="17"/>
      <c r="M905" s="17"/>
      <c r="N905" s="17"/>
      <c r="O905" s="17"/>
      <c r="P905" s="17"/>
      <c r="Q905" s="17"/>
    </row>
    <row r="906">
      <c r="A906" s="17"/>
      <c r="B906" s="17"/>
      <c r="C906" s="17"/>
      <c r="D906" s="17"/>
      <c r="E906" s="17"/>
      <c r="F906" s="17"/>
      <c r="G906" s="17"/>
      <c r="H906" s="17"/>
      <c r="I906" s="17"/>
      <c r="J906" s="17"/>
      <c r="K906" s="17"/>
      <c r="L906" s="17"/>
      <c r="M906" s="17"/>
      <c r="N906" s="17"/>
      <c r="O906" s="17"/>
      <c r="P906" s="17"/>
      <c r="Q906" s="17"/>
    </row>
    <row r="907">
      <c r="A907" s="17"/>
      <c r="B907" s="17"/>
      <c r="C907" s="17"/>
      <c r="D907" s="17"/>
      <c r="E907" s="17"/>
      <c r="F907" s="17"/>
      <c r="G907" s="17"/>
      <c r="H907" s="17"/>
      <c r="I907" s="17"/>
      <c r="J907" s="17"/>
      <c r="K907" s="17"/>
      <c r="L907" s="17"/>
      <c r="M907" s="17"/>
      <c r="N907" s="17"/>
      <c r="O907" s="17"/>
      <c r="P907" s="17"/>
      <c r="Q907" s="17"/>
    </row>
    <row r="908">
      <c r="A908" s="17"/>
      <c r="B908" s="17"/>
      <c r="C908" s="17"/>
      <c r="D908" s="17"/>
      <c r="E908" s="17"/>
      <c r="F908" s="17"/>
      <c r="G908" s="17"/>
      <c r="H908" s="17"/>
      <c r="I908" s="17"/>
      <c r="J908" s="17"/>
      <c r="K908" s="17"/>
      <c r="L908" s="17"/>
      <c r="M908" s="17"/>
      <c r="N908" s="17"/>
      <c r="O908" s="17"/>
      <c r="P908" s="17"/>
      <c r="Q908" s="17"/>
    </row>
    <row r="909">
      <c r="A909" s="17"/>
      <c r="B909" s="17"/>
      <c r="C909" s="17"/>
      <c r="D909" s="17"/>
      <c r="E909" s="17"/>
      <c r="F909" s="17"/>
      <c r="G909" s="17"/>
      <c r="H909" s="17"/>
      <c r="I909" s="17"/>
      <c r="J909" s="17"/>
      <c r="K909" s="17"/>
      <c r="L909" s="17"/>
      <c r="M909" s="17"/>
      <c r="N909" s="17"/>
      <c r="O909" s="17"/>
      <c r="P909" s="17"/>
      <c r="Q909" s="17"/>
    </row>
    <row r="910">
      <c r="A910" s="17"/>
      <c r="B910" s="17"/>
      <c r="C910" s="17"/>
      <c r="D910" s="17"/>
      <c r="E910" s="17"/>
      <c r="F910" s="17"/>
      <c r="G910" s="17"/>
      <c r="H910" s="17"/>
      <c r="I910" s="17"/>
      <c r="J910" s="17"/>
      <c r="K910" s="17"/>
      <c r="L910" s="17"/>
      <c r="M910" s="17"/>
      <c r="N910" s="17"/>
      <c r="O910" s="17"/>
      <c r="P910" s="17"/>
      <c r="Q910" s="17"/>
    </row>
    <row r="911">
      <c r="A911" s="17"/>
      <c r="B911" s="17"/>
      <c r="C911" s="17"/>
      <c r="D911" s="17"/>
      <c r="E911" s="17"/>
      <c r="F911" s="17"/>
      <c r="G911" s="17"/>
      <c r="H911" s="17"/>
      <c r="I911" s="17"/>
      <c r="J911" s="17"/>
      <c r="K911" s="17"/>
      <c r="L911" s="17"/>
      <c r="M911" s="17"/>
      <c r="N911" s="17"/>
      <c r="O911" s="17"/>
      <c r="P911" s="17"/>
      <c r="Q911" s="17"/>
    </row>
    <row r="912">
      <c r="A912" s="17"/>
      <c r="B912" s="17"/>
      <c r="C912" s="17"/>
      <c r="D912" s="17"/>
      <c r="E912" s="17"/>
      <c r="F912" s="17"/>
      <c r="G912" s="17"/>
      <c r="H912" s="17"/>
      <c r="I912" s="17"/>
      <c r="J912" s="17"/>
      <c r="K912" s="17"/>
      <c r="L912" s="17"/>
      <c r="M912" s="17"/>
      <c r="N912" s="17"/>
      <c r="O912" s="17"/>
      <c r="P912" s="17"/>
      <c r="Q912" s="17"/>
    </row>
    <row r="913">
      <c r="A913" s="17"/>
      <c r="B913" s="17"/>
      <c r="C913" s="17"/>
      <c r="D913" s="17"/>
      <c r="E913" s="17"/>
      <c r="F913" s="17"/>
      <c r="G913" s="17"/>
      <c r="H913" s="17"/>
      <c r="I913" s="17"/>
      <c r="J913" s="17"/>
      <c r="K913" s="17"/>
      <c r="L913" s="17"/>
      <c r="M913" s="17"/>
      <c r="N913" s="17"/>
      <c r="O913" s="17"/>
      <c r="P913" s="17"/>
      <c r="Q913" s="17"/>
    </row>
    <row r="914">
      <c r="A914" s="17"/>
      <c r="B914" s="17"/>
      <c r="C914" s="17"/>
      <c r="D914" s="17"/>
      <c r="E914" s="17"/>
      <c r="F914" s="17"/>
      <c r="G914" s="17"/>
      <c r="H914" s="17"/>
      <c r="I914" s="17"/>
      <c r="J914" s="17"/>
      <c r="K914" s="17"/>
      <c r="L914" s="17"/>
      <c r="M914" s="17"/>
      <c r="N914" s="17"/>
      <c r="O914" s="17"/>
      <c r="P914" s="17"/>
      <c r="Q914" s="17"/>
    </row>
    <row r="915">
      <c r="A915" s="17"/>
      <c r="B915" s="17"/>
      <c r="C915" s="17"/>
      <c r="D915" s="17"/>
      <c r="E915" s="17"/>
      <c r="F915" s="17"/>
      <c r="G915" s="17"/>
      <c r="H915" s="17"/>
      <c r="I915" s="17"/>
      <c r="J915" s="17"/>
      <c r="K915" s="17"/>
      <c r="L915" s="17"/>
      <c r="M915" s="17"/>
      <c r="N915" s="17"/>
      <c r="O915" s="17"/>
      <c r="P915" s="17"/>
      <c r="Q915" s="17"/>
    </row>
    <row r="916">
      <c r="A916" s="17"/>
      <c r="B916" s="17"/>
      <c r="C916" s="17"/>
      <c r="D916" s="17"/>
      <c r="E916" s="17"/>
      <c r="F916" s="17"/>
      <c r="G916" s="17"/>
      <c r="H916" s="17"/>
      <c r="I916" s="17"/>
      <c r="J916" s="17"/>
      <c r="K916" s="17"/>
      <c r="L916" s="17"/>
      <c r="M916" s="17"/>
      <c r="N916" s="17"/>
      <c r="O916" s="17"/>
      <c r="P916" s="17"/>
      <c r="Q916" s="17"/>
    </row>
    <row r="917">
      <c r="A917" s="17"/>
      <c r="B917" s="17"/>
      <c r="C917" s="17"/>
      <c r="D917" s="17"/>
      <c r="E917" s="17"/>
      <c r="F917" s="17"/>
      <c r="G917" s="17"/>
      <c r="H917" s="17"/>
      <c r="I917" s="17"/>
      <c r="J917" s="17"/>
      <c r="K917" s="17"/>
      <c r="L917" s="17"/>
      <c r="M917" s="17"/>
      <c r="N917" s="17"/>
      <c r="O917" s="17"/>
      <c r="P917" s="17"/>
      <c r="Q917" s="17"/>
    </row>
    <row r="918">
      <c r="A918" s="17"/>
      <c r="B918" s="17"/>
      <c r="C918" s="17"/>
      <c r="D918" s="17"/>
      <c r="E918" s="17"/>
      <c r="F918" s="17"/>
      <c r="G918" s="17"/>
      <c r="H918" s="17"/>
      <c r="I918" s="17"/>
      <c r="J918" s="17"/>
      <c r="K918" s="17"/>
      <c r="L918" s="17"/>
      <c r="M918" s="17"/>
      <c r="N918" s="17"/>
      <c r="O918" s="17"/>
      <c r="P918" s="17"/>
      <c r="Q918" s="17"/>
    </row>
    <row r="919">
      <c r="A919" s="17"/>
      <c r="B919" s="17"/>
      <c r="C919" s="17"/>
      <c r="D919" s="17"/>
      <c r="E919" s="17"/>
      <c r="F919" s="17"/>
      <c r="G919" s="17"/>
      <c r="H919" s="17"/>
      <c r="I919" s="17"/>
      <c r="J919" s="17"/>
      <c r="K919" s="17"/>
      <c r="L919" s="17"/>
      <c r="M919" s="17"/>
      <c r="N919" s="17"/>
      <c r="O919" s="17"/>
      <c r="P919" s="17"/>
      <c r="Q919" s="17"/>
    </row>
    <row r="920">
      <c r="A920" s="17"/>
      <c r="B920" s="17"/>
      <c r="C920" s="17"/>
      <c r="D920" s="17"/>
      <c r="E920" s="17"/>
      <c r="F920" s="17"/>
      <c r="G920" s="17"/>
      <c r="H920" s="17"/>
      <c r="I920" s="17"/>
      <c r="J920" s="17"/>
      <c r="K920" s="17"/>
      <c r="L920" s="17"/>
      <c r="M920" s="17"/>
      <c r="N920" s="17"/>
      <c r="O920" s="17"/>
      <c r="P920" s="17"/>
      <c r="Q920" s="17"/>
    </row>
    <row r="921">
      <c r="A921" s="17"/>
      <c r="B921" s="17"/>
      <c r="C921" s="17"/>
      <c r="D921" s="17"/>
      <c r="E921" s="17"/>
      <c r="F921" s="17"/>
      <c r="G921" s="17"/>
      <c r="H921" s="17"/>
      <c r="I921" s="17"/>
      <c r="J921" s="17"/>
      <c r="K921" s="17"/>
      <c r="L921" s="17"/>
      <c r="M921" s="17"/>
      <c r="N921" s="17"/>
      <c r="O921" s="17"/>
      <c r="P921" s="17"/>
      <c r="Q921" s="17"/>
    </row>
    <row r="922">
      <c r="A922" s="17"/>
      <c r="B922" s="17"/>
      <c r="C922" s="17"/>
      <c r="D922" s="17"/>
      <c r="E922" s="17"/>
      <c r="F922" s="17"/>
      <c r="G922" s="17"/>
      <c r="H922" s="17"/>
      <c r="I922" s="17"/>
      <c r="J922" s="17"/>
      <c r="K922" s="17"/>
      <c r="L922" s="17"/>
      <c r="M922" s="17"/>
      <c r="N922" s="17"/>
      <c r="O922" s="17"/>
      <c r="P922" s="17"/>
      <c r="Q922" s="17"/>
    </row>
    <row r="923">
      <c r="A923" s="17"/>
      <c r="B923" s="17"/>
      <c r="C923" s="17"/>
      <c r="D923" s="17"/>
      <c r="E923" s="17"/>
      <c r="F923" s="17"/>
      <c r="G923" s="17"/>
      <c r="H923" s="17"/>
      <c r="I923" s="17"/>
      <c r="J923" s="17"/>
      <c r="K923" s="17"/>
      <c r="L923" s="17"/>
      <c r="M923" s="17"/>
      <c r="N923" s="17"/>
      <c r="O923" s="17"/>
      <c r="P923" s="17"/>
      <c r="Q923" s="17"/>
    </row>
    <row r="924">
      <c r="A924" s="17"/>
      <c r="B924" s="17"/>
      <c r="C924" s="17"/>
      <c r="D924" s="17"/>
      <c r="E924" s="17"/>
      <c r="F924" s="17"/>
      <c r="G924" s="17"/>
      <c r="H924" s="17"/>
      <c r="I924" s="17"/>
      <c r="J924" s="17"/>
      <c r="K924" s="17"/>
      <c r="L924" s="17"/>
      <c r="M924" s="17"/>
      <c r="N924" s="17"/>
      <c r="O924" s="17"/>
      <c r="P924" s="17"/>
      <c r="Q924" s="17"/>
    </row>
    <row r="925">
      <c r="A925" s="17"/>
      <c r="B925" s="17"/>
      <c r="C925" s="17"/>
      <c r="D925" s="17"/>
      <c r="E925" s="17"/>
      <c r="F925" s="17"/>
      <c r="G925" s="17"/>
      <c r="H925" s="17"/>
      <c r="I925" s="17"/>
      <c r="J925" s="17"/>
      <c r="K925" s="17"/>
      <c r="L925" s="17"/>
      <c r="M925" s="17"/>
      <c r="N925" s="17"/>
      <c r="O925" s="17"/>
      <c r="P925" s="17"/>
      <c r="Q925" s="17"/>
    </row>
    <row r="926">
      <c r="A926" s="17"/>
      <c r="B926" s="17"/>
      <c r="C926" s="17"/>
      <c r="D926" s="17"/>
      <c r="E926" s="17"/>
      <c r="F926" s="17"/>
      <c r="G926" s="17"/>
      <c r="H926" s="17"/>
      <c r="I926" s="17"/>
      <c r="J926" s="17"/>
      <c r="K926" s="17"/>
      <c r="L926" s="17"/>
      <c r="M926" s="17"/>
      <c r="N926" s="17"/>
      <c r="O926" s="17"/>
      <c r="P926" s="17"/>
      <c r="Q926" s="17"/>
    </row>
    <row r="927">
      <c r="A927" s="17"/>
      <c r="B927" s="17"/>
      <c r="C927" s="17"/>
      <c r="D927" s="17"/>
      <c r="E927" s="17"/>
      <c r="F927" s="17"/>
      <c r="G927" s="17"/>
      <c r="H927" s="17"/>
      <c r="I927" s="17"/>
      <c r="J927" s="17"/>
      <c r="K927" s="17"/>
      <c r="L927" s="17"/>
      <c r="M927" s="17"/>
      <c r="N927" s="17"/>
      <c r="O927" s="17"/>
      <c r="P927" s="17"/>
      <c r="Q927" s="17"/>
    </row>
    <row r="928">
      <c r="A928" s="17"/>
      <c r="B928" s="17"/>
      <c r="C928" s="17"/>
      <c r="D928" s="17"/>
      <c r="E928" s="17"/>
      <c r="F928" s="17"/>
      <c r="G928" s="17"/>
      <c r="H928" s="17"/>
      <c r="I928" s="17"/>
      <c r="J928" s="17"/>
      <c r="K928" s="17"/>
      <c r="L928" s="17"/>
      <c r="M928" s="17"/>
      <c r="N928" s="17"/>
      <c r="O928" s="17"/>
      <c r="P928" s="17"/>
      <c r="Q928" s="17"/>
    </row>
    <row r="929">
      <c r="A929" s="17"/>
      <c r="B929" s="17"/>
      <c r="C929" s="17"/>
      <c r="D929" s="17"/>
      <c r="E929" s="17"/>
      <c r="F929" s="17"/>
      <c r="G929" s="17"/>
      <c r="H929" s="17"/>
      <c r="I929" s="17"/>
      <c r="J929" s="17"/>
      <c r="K929" s="17"/>
      <c r="L929" s="17"/>
      <c r="M929" s="17"/>
      <c r="N929" s="17"/>
      <c r="O929" s="17"/>
      <c r="P929" s="17"/>
      <c r="Q929" s="17"/>
    </row>
    <row r="930">
      <c r="A930" s="17"/>
      <c r="B930" s="17"/>
      <c r="C930" s="17"/>
      <c r="D930" s="17"/>
      <c r="E930" s="17"/>
      <c r="F930" s="17"/>
      <c r="G930" s="17"/>
      <c r="H930" s="17"/>
      <c r="I930" s="17"/>
      <c r="J930" s="17"/>
      <c r="K930" s="17"/>
      <c r="L930" s="17"/>
      <c r="M930" s="17"/>
      <c r="N930" s="17"/>
      <c r="O930" s="17"/>
      <c r="P930" s="17"/>
      <c r="Q930" s="17"/>
    </row>
    <row r="931">
      <c r="A931" s="17"/>
      <c r="B931" s="17"/>
      <c r="C931" s="17"/>
      <c r="D931" s="17"/>
      <c r="E931" s="17"/>
      <c r="F931" s="17"/>
      <c r="G931" s="17"/>
      <c r="H931" s="17"/>
      <c r="I931" s="17"/>
      <c r="J931" s="17"/>
      <c r="K931" s="17"/>
      <c r="L931" s="17"/>
      <c r="M931" s="17"/>
      <c r="N931" s="17"/>
      <c r="O931" s="17"/>
      <c r="P931" s="17"/>
      <c r="Q931" s="17"/>
    </row>
    <row r="932">
      <c r="A932" s="17"/>
      <c r="B932" s="17"/>
      <c r="C932" s="17"/>
      <c r="D932" s="17"/>
      <c r="E932" s="17"/>
      <c r="F932" s="17"/>
      <c r="G932" s="17"/>
      <c r="H932" s="17"/>
      <c r="I932" s="17"/>
      <c r="J932" s="17"/>
      <c r="K932" s="17"/>
      <c r="L932" s="17"/>
      <c r="M932" s="17"/>
      <c r="N932" s="17"/>
      <c r="O932" s="17"/>
      <c r="P932" s="17"/>
      <c r="Q932" s="17"/>
    </row>
    <row r="933">
      <c r="A933" s="17"/>
      <c r="B933" s="17"/>
      <c r="C933" s="17"/>
      <c r="D933" s="17"/>
      <c r="E933" s="17"/>
      <c r="F933" s="17"/>
      <c r="G933" s="17"/>
      <c r="H933" s="17"/>
      <c r="I933" s="17"/>
      <c r="J933" s="17"/>
      <c r="K933" s="17"/>
      <c r="L933" s="17"/>
      <c r="M933" s="17"/>
      <c r="N933" s="17"/>
      <c r="O933" s="17"/>
      <c r="P933" s="17"/>
      <c r="Q933" s="17"/>
    </row>
    <row r="934">
      <c r="A934" s="17"/>
      <c r="B934" s="17"/>
      <c r="C934" s="17"/>
      <c r="D934" s="17"/>
      <c r="E934" s="17"/>
      <c r="F934" s="17"/>
      <c r="G934" s="17"/>
      <c r="H934" s="17"/>
      <c r="I934" s="17"/>
      <c r="J934" s="17"/>
      <c r="K934" s="17"/>
      <c r="L934" s="17"/>
      <c r="M934" s="17"/>
      <c r="N934" s="17"/>
      <c r="O934" s="17"/>
      <c r="P934" s="17"/>
      <c r="Q934" s="17"/>
    </row>
    <row r="935">
      <c r="A935" s="17"/>
      <c r="B935" s="17"/>
      <c r="C935" s="17"/>
      <c r="D935" s="17"/>
      <c r="E935" s="17"/>
      <c r="F935" s="17"/>
      <c r="G935" s="17"/>
      <c r="H935" s="17"/>
      <c r="I935" s="17"/>
      <c r="J935" s="17"/>
      <c r="K935" s="17"/>
      <c r="L935" s="17"/>
      <c r="M935" s="17"/>
      <c r="N935" s="17"/>
      <c r="O935" s="17"/>
      <c r="P935" s="17"/>
      <c r="Q935" s="17"/>
    </row>
    <row r="936">
      <c r="A936" s="17"/>
      <c r="B936" s="17"/>
      <c r="C936" s="17"/>
      <c r="D936" s="17"/>
      <c r="E936" s="17"/>
      <c r="F936" s="17"/>
      <c r="G936" s="17"/>
      <c r="H936" s="17"/>
      <c r="I936" s="17"/>
      <c r="J936" s="17"/>
      <c r="K936" s="17"/>
      <c r="L936" s="17"/>
      <c r="M936" s="17"/>
      <c r="N936" s="17"/>
      <c r="O936" s="17"/>
      <c r="P936" s="17"/>
      <c r="Q936" s="17"/>
    </row>
    <row r="937">
      <c r="A937" s="17"/>
      <c r="B937" s="17"/>
      <c r="C937" s="17"/>
      <c r="D937" s="17"/>
      <c r="E937" s="17"/>
      <c r="F937" s="17"/>
      <c r="G937" s="17"/>
      <c r="H937" s="17"/>
      <c r="I937" s="17"/>
      <c r="J937" s="17"/>
      <c r="K937" s="17"/>
      <c r="L937" s="17"/>
      <c r="M937" s="17"/>
      <c r="N937" s="17"/>
      <c r="O937" s="17"/>
      <c r="P937" s="17"/>
      <c r="Q937" s="17"/>
    </row>
    <row r="938">
      <c r="A938" s="17"/>
      <c r="B938" s="17"/>
      <c r="C938" s="17"/>
      <c r="D938" s="17"/>
      <c r="E938" s="17"/>
      <c r="F938" s="17"/>
      <c r="G938" s="17"/>
      <c r="H938" s="17"/>
      <c r="I938" s="17"/>
      <c r="J938" s="17"/>
      <c r="K938" s="17"/>
      <c r="L938" s="17"/>
      <c r="M938" s="17"/>
      <c r="N938" s="17"/>
      <c r="O938" s="17"/>
      <c r="P938" s="17"/>
      <c r="Q938" s="17"/>
    </row>
    <row r="939">
      <c r="A939" s="17"/>
      <c r="B939" s="17"/>
      <c r="C939" s="17"/>
      <c r="D939" s="17"/>
      <c r="E939" s="17"/>
      <c r="F939" s="17"/>
      <c r="G939" s="17"/>
      <c r="H939" s="17"/>
      <c r="I939" s="17"/>
      <c r="J939" s="17"/>
      <c r="K939" s="17"/>
      <c r="L939" s="17"/>
      <c r="M939" s="17"/>
      <c r="N939" s="17"/>
      <c r="O939" s="17"/>
      <c r="P939" s="17"/>
      <c r="Q939" s="17"/>
    </row>
    <row r="940">
      <c r="A940" s="17"/>
      <c r="B940" s="17"/>
      <c r="C940" s="17"/>
      <c r="D940" s="17"/>
      <c r="E940" s="17"/>
      <c r="F940" s="17"/>
      <c r="G940" s="17"/>
      <c r="H940" s="17"/>
      <c r="I940" s="17"/>
      <c r="J940" s="17"/>
      <c r="K940" s="17"/>
      <c r="L940" s="17"/>
      <c r="M940" s="17"/>
      <c r="N940" s="17"/>
      <c r="O940" s="17"/>
      <c r="P940" s="17"/>
      <c r="Q940" s="17"/>
    </row>
    <row r="941">
      <c r="A941" s="17"/>
      <c r="B941" s="17"/>
      <c r="C941" s="17"/>
      <c r="D941" s="17"/>
      <c r="E941" s="17"/>
      <c r="F941" s="17"/>
      <c r="G941" s="17"/>
      <c r="H941" s="17"/>
      <c r="I941" s="17"/>
      <c r="J941" s="17"/>
      <c r="K941" s="17"/>
      <c r="L941" s="17"/>
      <c r="M941" s="17"/>
      <c r="N941" s="17"/>
      <c r="O941" s="17"/>
      <c r="P941" s="17"/>
      <c r="Q941" s="17"/>
    </row>
    <row r="942">
      <c r="A942" s="17"/>
      <c r="B942" s="17"/>
      <c r="C942" s="17"/>
      <c r="D942" s="17"/>
      <c r="E942" s="17"/>
      <c r="F942" s="17"/>
      <c r="G942" s="17"/>
      <c r="H942" s="17"/>
      <c r="I942" s="17"/>
      <c r="J942" s="17"/>
      <c r="K942" s="17"/>
      <c r="L942" s="17"/>
      <c r="M942" s="17"/>
      <c r="N942" s="17"/>
      <c r="O942" s="17"/>
      <c r="P942" s="17"/>
      <c r="Q942" s="17"/>
    </row>
    <row r="943">
      <c r="A943" s="17"/>
      <c r="B943" s="17"/>
      <c r="C943" s="17"/>
      <c r="D943" s="17"/>
      <c r="E943" s="17"/>
      <c r="F943" s="17"/>
      <c r="G943" s="17"/>
      <c r="H943" s="17"/>
      <c r="I943" s="17"/>
      <c r="J943" s="17"/>
      <c r="K943" s="17"/>
      <c r="L943" s="17"/>
      <c r="M943" s="17"/>
      <c r="N943" s="17"/>
      <c r="O943" s="17"/>
      <c r="P943" s="17"/>
      <c r="Q943" s="17"/>
    </row>
    <row r="944">
      <c r="A944" s="17"/>
      <c r="B944" s="17"/>
      <c r="C944" s="17"/>
      <c r="D944" s="17"/>
      <c r="E944" s="17"/>
      <c r="F944" s="17"/>
      <c r="G944" s="17"/>
      <c r="H944" s="17"/>
      <c r="I944" s="17"/>
      <c r="J944" s="17"/>
      <c r="K944" s="17"/>
      <c r="L944" s="17"/>
      <c r="M944" s="17"/>
      <c r="N944" s="17"/>
      <c r="O944" s="17"/>
      <c r="P944" s="17"/>
      <c r="Q944" s="17"/>
    </row>
    <row r="945">
      <c r="A945" s="17"/>
      <c r="B945" s="17"/>
      <c r="C945" s="17"/>
      <c r="D945" s="17"/>
      <c r="E945" s="17"/>
      <c r="F945" s="17"/>
      <c r="G945" s="17"/>
      <c r="H945" s="17"/>
      <c r="I945" s="17"/>
      <c r="J945" s="17"/>
      <c r="K945" s="17"/>
      <c r="L945" s="17"/>
      <c r="M945" s="17"/>
      <c r="N945" s="17"/>
      <c r="O945" s="17"/>
      <c r="P945" s="17"/>
      <c r="Q945" s="17"/>
    </row>
    <row r="946">
      <c r="A946" s="17"/>
      <c r="B946" s="17"/>
      <c r="C946" s="17"/>
      <c r="D946" s="17"/>
      <c r="E946" s="17"/>
      <c r="F946" s="17"/>
      <c r="G946" s="17"/>
      <c r="H946" s="17"/>
      <c r="I946" s="17"/>
      <c r="J946" s="17"/>
      <c r="K946" s="17"/>
      <c r="L946" s="17"/>
      <c r="M946" s="17"/>
      <c r="N946" s="17"/>
      <c r="O946" s="17"/>
      <c r="P946" s="17"/>
      <c r="Q946" s="17"/>
    </row>
    <row r="947">
      <c r="A947" s="17"/>
      <c r="B947" s="17"/>
      <c r="C947" s="17"/>
      <c r="D947" s="17"/>
      <c r="E947" s="17"/>
      <c r="F947" s="17"/>
      <c r="G947" s="17"/>
      <c r="H947" s="17"/>
      <c r="I947" s="17"/>
      <c r="J947" s="17"/>
      <c r="K947" s="17"/>
      <c r="L947" s="17"/>
      <c r="M947" s="17"/>
      <c r="N947" s="17"/>
      <c r="O947" s="17"/>
      <c r="P947" s="17"/>
      <c r="Q947" s="17"/>
    </row>
    <row r="948">
      <c r="A948" s="17"/>
      <c r="B948" s="17"/>
      <c r="C948" s="17"/>
      <c r="D948" s="17"/>
      <c r="E948" s="17"/>
      <c r="F948" s="17"/>
      <c r="G948" s="17"/>
      <c r="H948" s="17"/>
      <c r="I948" s="17"/>
      <c r="J948" s="17"/>
      <c r="K948" s="17"/>
      <c r="L948" s="17"/>
      <c r="M948" s="17"/>
      <c r="N948" s="17"/>
      <c r="O948" s="17"/>
      <c r="P948" s="17"/>
      <c r="Q948" s="17"/>
    </row>
    <row r="949">
      <c r="A949" s="17"/>
      <c r="B949" s="17"/>
      <c r="C949" s="17"/>
      <c r="D949" s="17"/>
      <c r="E949" s="17"/>
      <c r="F949" s="17"/>
      <c r="G949" s="17"/>
      <c r="H949" s="17"/>
      <c r="I949" s="17"/>
      <c r="J949" s="17"/>
      <c r="K949" s="17"/>
      <c r="L949" s="17"/>
      <c r="M949" s="17"/>
      <c r="N949" s="17"/>
      <c r="O949" s="17"/>
      <c r="P949" s="17"/>
      <c r="Q949" s="17"/>
    </row>
    <row r="950">
      <c r="A950" s="17"/>
      <c r="B950" s="17"/>
      <c r="C950" s="17"/>
      <c r="D950" s="17"/>
      <c r="E950" s="17"/>
      <c r="F950" s="17"/>
      <c r="G950" s="17"/>
      <c r="H950" s="17"/>
      <c r="I950" s="17"/>
      <c r="J950" s="17"/>
      <c r="K950" s="17"/>
      <c r="L950" s="17"/>
      <c r="M950" s="17"/>
      <c r="N950" s="17"/>
      <c r="O950" s="17"/>
      <c r="P950" s="17"/>
      <c r="Q950" s="17"/>
    </row>
    <row r="951">
      <c r="A951" s="17"/>
      <c r="B951" s="17"/>
      <c r="C951" s="17"/>
      <c r="D951" s="17"/>
      <c r="E951" s="17"/>
      <c r="F951" s="17"/>
      <c r="G951" s="17"/>
      <c r="H951" s="17"/>
      <c r="I951" s="17"/>
      <c r="J951" s="17"/>
      <c r="K951" s="17"/>
      <c r="L951" s="17"/>
      <c r="M951" s="17"/>
      <c r="N951" s="17"/>
      <c r="O951" s="17"/>
      <c r="P951" s="17"/>
      <c r="Q951" s="17"/>
    </row>
    <row r="952">
      <c r="A952" s="17"/>
      <c r="B952" s="17"/>
      <c r="C952" s="17"/>
      <c r="D952" s="17"/>
      <c r="E952" s="17"/>
      <c r="F952" s="17"/>
      <c r="G952" s="17"/>
      <c r="H952" s="17"/>
      <c r="I952" s="17"/>
      <c r="J952" s="17"/>
      <c r="K952" s="17"/>
      <c r="L952" s="17"/>
      <c r="M952" s="17"/>
      <c r="N952" s="17"/>
      <c r="O952" s="17"/>
      <c r="P952" s="17"/>
      <c r="Q952" s="17"/>
    </row>
    <row r="953">
      <c r="A953" s="17"/>
      <c r="B953" s="17"/>
      <c r="C953" s="17"/>
      <c r="D953" s="17"/>
      <c r="E953" s="17"/>
      <c r="F953" s="17"/>
      <c r="G953" s="17"/>
      <c r="H953" s="17"/>
      <c r="I953" s="17"/>
      <c r="J953" s="17"/>
      <c r="K953" s="17"/>
      <c r="L953" s="17"/>
      <c r="M953" s="17"/>
      <c r="N953" s="17"/>
      <c r="O953" s="17"/>
      <c r="P953" s="17"/>
      <c r="Q953" s="17"/>
    </row>
    <row r="954">
      <c r="A954" s="17"/>
      <c r="B954" s="17"/>
      <c r="C954" s="17"/>
      <c r="D954" s="17"/>
      <c r="E954" s="17"/>
      <c r="F954" s="17"/>
      <c r="G954" s="17"/>
      <c r="H954" s="17"/>
      <c r="I954" s="17"/>
      <c r="J954" s="17"/>
      <c r="K954" s="17"/>
      <c r="L954" s="17"/>
      <c r="M954" s="17"/>
      <c r="N954" s="17"/>
      <c r="O954" s="17"/>
      <c r="P954" s="17"/>
      <c r="Q954" s="17"/>
    </row>
    <row r="955">
      <c r="A955" s="17"/>
      <c r="B955" s="17"/>
      <c r="C955" s="17"/>
      <c r="D955" s="17"/>
      <c r="E955" s="17"/>
      <c r="F955" s="17"/>
      <c r="G955" s="17"/>
      <c r="H955" s="17"/>
      <c r="I955" s="17"/>
      <c r="J955" s="17"/>
      <c r="K955" s="17"/>
      <c r="L955" s="17"/>
      <c r="M955" s="17"/>
      <c r="N955" s="17"/>
      <c r="O955" s="17"/>
      <c r="P955" s="17"/>
      <c r="Q955" s="17"/>
    </row>
    <row r="956">
      <c r="A956" s="17"/>
      <c r="B956" s="17"/>
      <c r="C956" s="17"/>
      <c r="D956" s="17"/>
      <c r="E956" s="17"/>
      <c r="F956" s="17"/>
      <c r="G956" s="17"/>
      <c r="H956" s="17"/>
      <c r="I956" s="17"/>
      <c r="J956" s="17"/>
      <c r="K956" s="17"/>
      <c r="L956" s="17"/>
      <c r="M956" s="17"/>
      <c r="N956" s="17"/>
      <c r="O956" s="17"/>
      <c r="P956" s="17"/>
      <c r="Q956" s="17"/>
    </row>
    <row r="957">
      <c r="A957" s="17"/>
      <c r="B957" s="17"/>
      <c r="C957" s="17"/>
      <c r="D957" s="17"/>
      <c r="E957" s="17"/>
      <c r="F957" s="17"/>
      <c r="G957" s="17"/>
      <c r="H957" s="17"/>
      <c r="I957" s="17"/>
      <c r="J957" s="17"/>
      <c r="K957" s="17"/>
      <c r="L957" s="17"/>
      <c r="M957" s="17"/>
      <c r="N957" s="17"/>
      <c r="O957" s="17"/>
      <c r="P957" s="17"/>
      <c r="Q957" s="17"/>
    </row>
    <row r="958">
      <c r="A958" s="17"/>
      <c r="B958" s="17"/>
      <c r="C958" s="17"/>
      <c r="D958" s="17"/>
      <c r="E958" s="17"/>
      <c r="F958" s="17"/>
      <c r="G958" s="17"/>
      <c r="H958" s="17"/>
      <c r="I958" s="17"/>
      <c r="J958" s="17"/>
      <c r="K958" s="17"/>
      <c r="L958" s="17"/>
      <c r="M958" s="17"/>
      <c r="N958" s="17"/>
      <c r="O958" s="17"/>
      <c r="P958" s="17"/>
      <c r="Q958" s="17"/>
    </row>
    <row r="959">
      <c r="A959" s="17"/>
      <c r="B959" s="17"/>
      <c r="C959" s="17"/>
      <c r="D959" s="17"/>
      <c r="E959" s="17"/>
      <c r="F959" s="17"/>
      <c r="G959" s="17"/>
      <c r="H959" s="17"/>
      <c r="I959" s="17"/>
      <c r="J959" s="17"/>
      <c r="K959" s="17"/>
      <c r="L959" s="17"/>
      <c r="M959" s="17"/>
      <c r="N959" s="17"/>
      <c r="O959" s="17"/>
      <c r="P959" s="17"/>
      <c r="Q959" s="17"/>
    </row>
    <row r="960">
      <c r="A960" s="17"/>
      <c r="B960" s="17"/>
      <c r="C960" s="17"/>
      <c r="D960" s="17"/>
      <c r="E960" s="17"/>
      <c r="F960" s="17"/>
      <c r="G960" s="17"/>
      <c r="H960" s="17"/>
      <c r="I960" s="17"/>
      <c r="J960" s="17"/>
      <c r="K960" s="17"/>
      <c r="L960" s="17"/>
      <c r="M960" s="17"/>
      <c r="N960" s="17"/>
      <c r="O960" s="17"/>
      <c r="P960" s="17"/>
      <c r="Q960" s="17"/>
    </row>
    <row r="961">
      <c r="A961" s="17"/>
      <c r="B961" s="17"/>
      <c r="C961" s="17"/>
      <c r="D961" s="17"/>
      <c r="E961" s="17"/>
      <c r="F961" s="17"/>
      <c r="G961" s="17"/>
      <c r="H961" s="17"/>
      <c r="I961" s="17"/>
      <c r="J961" s="17"/>
      <c r="K961" s="17"/>
      <c r="L961" s="17"/>
      <c r="M961" s="17"/>
      <c r="N961" s="17"/>
      <c r="O961" s="17"/>
      <c r="P961" s="17"/>
      <c r="Q961" s="17"/>
    </row>
    <row r="962">
      <c r="A962" s="17"/>
      <c r="B962" s="17"/>
      <c r="C962" s="17"/>
      <c r="D962" s="17"/>
      <c r="E962" s="17"/>
      <c r="F962" s="17"/>
      <c r="G962" s="17"/>
      <c r="H962" s="17"/>
      <c r="I962" s="17"/>
      <c r="J962" s="17"/>
      <c r="K962" s="17"/>
      <c r="L962" s="17"/>
      <c r="M962" s="17"/>
      <c r="N962" s="17"/>
      <c r="O962" s="17"/>
      <c r="P962" s="17"/>
      <c r="Q962" s="17"/>
    </row>
    <row r="963">
      <c r="A963" s="17"/>
      <c r="B963" s="17"/>
      <c r="C963" s="17"/>
      <c r="D963" s="17"/>
      <c r="E963" s="17"/>
      <c r="F963" s="17"/>
      <c r="G963" s="17"/>
      <c r="H963" s="17"/>
      <c r="I963" s="17"/>
      <c r="J963" s="17"/>
      <c r="K963" s="17"/>
      <c r="L963" s="17"/>
      <c r="M963" s="17"/>
      <c r="N963" s="17"/>
      <c r="O963" s="17"/>
      <c r="P963" s="17"/>
      <c r="Q963" s="17"/>
    </row>
    <row r="964">
      <c r="A964" s="17"/>
      <c r="B964" s="17"/>
      <c r="C964" s="17"/>
      <c r="D964" s="17"/>
      <c r="E964" s="17"/>
      <c r="F964" s="17"/>
      <c r="G964" s="17"/>
      <c r="H964" s="17"/>
      <c r="I964" s="17"/>
      <c r="J964" s="17"/>
      <c r="K964" s="17"/>
      <c r="L964" s="17"/>
      <c r="M964" s="17"/>
      <c r="N964" s="17"/>
      <c r="O964" s="17"/>
      <c r="P964" s="17"/>
      <c r="Q964" s="17"/>
    </row>
    <row r="965">
      <c r="A965" s="17"/>
      <c r="B965" s="17"/>
      <c r="C965" s="17"/>
      <c r="D965" s="17"/>
      <c r="E965" s="17"/>
      <c r="F965" s="17"/>
      <c r="G965" s="17"/>
      <c r="H965" s="17"/>
      <c r="I965" s="17"/>
      <c r="J965" s="17"/>
      <c r="K965" s="17"/>
      <c r="L965" s="17"/>
      <c r="M965" s="17"/>
      <c r="N965" s="17"/>
      <c r="O965" s="17"/>
      <c r="P965" s="17"/>
      <c r="Q965" s="17"/>
    </row>
    <row r="966">
      <c r="A966" s="17"/>
      <c r="B966" s="17"/>
      <c r="C966" s="17"/>
      <c r="D966" s="17"/>
      <c r="E966" s="17"/>
      <c r="F966" s="17"/>
      <c r="G966" s="17"/>
      <c r="H966" s="17"/>
      <c r="I966" s="17"/>
      <c r="J966" s="17"/>
      <c r="K966" s="17"/>
      <c r="L966" s="17"/>
      <c r="M966" s="17"/>
      <c r="N966" s="17"/>
      <c r="O966" s="17"/>
      <c r="P966" s="17"/>
      <c r="Q966" s="17"/>
    </row>
    <row r="967">
      <c r="A967" s="17"/>
      <c r="B967" s="17"/>
      <c r="C967" s="17"/>
      <c r="D967" s="17"/>
      <c r="E967" s="17"/>
      <c r="F967" s="17"/>
      <c r="G967" s="17"/>
      <c r="H967" s="17"/>
      <c r="I967" s="17"/>
      <c r="J967" s="17"/>
      <c r="K967" s="17"/>
      <c r="L967" s="17"/>
      <c r="M967" s="17"/>
      <c r="N967" s="17"/>
      <c r="O967" s="17"/>
      <c r="P967" s="17"/>
      <c r="Q967" s="17"/>
    </row>
    <row r="968">
      <c r="A968" s="17"/>
      <c r="B968" s="17"/>
      <c r="C968" s="17"/>
      <c r="D968" s="17"/>
      <c r="E968" s="17"/>
      <c r="F968" s="17"/>
      <c r="G968" s="17"/>
      <c r="H968" s="17"/>
      <c r="I968" s="17"/>
      <c r="J968" s="17"/>
      <c r="K968" s="17"/>
      <c r="L968" s="17"/>
      <c r="M968" s="17"/>
      <c r="N968" s="17"/>
      <c r="O968" s="17"/>
      <c r="P968" s="17"/>
      <c r="Q968" s="17"/>
    </row>
    <row r="969">
      <c r="A969" s="17"/>
      <c r="B969" s="17"/>
      <c r="C969" s="17"/>
      <c r="D969" s="17"/>
      <c r="E969" s="17"/>
      <c r="F969" s="17"/>
      <c r="G969" s="17"/>
      <c r="H969" s="17"/>
      <c r="I969" s="17"/>
      <c r="J969" s="17"/>
      <c r="K969" s="17"/>
      <c r="L969" s="17"/>
      <c r="M969" s="17"/>
      <c r="N969" s="17"/>
      <c r="O969" s="17"/>
      <c r="P969" s="17"/>
      <c r="Q969" s="17"/>
    </row>
    <row r="970">
      <c r="A970" s="17"/>
      <c r="B970" s="17"/>
      <c r="C970" s="17"/>
      <c r="D970" s="17"/>
      <c r="E970" s="17"/>
      <c r="F970" s="17"/>
      <c r="G970" s="17"/>
      <c r="H970" s="17"/>
      <c r="I970" s="17"/>
      <c r="J970" s="17"/>
      <c r="K970" s="17"/>
      <c r="L970" s="17"/>
      <c r="M970" s="17"/>
      <c r="N970" s="17"/>
      <c r="O970" s="17"/>
      <c r="P970" s="17"/>
      <c r="Q970" s="17"/>
    </row>
    <row r="971">
      <c r="A971" s="17"/>
      <c r="B971" s="17"/>
      <c r="C971" s="17"/>
      <c r="D971" s="17"/>
      <c r="E971" s="17"/>
      <c r="F971" s="17"/>
      <c r="G971" s="17"/>
      <c r="H971" s="17"/>
      <c r="I971" s="17"/>
      <c r="J971" s="17"/>
      <c r="K971" s="17"/>
      <c r="L971" s="17"/>
      <c r="M971" s="17"/>
      <c r="N971" s="17"/>
      <c r="O971" s="17"/>
      <c r="P971" s="17"/>
      <c r="Q971" s="17"/>
    </row>
    <row r="972">
      <c r="A972" s="17"/>
      <c r="B972" s="17"/>
      <c r="C972" s="17"/>
      <c r="D972" s="17"/>
      <c r="E972" s="17"/>
      <c r="F972" s="17"/>
      <c r="G972" s="17"/>
      <c r="H972" s="17"/>
      <c r="I972" s="17"/>
      <c r="J972" s="17"/>
      <c r="K972" s="17"/>
      <c r="L972" s="17"/>
      <c r="M972" s="17"/>
      <c r="N972" s="17"/>
      <c r="O972" s="17"/>
      <c r="P972" s="17"/>
      <c r="Q972" s="17"/>
    </row>
    <row r="973">
      <c r="A973" s="17"/>
      <c r="B973" s="17"/>
      <c r="C973" s="17"/>
      <c r="D973" s="17"/>
      <c r="E973" s="17"/>
      <c r="F973" s="17"/>
      <c r="G973" s="17"/>
      <c r="H973" s="17"/>
      <c r="I973" s="17"/>
      <c r="J973" s="17"/>
      <c r="K973" s="17"/>
      <c r="L973" s="17"/>
      <c r="M973" s="17"/>
      <c r="N973" s="17"/>
      <c r="O973" s="17"/>
      <c r="P973" s="17"/>
      <c r="Q973" s="17"/>
    </row>
    <row r="974">
      <c r="A974" s="17"/>
      <c r="B974" s="17"/>
      <c r="C974" s="17"/>
      <c r="D974" s="17"/>
      <c r="E974" s="17"/>
      <c r="F974" s="17"/>
      <c r="G974" s="17"/>
      <c r="H974" s="17"/>
      <c r="I974" s="17"/>
      <c r="J974" s="17"/>
      <c r="K974" s="17"/>
      <c r="L974" s="17"/>
      <c r="M974" s="17"/>
      <c r="N974" s="17"/>
      <c r="O974" s="17"/>
      <c r="P974" s="17"/>
      <c r="Q974" s="17"/>
    </row>
    <row r="975">
      <c r="A975" s="17"/>
      <c r="B975" s="17"/>
      <c r="C975" s="17"/>
      <c r="D975" s="17"/>
      <c r="E975" s="17"/>
      <c r="F975" s="17"/>
      <c r="G975" s="17"/>
      <c r="H975" s="17"/>
      <c r="I975" s="17"/>
      <c r="J975" s="17"/>
      <c r="K975" s="17"/>
      <c r="L975" s="17"/>
      <c r="M975" s="17"/>
      <c r="N975" s="17"/>
      <c r="O975" s="17"/>
      <c r="P975" s="17"/>
      <c r="Q975" s="17"/>
    </row>
    <row r="976">
      <c r="A976" s="17"/>
      <c r="B976" s="17"/>
      <c r="C976" s="17"/>
      <c r="D976" s="17"/>
      <c r="E976" s="17"/>
      <c r="F976" s="17"/>
      <c r="G976" s="17"/>
      <c r="H976" s="17"/>
      <c r="I976" s="17"/>
      <c r="J976" s="17"/>
      <c r="K976" s="17"/>
      <c r="L976" s="17"/>
      <c r="M976" s="17"/>
      <c r="N976" s="17"/>
      <c r="O976" s="17"/>
      <c r="P976" s="17"/>
      <c r="Q976" s="17"/>
    </row>
  </sheetData>
  <hyperlinks>
    <hyperlink r:id="rId1" ref="J2"/>
    <hyperlink r:id="rId2" ref="L2"/>
    <hyperlink r:id="rId3" ref="J3"/>
    <hyperlink r:id="rId4" ref="L3"/>
    <hyperlink r:id="rId5" ref="J4"/>
    <hyperlink r:id="rId6" ref="L4"/>
    <hyperlink r:id="rId7" ref="J5"/>
    <hyperlink r:id="rId8" ref="L5"/>
    <hyperlink r:id="rId9" ref="J6"/>
    <hyperlink r:id="rId10" ref="L6"/>
    <hyperlink r:id="rId11" ref="J7"/>
    <hyperlink r:id="rId12" ref="L7"/>
    <hyperlink r:id="rId13" ref="J8"/>
    <hyperlink r:id="rId14" ref="L8"/>
    <hyperlink r:id="rId15" ref="J9"/>
    <hyperlink r:id="rId16" ref="L9"/>
    <hyperlink r:id="rId17" ref="J10"/>
    <hyperlink r:id="rId18" ref="L10"/>
    <hyperlink r:id="rId19" ref="J11"/>
    <hyperlink r:id="rId20" ref="L11"/>
    <hyperlink r:id="rId21" ref="J12"/>
    <hyperlink r:id="rId22" ref="L12"/>
    <hyperlink r:id="rId23" ref="J13"/>
    <hyperlink r:id="rId24" ref="L13"/>
    <hyperlink r:id="rId25" ref="J14"/>
    <hyperlink r:id="rId26" ref="L14"/>
    <hyperlink r:id="rId27" ref="J15"/>
    <hyperlink r:id="rId28" ref="L15"/>
    <hyperlink r:id="rId29" ref="J16"/>
    <hyperlink r:id="rId30" ref="L16"/>
    <hyperlink r:id="rId31" ref="J17"/>
    <hyperlink r:id="rId32" ref="L17"/>
    <hyperlink r:id="rId33" ref="J18"/>
    <hyperlink r:id="rId34" ref="L18"/>
    <hyperlink r:id="rId35" ref="J19"/>
    <hyperlink r:id="rId36" ref="L19"/>
    <hyperlink r:id="rId37" ref="J20"/>
    <hyperlink r:id="rId38" ref="L20"/>
    <hyperlink r:id="rId39" ref="J21"/>
    <hyperlink r:id="rId40" ref="L21"/>
    <hyperlink r:id="rId41" ref="J22"/>
    <hyperlink r:id="rId42" ref="L22"/>
    <hyperlink r:id="rId43" ref="J23"/>
    <hyperlink r:id="rId44" ref="L23"/>
    <hyperlink r:id="rId45" ref="J24"/>
    <hyperlink r:id="rId46" ref="L24"/>
    <hyperlink r:id="rId47" ref="J25"/>
    <hyperlink r:id="rId48" ref="L25"/>
    <hyperlink r:id="rId49" ref="J26"/>
    <hyperlink r:id="rId50" ref="L26"/>
    <hyperlink r:id="rId51" ref="J27"/>
    <hyperlink r:id="rId52" ref="L27"/>
    <hyperlink r:id="rId53" ref="J28"/>
    <hyperlink r:id="rId54" ref="L28"/>
    <hyperlink r:id="rId55" ref="J29"/>
    <hyperlink r:id="rId56" ref="L29"/>
    <hyperlink r:id="rId57" ref="J30"/>
    <hyperlink r:id="rId58" ref="L30"/>
    <hyperlink r:id="rId59" ref="J31"/>
    <hyperlink r:id="rId60" ref="L31"/>
    <hyperlink r:id="rId61" ref="J32"/>
    <hyperlink r:id="rId62" ref="L32"/>
    <hyperlink r:id="rId63" ref="J33"/>
    <hyperlink r:id="rId64" ref="L33"/>
    <hyperlink r:id="rId65" ref="J34"/>
    <hyperlink r:id="rId66" ref="L34"/>
    <hyperlink r:id="rId67" ref="J35"/>
    <hyperlink r:id="rId68" ref="L35"/>
    <hyperlink r:id="rId69" ref="J36"/>
    <hyperlink r:id="rId70" ref="L36"/>
    <hyperlink r:id="rId71" ref="J37"/>
    <hyperlink r:id="rId72" ref="L37"/>
    <hyperlink r:id="rId73" ref="J38"/>
    <hyperlink r:id="rId74" ref="L38"/>
    <hyperlink r:id="rId75" ref="J39"/>
    <hyperlink r:id="rId76" ref="L39"/>
    <hyperlink r:id="rId77" ref="J40"/>
    <hyperlink r:id="rId78" ref="L40"/>
    <hyperlink r:id="rId79" ref="J41"/>
    <hyperlink r:id="rId80" ref="L41"/>
    <hyperlink r:id="rId81" ref="J42"/>
    <hyperlink r:id="rId82" ref="L42"/>
    <hyperlink r:id="rId83" ref="J43"/>
    <hyperlink r:id="rId84" ref="L43"/>
    <hyperlink r:id="rId85" ref="J44"/>
    <hyperlink r:id="rId86" ref="L44"/>
    <hyperlink r:id="rId87" ref="J45"/>
    <hyperlink r:id="rId88" ref="L45"/>
    <hyperlink r:id="rId89" ref="J46"/>
    <hyperlink r:id="rId90" ref="L46"/>
    <hyperlink r:id="rId91" ref="J47"/>
    <hyperlink r:id="rId92" ref="L47"/>
    <hyperlink r:id="rId93" ref="J48"/>
    <hyperlink r:id="rId94" ref="L48"/>
    <hyperlink r:id="rId95" ref="J49"/>
    <hyperlink r:id="rId96" ref="L49"/>
    <hyperlink r:id="rId97" ref="J50"/>
    <hyperlink r:id="rId98" ref="L50"/>
    <hyperlink r:id="rId99" ref="J51"/>
    <hyperlink r:id="rId100" ref="L51"/>
    <hyperlink r:id="rId101" ref="J52"/>
    <hyperlink r:id="rId102" ref="L52"/>
    <hyperlink r:id="rId103" ref="J53"/>
    <hyperlink r:id="rId104" ref="L53"/>
    <hyperlink r:id="rId105" ref="J54"/>
    <hyperlink r:id="rId106" ref="L54"/>
    <hyperlink r:id="rId107" ref="J55"/>
    <hyperlink r:id="rId108" ref="L55"/>
    <hyperlink r:id="rId109" ref="J56"/>
    <hyperlink r:id="rId110" ref="L56"/>
    <hyperlink r:id="rId111" ref="J57"/>
    <hyperlink r:id="rId112" ref="L57"/>
    <hyperlink r:id="rId113" ref="J58"/>
    <hyperlink r:id="rId114" ref="L58"/>
    <hyperlink r:id="rId115" ref="J59"/>
    <hyperlink r:id="rId116" ref="L59"/>
    <hyperlink r:id="rId117" ref="J60"/>
    <hyperlink r:id="rId118" ref="L60"/>
    <hyperlink r:id="rId119" ref="J61"/>
    <hyperlink r:id="rId120" ref="L61"/>
    <hyperlink r:id="rId121" ref="J62"/>
    <hyperlink r:id="rId122" ref="L62"/>
    <hyperlink r:id="rId123" ref="J63"/>
    <hyperlink r:id="rId124" ref="L63"/>
    <hyperlink r:id="rId125" ref="J64"/>
    <hyperlink r:id="rId126" ref="L64"/>
    <hyperlink r:id="rId127" ref="J65"/>
    <hyperlink r:id="rId128" ref="L65"/>
    <hyperlink r:id="rId129" ref="J66"/>
    <hyperlink r:id="rId130" ref="L66"/>
    <hyperlink r:id="rId131" ref="J67"/>
    <hyperlink r:id="rId132" ref="L67"/>
    <hyperlink r:id="rId133" ref="J68"/>
    <hyperlink r:id="rId134" ref="L68"/>
    <hyperlink r:id="rId135" ref="J69"/>
    <hyperlink r:id="rId136" ref="L69"/>
    <hyperlink r:id="rId137" ref="J70"/>
    <hyperlink r:id="rId138" ref="L70"/>
    <hyperlink r:id="rId139" ref="J71"/>
    <hyperlink r:id="rId140" ref="L71"/>
    <hyperlink r:id="rId141" ref="J72"/>
    <hyperlink r:id="rId142" ref="L72"/>
    <hyperlink r:id="rId143" ref="J73"/>
    <hyperlink r:id="rId144" ref="L73"/>
    <hyperlink r:id="rId145" ref="J74"/>
    <hyperlink r:id="rId146" ref="L74"/>
    <hyperlink r:id="rId147" ref="J75"/>
    <hyperlink r:id="rId148" ref="L75"/>
    <hyperlink r:id="rId149" ref="J76"/>
    <hyperlink r:id="rId150" ref="L76"/>
    <hyperlink r:id="rId151" ref="J77"/>
    <hyperlink r:id="rId152" ref="L77"/>
    <hyperlink r:id="rId153" ref="J78"/>
    <hyperlink r:id="rId154" ref="L78"/>
    <hyperlink r:id="rId155" ref="J79"/>
    <hyperlink r:id="rId156" ref="L79"/>
    <hyperlink r:id="rId157" ref="J80"/>
    <hyperlink r:id="rId158" ref="L80"/>
    <hyperlink r:id="rId159" ref="J81"/>
    <hyperlink r:id="rId160" ref="L81"/>
    <hyperlink r:id="rId161" ref="J82"/>
    <hyperlink r:id="rId162" ref="L82"/>
    <hyperlink r:id="rId163" ref="J83"/>
    <hyperlink r:id="rId164" ref="L83"/>
    <hyperlink r:id="rId165" ref="J84"/>
    <hyperlink r:id="rId166" ref="L84"/>
    <hyperlink r:id="rId167" ref="J85"/>
    <hyperlink r:id="rId168" ref="L85"/>
    <hyperlink r:id="rId169" ref="J86"/>
    <hyperlink r:id="rId170" ref="L86"/>
  </hyperlinks>
  <drawing r:id="rId17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tr">
        <f>'Master Listings'!L1</f>
        <v>Property Type</v>
      </c>
      <c r="B1" s="1" t="s">
        <v>37</v>
      </c>
      <c r="C1" s="1" t="s">
        <v>1463</v>
      </c>
      <c r="D1" s="1" t="s">
        <v>1464</v>
      </c>
    </row>
    <row r="2">
      <c r="A2" s="17" t="str">
        <f>IFERROR(__xludf.DUMMYFUNCTION("SORT(UNIQUE(FILTER('Master Listings'!L2:L999, 'Master Listings'!L2:L999&lt;&gt;"""")))"),"Diversified")</f>
        <v>Diversified</v>
      </c>
      <c r="B2" s="31">
        <f>IF(ISBLANK(A2), "", IFERROR(AVERAGEIF('Master Listings'!$L:$L, A2, 'Master Listings'!$AL:$AL), ""))</f>
        <v>0.0482</v>
      </c>
      <c r="C2" s="31">
        <f>IFERROR(AVERAGEIF('Master Listings'!$L:$L, A2, 'Master Listings'!$BW:$BW), )</f>
        <v>0.045</v>
      </c>
      <c r="D2" s="31">
        <f>IFERROR(AVERAGEIF('Master Listings'!$L:$L, A2, 'Master Listings'!$BT:$BT), )</f>
        <v>0</v>
      </c>
    </row>
    <row r="3">
      <c r="A3" s="17" t="str">
        <f>IFERROR(__xludf.DUMMYFUNCTION("""COMPUTED_VALUE"""),"GSA")</f>
        <v>GSA</v>
      </c>
      <c r="B3" s="31">
        <f>IF(ISBLANK(A3), "", IFERROR(AVERAGEIF('Master Listings'!$L:$L, A3, 'Master Listings'!$AL:$AL), ""))</f>
        <v>0.047</v>
      </c>
      <c r="C3" s="31">
        <f>IFERROR(AVERAGEIF('Master Listings'!$L:$L, A3, 'Master Listings'!$BW:$BW), )</f>
        <v>0.047</v>
      </c>
      <c r="D3" s="31">
        <f>IFERROR(AVERAGEIF('Master Listings'!$L:$L, A3, 'Master Listings'!$BT:$BT), )</f>
        <v>0</v>
      </c>
    </row>
    <row r="4">
      <c r="A4" s="17" t="str">
        <f>IFERROR(__xludf.DUMMYFUNCTION("""COMPUTED_VALUE"""),"Healthcare")</f>
        <v>Healthcare</v>
      </c>
      <c r="B4" s="31">
        <f>IF(ISBLANK(A4), "", IFERROR(AVERAGEIF('Master Listings'!$L:$L, A4, 'Master Listings'!$AL:$AL), ""))</f>
        <v>0.0641</v>
      </c>
      <c r="C4" s="31">
        <f>IFERROR(AVERAGEIF('Master Listings'!$L:$L, A4, 'Master Listings'!$BW:$BW), )</f>
        <v>0.07025</v>
      </c>
      <c r="D4" s="31">
        <f>IFERROR(AVERAGEIF('Master Listings'!$L:$L, A4, 'Master Listings'!$BT:$BT), )</f>
        <v>0.1543005464</v>
      </c>
    </row>
    <row r="5">
      <c r="A5" s="17" t="str">
        <f>IFERROR(__xludf.DUMMYFUNCTION("""COMPUTED_VALUE"""),"Hospitality")</f>
        <v>Hospitality</v>
      </c>
      <c r="B5" s="31">
        <f>IF(ISBLANK(A5), "", IFERROR(AVERAGEIF('Master Listings'!$L:$L, A5, 'Master Listings'!$AL:$AL), ""))</f>
        <v>0.032</v>
      </c>
      <c r="C5" s="31">
        <f>IFERROR(AVERAGEIF('Master Listings'!$L:$L, A5, 'Master Listings'!$BW:$BW), )</f>
        <v>0.034</v>
      </c>
      <c r="D5" s="31">
        <f>IFERROR(AVERAGEIF('Master Listings'!$L:$L, A5, 'Master Listings'!$BT:$BT), )</f>
        <v>0.06666666667</v>
      </c>
    </row>
    <row r="6">
      <c r="A6" s="17" t="str">
        <f>IFERROR(__xludf.DUMMYFUNCTION("""COMPUTED_VALUE"""),"Industrial")</f>
        <v>Industrial</v>
      </c>
      <c r="B6" s="32">
        <v>0.0</v>
      </c>
      <c r="C6" s="31">
        <f>IFERROR(AVERAGEIF('Master Listings'!$L:$L, A6, 'Master Listings'!$BW:$BW), )</f>
        <v>0.05854</v>
      </c>
      <c r="D6" s="31">
        <f>IFERROR(AVERAGEIF('Master Listings'!$L:$L, A6, 'Master Listings'!$BT:$BT), )</f>
        <v>0.1441469396</v>
      </c>
    </row>
    <row r="7">
      <c r="A7" s="17" t="str">
        <f>IFERROR(__xludf.DUMMYFUNCTION("""COMPUTED_VALUE"""),"Land")</f>
        <v>Land</v>
      </c>
      <c r="B7" s="31" t="str">
        <f>IF(ISBLANK(A7), "", IFERROR(AVERAGEIF('Master Listings'!$L:$L, A7, 'Master Listings'!$AL:$AL), ""))</f>
        <v/>
      </c>
      <c r="C7" s="31">
        <f>IFERROR(AVERAGEIF('Master Listings'!$L:$L, A7, 'Master Listings'!$BW:$BW), )</f>
        <v>0</v>
      </c>
      <c r="D7" s="31">
        <f>IFERROR(AVERAGEIF('Master Listings'!$L:$L, A7, 'Master Listings'!$BT:$BT), )</f>
        <v>0</v>
      </c>
    </row>
    <row r="8">
      <c r="A8" s="17" t="str">
        <f>IFERROR(__xludf.DUMMYFUNCTION("""COMPUTED_VALUE"""),"Life Sciences")</f>
        <v>Life Sciences</v>
      </c>
      <c r="B8" s="31">
        <f>IF(ISBLANK(A8), "", IFERROR(AVERAGEIF('Master Listings'!$L:$L, A8, 'Master Listings'!$AL:$AL), ""))</f>
        <v>0.0407</v>
      </c>
      <c r="C8" s="31">
        <f>IFERROR(AVERAGEIF('Master Listings'!$L:$L, A8, 'Master Listings'!$BW:$BW), )</f>
        <v>0.0418</v>
      </c>
      <c r="D8" s="31">
        <f>IFERROR(AVERAGEIF('Master Listings'!$L:$L, A8, 'Master Listings'!$BT:$BT), )</f>
        <v>0</v>
      </c>
    </row>
    <row r="9">
      <c r="A9" s="17" t="str">
        <f>IFERROR(__xludf.DUMMYFUNCTION("""COMPUTED_VALUE"""),"Marina")</f>
        <v>Marina</v>
      </c>
      <c r="B9" s="31">
        <f>IF(ISBLANK(A9), "", IFERROR(AVERAGEIF('Master Listings'!$L:$L, A9, 'Master Listings'!$AL:$AL), ""))</f>
        <v>0.0798</v>
      </c>
      <c r="C9" s="31">
        <f>IFERROR(AVERAGEIF('Master Listings'!$L:$L, A9, 'Master Listings'!$BW:$BW), )</f>
        <v>0.097</v>
      </c>
      <c r="D9" s="31">
        <f>IFERROR(AVERAGEIF('Master Listings'!$L:$L, A9, 'Master Listings'!$BT:$BT), )</f>
        <v>0.3837375178</v>
      </c>
    </row>
    <row r="10">
      <c r="A10" s="17" t="str">
        <f>IFERROR(__xludf.DUMMYFUNCTION("""COMPUTED_VALUE"""),"Multifamily")</f>
        <v>Multifamily</v>
      </c>
      <c r="B10" s="31">
        <f>IF(ISBLANK(A10), "", IFERROR(AVERAGEIF('Master Listings'!$L:$L, A10, 'Master Listings'!$AL:$AL), ""))</f>
        <v>0.050338</v>
      </c>
      <c r="C10" s="31">
        <f>IFERROR(AVERAGEIF('Master Listings'!$L:$L, A10, 'Master Listings'!$BW:$BW), )</f>
        <v>0.05289545455</v>
      </c>
      <c r="D10" s="31">
        <f>IFERROR(AVERAGEIF('Master Listings'!$L:$L, A10, 'Master Listings'!$BT:$BT), )</f>
        <v>0.2473634914</v>
      </c>
    </row>
    <row r="11">
      <c r="A11" s="17" t="str">
        <f>IFERROR(__xludf.DUMMYFUNCTION("""COMPUTED_VALUE"""),"Net Lease")</f>
        <v>Net Lease</v>
      </c>
      <c r="B11" s="31">
        <f>IF(ISBLANK(A11), "", IFERROR(AVERAGEIF('Master Listings'!$L:$L, A11, 'Master Listings'!$AL:$AL), ""))</f>
        <v>0.05184571429</v>
      </c>
      <c r="C11" s="31">
        <f>IFERROR(AVERAGEIF('Master Listings'!$L:$L, A11, 'Master Listings'!$BW:$BW), )</f>
        <v>0.05365714286</v>
      </c>
      <c r="D11" s="31">
        <f>IFERROR(AVERAGEIF('Master Listings'!$L:$L, A11, 'Master Listings'!$BT:$BT), )</f>
        <v>0.09042966756</v>
      </c>
    </row>
    <row r="12">
      <c r="A12" s="17" t="str">
        <f>IFERROR(__xludf.DUMMYFUNCTION("""COMPUTED_VALUE"""),"Office")</f>
        <v>Office</v>
      </c>
      <c r="B12" s="31">
        <f>IF(ISBLANK(A12), "", IFERROR(AVERAGEIF('Master Listings'!$L:$L, A12, 'Master Listings'!$AL:$AL), ""))</f>
        <v>0.0279</v>
      </c>
      <c r="C12" s="31">
        <f>IFERROR(AVERAGEIF('Master Listings'!$L:$L, A12, 'Master Listings'!$BW:$BW), )</f>
        <v>0.03</v>
      </c>
      <c r="D12" s="31">
        <f>IFERROR(AVERAGEIF('Master Listings'!$L:$L, A12, 'Master Listings'!$BT:$BT), )</f>
        <v>0.1147540984</v>
      </c>
    </row>
    <row r="13">
      <c r="A13" s="17" t="str">
        <f>IFERROR(__xludf.DUMMYFUNCTION("""COMPUTED_VALUE"""),"Oil &amp; Gas Mineral/Royalty Interests")</f>
        <v>Oil &amp; Gas Mineral/Royalty Interests</v>
      </c>
      <c r="B13" s="31">
        <f>IF(ISBLANK(A13), "", IFERROR(AVERAGEIF('Master Listings'!$L:$L, A13, 'Master Listings'!$AL:$AL), ""))</f>
        <v>0.096</v>
      </c>
      <c r="C13" s="31">
        <f>IFERROR(AVERAGEIF('Master Listings'!$L:$L, A13, 'Master Listings'!$BW:$BW), )</f>
        <v>0.1</v>
      </c>
      <c r="D13" s="31">
        <f>IFERROR(AVERAGEIF('Master Listings'!$L:$L, A13, 'Master Listings'!$BT:$BT), )</f>
        <v>0.25</v>
      </c>
    </row>
    <row r="14">
      <c r="A14" s="17" t="str">
        <f>IFERROR(__xludf.DUMMYFUNCTION("""COMPUTED_VALUE"""),"Precious Metals")</f>
        <v>Precious Metals</v>
      </c>
      <c r="B14" s="31" t="str">
        <f>IF(ISBLANK(A14), "", IFERROR(AVERAGEIF('Master Listings'!$L:$L, A14, 'Master Listings'!$AL:$AL), ""))</f>
        <v/>
      </c>
      <c r="C14" s="31">
        <f>IFERROR(AVERAGEIF('Master Listings'!$L:$L, A14, 'Master Listings'!$BW:$BW), )</f>
        <v>0</v>
      </c>
      <c r="D14" s="31">
        <f>IFERROR(AVERAGEIF('Master Listings'!$L:$L, A14, 'Master Listings'!$BT:$BT), )</f>
        <v>0</v>
      </c>
    </row>
    <row r="15">
      <c r="A15" s="17" t="str">
        <f>IFERROR(__xludf.DUMMYFUNCTION("""COMPUTED_VALUE"""),"Self-Storage")</f>
        <v>Self-Storage</v>
      </c>
      <c r="B15" s="31">
        <f>IF(ISBLANK(A15), "", IFERROR(AVERAGEIF('Master Listings'!$L:$L, A15, 'Master Listings'!$AL:$AL), ""))</f>
        <v>0.04495</v>
      </c>
      <c r="C15" s="31">
        <f>IFERROR(AVERAGEIF('Master Listings'!$L:$L, A15, 'Master Listings'!$BW:$BW), )</f>
        <v>0.0479</v>
      </c>
      <c r="D15" s="31">
        <f>IFERROR(AVERAGEIF('Master Listings'!$L:$L, A15, 'Master Listings'!$BT:$BT), )</f>
        <v>0.1386961451</v>
      </c>
    </row>
    <row r="16">
      <c r="A16" s="17" t="str">
        <f>IFERROR(__xludf.DUMMYFUNCTION("""COMPUTED_VALUE"""),"Senior Living")</f>
        <v>Senior Living</v>
      </c>
    </row>
    <row r="17">
      <c r="A17" s="17" t="str">
        <f>IFERROR(__xludf.DUMMYFUNCTION("""COMPUTED_VALUE"""),"Small Bay Industrial")</f>
        <v>Small Bay Industrial</v>
      </c>
    </row>
    <row r="18">
      <c r="A18" s="17" t="str">
        <f>IFERROR(__xludf.DUMMYFUNCTION("""COMPUTED_VALUE"""),"Student Housing")</f>
        <v>Student Housing</v>
      </c>
    </row>
  </sheetData>
  <drawing r:id="rId1"/>
</worksheet>
</file>